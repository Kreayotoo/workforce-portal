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266F5299-30AE-406B-B7E1-C9418477A187}" xr6:coauthVersionLast="47" xr6:coauthVersionMax="47" xr10:uidLastSave="{00000000-0000-0000-0000-000000000000}"/>
  <bookViews>
    <workbookView xWindow="-120" yWindow="-120" windowWidth="29040" windowHeight="15720" activeTab="1" xr2:uid="{E118E073-0D8E-4835-921D-D16026E7EE08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97" i="1" l="1"/>
  <c r="M781" i="1"/>
  <c r="M758" i="1"/>
  <c r="M743" i="1"/>
  <c r="M710" i="1"/>
  <c r="M705" i="1"/>
  <c r="M666" i="1"/>
  <c r="M593" i="1"/>
  <c r="M67" i="1"/>
  <c r="M11" i="1"/>
</calcChain>
</file>

<file path=xl/sharedStrings.xml><?xml version="1.0" encoding="utf-8"?>
<sst xmlns="http://schemas.openxmlformats.org/spreadsheetml/2006/main" count="61240" uniqueCount="5146">
  <si>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</si>
  <si>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</si>
  <si>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</si>
  <si>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</si>
  <si>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</si>
  <si>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</si>
  <si>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</si>
  <si>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</si>
  <si>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</si>
  <si>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</si>
  <si>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</si>
  <si>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</si>
  <si>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</si>
  <si>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</si>
  <si>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</si>
  <si>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</si>
  <si>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</si>
  <si>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</si>
  <si>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</si>
  <si>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</si>
  <si>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</si>
  <si>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</si>
  <si>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</si>
  <si>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</si>
  <si>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</si>
  <si>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</si>
  <si>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</si>
  <si>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</si>
  <si>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</si>
  <si>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</si>
  <si>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</si>
  <si>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</si>
  <si>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</si>
  <si>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</si>
  <si>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</si>
  <si>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</si>
  <si>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</si>
  <si>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</si>
  <si>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</si>
  <si>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</si>
  <si>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</si>
  <si>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</si>
  <si>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</si>
  <si>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</si>
  <si>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</si>
  <si>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</si>
  <si>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</si>
  <si>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</si>
  <si>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MH-198</t>
  </si>
  <si>
    <t>SMH 0.6X1.2</t>
  </si>
  <si>
    <t>Storm Manhole</t>
  </si>
  <si>
    <t>C-71, C-69</t>
  </si>
  <si>
    <t>Z4_ FRL</t>
  </si>
  <si>
    <t>Yes</t>
  </si>
  <si>
    <t>STORM TR C8 RHS</t>
  </si>
  <si>
    <t>0+455.83</t>
  </si>
  <si>
    <t>Basic</t>
  </si>
  <si>
    <t>No</t>
  </si>
  <si>
    <t>600.000mm</t>
  </si>
  <si>
    <t>1200.000mm</t>
  </si>
  <si>
    <t>1787.456mm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</si>
  <si>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</si>
  <si>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</si>
  <si>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</si>
  <si>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</si>
  <si>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</si>
  <si>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</si>
  <si>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</si>
  <si>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</si>
  <si>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</si>
  <si>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Storm Manholes</t>
  </si>
  <si>
    <t>Box</t>
  </si>
  <si>
    <t>MH-200</t>
  </si>
  <si>
    <t>SMH 1.2X0.6</t>
  </si>
  <si>
    <t>C-80, C-36</t>
  </si>
  <si>
    <t>STORM TR C31 LHS</t>
  </si>
  <si>
    <t>0+108.06</t>
  </si>
  <si>
    <t>1831.112mm</t>
  </si>
  <si>
    <t>MH-201</t>
  </si>
  <si>
    <t>C-60, C-48</t>
  </si>
  <si>
    <t>STORM TR C7 RHS</t>
  </si>
  <si>
    <t>0+147.94</t>
  </si>
  <si>
    <t>1990.176mm</t>
  </si>
  <si>
    <t>MH-202</t>
  </si>
  <si>
    <t>C-88, C-25</t>
  </si>
  <si>
    <t>STORM  TR C7 LHS</t>
  </si>
  <si>
    <t>0+147.64</t>
  </si>
  <si>
    <t>1782.283mm</t>
  </si>
  <si>
    <t>MH-203</t>
  </si>
  <si>
    <t>C-59, C-29</t>
  </si>
  <si>
    <t>0+486.25</t>
  </si>
  <si>
    <t>1995.813mm</t>
  </si>
  <si>
    <t>MH-204</t>
  </si>
  <si>
    <t>C-81, C-26</t>
  </si>
  <si>
    <t>0+486.22</t>
  </si>
  <si>
    <t>1786.624mm</t>
  </si>
  <si>
    <t>MH-205</t>
  </si>
  <si>
    <t>C-46, C-23</t>
  </si>
  <si>
    <t>0+288.31</t>
  </si>
  <si>
    <t>1991.166mm</t>
  </si>
  <si>
    <t>MH-206</t>
  </si>
  <si>
    <t>C-50, C-27</t>
  </si>
  <si>
    <t>0+288.42</t>
  </si>
  <si>
    <t>1783.876mm</t>
  </si>
  <si>
    <t>MH-207</t>
  </si>
  <si>
    <t>SMH 1.2X0.75</t>
  </si>
  <si>
    <t>C-961, C-831</t>
  </si>
  <si>
    <t>STORM TR B10 LHS</t>
  </si>
  <si>
    <t>0+455.31</t>
  </si>
  <si>
    <t>750.000mm</t>
  </si>
  <si>
    <t>1901.318mm</t>
  </si>
  <si>
    <t>1150.000mm</t>
  </si>
  <si>
    <t>MH-208</t>
  </si>
  <si>
    <t>C-1067, C-814</t>
  </si>
  <si>
    <t>2672.076mm</t>
  </si>
  <si>
    <t>MH-209</t>
  </si>
  <si>
    <t>C-582, C-47</t>
  </si>
  <si>
    <t>STORM TR B10 RHS</t>
  </si>
  <si>
    <t>0+379.61</t>
  </si>
  <si>
    <t>1928.900mm</t>
  </si>
  <si>
    <t>MH-210</t>
  </si>
  <si>
    <t>C-495, C-67</t>
  </si>
  <si>
    <t>0+378.85</t>
  </si>
  <si>
    <t>1986.017mm</t>
  </si>
  <si>
    <t>MH-212</t>
  </si>
  <si>
    <t>SMH 0.75X1.2</t>
  </si>
  <si>
    <t>C-86, C-85</t>
  </si>
  <si>
    <t>STORM  TR A1  LHS</t>
  </si>
  <si>
    <t>0+254.88</t>
  </si>
  <si>
    <t>2377.457mm</t>
  </si>
  <si>
    <t>MH-213</t>
  </si>
  <si>
    <t>C-504, C-79</t>
  </si>
  <si>
    <t>STORM TR A1 RHS</t>
  </si>
  <si>
    <t>0+057.11</t>
  </si>
  <si>
    <t>2834.486mm</t>
  </si>
  <si>
    <t>MH-214</t>
  </si>
  <si>
    <t>C-64, C-56</t>
  </si>
  <si>
    <t>0+027.69</t>
  </si>
  <si>
    <t>3139.067mm</t>
  </si>
  <si>
    <t>MH-215</t>
  </si>
  <si>
    <t>C-500, C-38</t>
  </si>
  <si>
    <t>STORM  TR A2  LHS</t>
  </si>
  <si>
    <t>0+452.94</t>
  </si>
  <si>
    <t>3153.758mm</t>
  </si>
  <si>
    <t>MH-216</t>
  </si>
  <si>
    <t>C-928, C-832</t>
  </si>
  <si>
    <t>STORM PP A5 RHS</t>
  </si>
  <si>
    <t>1+173.40</t>
  </si>
  <si>
    <t>2277.367mm</t>
  </si>
  <si>
    <t>MH-217</t>
  </si>
  <si>
    <t>C-1076, C-887</t>
  </si>
  <si>
    <t>STORM PP A5 LHS</t>
  </si>
  <si>
    <t>1+173.27</t>
  </si>
  <si>
    <t>3742.624mm</t>
  </si>
  <si>
    <t>MH-219</t>
  </si>
  <si>
    <t>C-1059, C-823</t>
  </si>
  <si>
    <t>STORM TR C21 RHS</t>
  </si>
  <si>
    <t>0+252.17</t>
  </si>
  <si>
    <t>3155.601mm</t>
  </si>
  <si>
    <t>MH-222</t>
  </si>
  <si>
    <t>C-1062, C-949</t>
  </si>
  <si>
    <t>STORM TR C21 LHS</t>
  </si>
  <si>
    <t>0+252.51</t>
  </si>
  <si>
    <t>2583.279mm</t>
  </si>
  <si>
    <t>MH-224</t>
  </si>
  <si>
    <t>C-811</t>
  </si>
  <si>
    <t>STORM TR C22 RHS</t>
  </si>
  <si>
    <t>0+135.02</t>
  </si>
  <si>
    <t>1753.456mm</t>
  </si>
  <si>
    <t>MH-225</t>
  </si>
  <si>
    <t>C-812</t>
  </si>
  <si>
    <t>STORM TR C22 LHS</t>
  </si>
  <si>
    <t>0+135.16</t>
  </si>
  <si>
    <t>1753.753mm</t>
  </si>
  <si>
    <t>MH-228</t>
  </si>
  <si>
    <t>C-216, C-30</t>
  </si>
  <si>
    <t>0+225.76</t>
  </si>
  <si>
    <t>2416.746mm</t>
  </si>
  <si>
    <t>MH-229</t>
  </si>
  <si>
    <t>C-125, C-63</t>
  </si>
  <si>
    <t>STORM TR A2 RHS</t>
  </si>
  <si>
    <t>0+164.76</t>
  </si>
  <si>
    <t>3732.406mm</t>
  </si>
  <si>
    <t>90° 0' 0.000"</t>
  </si>
  <si>
    <t>MH-230</t>
  </si>
  <si>
    <t>C-96</t>
  </si>
  <si>
    <t>STORM TR C23 LHS</t>
  </si>
  <si>
    <t>0+135.72</t>
  </si>
  <si>
    <t>1754.432mm</t>
  </si>
  <si>
    <t>MH-232</t>
  </si>
  <si>
    <t>C-98</t>
  </si>
  <si>
    <t>STORM TR C23 RHS</t>
  </si>
  <si>
    <t>0+135.68</t>
  </si>
  <si>
    <t>1753.348mm</t>
  </si>
  <si>
    <t>MH-234</t>
  </si>
  <si>
    <t>C-810, C-89</t>
  </si>
  <si>
    <t>0+204.95</t>
  </si>
  <si>
    <t>1865.510mm</t>
  </si>
  <si>
    <t>MH-235</t>
  </si>
  <si>
    <t>C-24, C-19</t>
  </si>
  <si>
    <t>STORM TR C4 RHS</t>
  </si>
  <si>
    <t>0+147.92</t>
  </si>
  <si>
    <t>2003.214mm</t>
  </si>
  <si>
    <t>MH-236</t>
  </si>
  <si>
    <t>C-87, C-74</t>
  </si>
  <si>
    <t>STORM TR C4 LHS</t>
  </si>
  <si>
    <t>0+147.73</t>
  </si>
  <si>
    <t>1842.059mm</t>
  </si>
  <si>
    <t>MH-237</t>
  </si>
  <si>
    <t>C-84, C-28</t>
  </si>
  <si>
    <t>STORM TR C14 LHS</t>
  </si>
  <si>
    <t>0+252.13</t>
  </si>
  <si>
    <t>1893.158mm</t>
  </si>
  <si>
    <t>MH-238</t>
  </si>
  <si>
    <t>C-95, C-35</t>
  </si>
  <si>
    <t>0+007.24</t>
  </si>
  <si>
    <t>1755.472mm</t>
  </si>
  <si>
    <t>MH-240</t>
  </si>
  <si>
    <t>C-410, C-76</t>
  </si>
  <si>
    <t>0+100.18</t>
  </si>
  <si>
    <t>2510.740mm</t>
  </si>
  <si>
    <t>MH-241</t>
  </si>
  <si>
    <t>C-964, C-935</t>
  </si>
  <si>
    <t>0+019.31</t>
  </si>
  <si>
    <t>2088.512mm</t>
  </si>
  <si>
    <t>MH-242</t>
  </si>
  <si>
    <t>C-924, C-721</t>
  </si>
  <si>
    <t>STORM PP B4  LHS</t>
  </si>
  <si>
    <t>0+139.82</t>
  </si>
  <si>
    <t>1817.278mm</t>
  </si>
  <si>
    <t>MH-243</t>
  </si>
  <si>
    <t>C-778, C-677</t>
  </si>
  <si>
    <t>STORM TR C14 RHS</t>
  </si>
  <si>
    <t>0+178.81</t>
  </si>
  <si>
    <t>1856.277mm</t>
  </si>
  <si>
    <t>MH-244</t>
  </si>
  <si>
    <t>C-779, C-676</t>
  </si>
  <si>
    <t>0+178.97</t>
  </si>
  <si>
    <t>1856.062mm</t>
  </si>
  <si>
    <t>MH-246</t>
  </si>
  <si>
    <t>C-945, C-895</t>
  </si>
  <si>
    <t>STORM TR C2 RHS</t>
  </si>
  <si>
    <t>0+106.49</t>
  </si>
  <si>
    <t>1963.303mm</t>
  </si>
  <si>
    <t>MH-249</t>
  </si>
  <si>
    <t>C-100, C-49</t>
  </si>
  <si>
    <t>STORM TR B13 RHS</t>
  </si>
  <si>
    <t>0+098.37</t>
  </si>
  <si>
    <t>1766.329mm</t>
  </si>
  <si>
    <t>MH-250</t>
  </si>
  <si>
    <t>C-42, C-21</t>
  </si>
  <si>
    <t>STORM TR C16 LHS</t>
  </si>
  <si>
    <t>0+010.06</t>
  </si>
  <si>
    <t>2883.374mm</t>
  </si>
  <si>
    <t>MH-251</t>
  </si>
  <si>
    <t>C-946, C-941</t>
  </si>
  <si>
    <t>0+699.98</t>
  </si>
  <si>
    <t>2334.983mm</t>
  </si>
  <si>
    <t>MH-252</t>
  </si>
  <si>
    <t>C-801, C-75</t>
  </si>
  <si>
    <t>STORM TR C3 RHS</t>
  </si>
  <si>
    <t>0+009.30</t>
  </si>
  <si>
    <t>1957.502mm</t>
  </si>
  <si>
    <t>MH-255</t>
  </si>
  <si>
    <t>C-667, C-58</t>
  </si>
  <si>
    <t>STORM TR C15 RHS</t>
  </si>
  <si>
    <t>0+024.09</t>
  </si>
  <si>
    <t>1805.417mm</t>
  </si>
  <si>
    <t>MH-259</t>
  </si>
  <si>
    <t>C-52, C-17</t>
  </si>
  <si>
    <t>STORM TR B13 LHS</t>
  </si>
  <si>
    <t>0+031.96</t>
  </si>
  <si>
    <t>1861.440mm</t>
  </si>
  <si>
    <t>MH-260</t>
  </si>
  <si>
    <t>C-524, C-82</t>
  </si>
  <si>
    <t>STORM TR C20 LHS</t>
  </si>
  <si>
    <t>0+059.96</t>
  </si>
  <si>
    <t>1800.386mm</t>
  </si>
  <si>
    <t>MH-261</t>
  </si>
  <si>
    <t>C-93, C-91</t>
  </si>
  <si>
    <t>0+068.91</t>
  </si>
  <si>
    <t>2002.431mm</t>
  </si>
  <si>
    <t>MH-262</t>
  </si>
  <si>
    <t>C-747, C-723</t>
  </si>
  <si>
    <t>0+182.21</t>
  </si>
  <si>
    <t>1760.183mm</t>
  </si>
  <si>
    <t>MH-264</t>
  </si>
  <si>
    <t>C-965, C-532</t>
  </si>
  <si>
    <t>STORM TR C27 RHS</t>
  </si>
  <si>
    <t>0+056.90</t>
  </si>
  <si>
    <t>1784.813mm</t>
  </si>
  <si>
    <t>MH-267</t>
  </si>
  <si>
    <t>C-73, C-33</t>
  </si>
  <si>
    <t>STORM TR C29 RHS</t>
  </si>
  <si>
    <t>0+052.08</t>
  </si>
  <si>
    <t>1788.046mm</t>
  </si>
  <si>
    <t>MH-268</t>
  </si>
  <si>
    <t>C-90, C-45</t>
  </si>
  <si>
    <t>STORM TR C29 LHS</t>
  </si>
  <si>
    <t>0+051.91</t>
  </si>
  <si>
    <t>1786.861mm</t>
  </si>
  <si>
    <t>MH-269</t>
  </si>
  <si>
    <t>C-1091, C-300, C-44</t>
  </si>
  <si>
    <t>0+001.06</t>
  </si>
  <si>
    <t>1943.066mm</t>
  </si>
  <si>
    <t>MH-270</t>
  </si>
  <si>
    <t>C-1090, C-294, C-57</t>
  </si>
  <si>
    <t>STORM TR C30 LHS</t>
  </si>
  <si>
    <t>0+001.08</t>
  </si>
  <si>
    <t>2290.718mm</t>
  </si>
  <si>
    <t>MH-271</t>
  </si>
  <si>
    <t>C-841, C-834</t>
  </si>
  <si>
    <t>0+076.52</t>
  </si>
  <si>
    <t>1837.824mm</t>
  </si>
  <si>
    <t>MH-272</t>
  </si>
  <si>
    <t>C-1088, C-465, C-70</t>
  </si>
  <si>
    <t>0+001.58</t>
  </si>
  <si>
    <t>2482.181mm</t>
  </si>
  <si>
    <t>MH-273</t>
  </si>
  <si>
    <t>C-691, C-689</t>
  </si>
  <si>
    <t>STORM TR C31 RHS</t>
  </si>
  <si>
    <t>0+233.47</t>
  </si>
  <si>
    <t>1756.000mm</t>
  </si>
  <si>
    <t>MH-274</t>
  </si>
  <si>
    <t>C-690, C-678</t>
  </si>
  <si>
    <t>0+234.12</t>
  </si>
  <si>
    <t>1755.507mm</t>
  </si>
  <si>
    <t>MH-275</t>
  </si>
  <si>
    <t>C-701, C-699</t>
  </si>
  <si>
    <t>0+200.04</t>
  </si>
  <si>
    <t>1753.859mm</t>
  </si>
  <si>
    <t>MH-277</t>
  </si>
  <si>
    <t>C-546, C-99</t>
  </si>
  <si>
    <t>STORM TR C33 RHS</t>
  </si>
  <si>
    <t>0+065.23</t>
  </si>
  <si>
    <t>1770.444mm</t>
  </si>
  <si>
    <t>MH-279</t>
  </si>
  <si>
    <t>C-501, C-78</t>
  </si>
  <si>
    <t>STORM TR C34 LHS</t>
  </si>
  <si>
    <t>0+044.73</t>
  </si>
  <si>
    <t>1806.731mm</t>
  </si>
  <si>
    <t>MH-280</t>
  </si>
  <si>
    <t>C-638, C-628</t>
  </si>
  <si>
    <t>STORM TR C35 RHS</t>
  </si>
  <si>
    <t>0+064.38</t>
  </si>
  <si>
    <t>1765.780mm</t>
  </si>
  <si>
    <t>MH-281</t>
  </si>
  <si>
    <t>C-403, C-34</t>
  </si>
  <si>
    <t>0+220.03</t>
  </si>
  <si>
    <t>2727.699mm</t>
  </si>
  <si>
    <t>MH-284</t>
  </si>
  <si>
    <t>C-744, C-729</t>
  </si>
  <si>
    <t>STORM TR C37 LHS</t>
  </si>
  <si>
    <t>0+064.53</t>
  </si>
  <si>
    <t>1765.701mm</t>
  </si>
  <si>
    <t>MH-285</t>
  </si>
  <si>
    <t>C-486, C-54</t>
  </si>
  <si>
    <t>STORM TR C24 RHS</t>
  </si>
  <si>
    <t>0+383.21</t>
  </si>
  <si>
    <t>1803.130mm</t>
  </si>
  <si>
    <t>MH-287</t>
  </si>
  <si>
    <t>C-485, C-31</t>
  </si>
  <si>
    <t>STORM TR C25 LHS</t>
  </si>
  <si>
    <t>0+039.75</t>
  </si>
  <si>
    <t>1882.546mm</t>
  </si>
  <si>
    <t>MH-288</t>
  </si>
  <si>
    <t>C-1092, C-302, C-22</t>
  </si>
  <si>
    <t>STORM TR C28 LHS</t>
  </si>
  <si>
    <t>0+000.83</t>
  </si>
  <si>
    <t>2348.305mm</t>
  </si>
  <si>
    <t>MH-289</t>
  </si>
  <si>
    <t>C-1093, C-304, C-20</t>
  </si>
  <si>
    <t>STORM TR C27 LHS</t>
  </si>
  <si>
    <t>0+001.05</t>
  </si>
  <si>
    <t>2020.067mm</t>
  </si>
  <si>
    <t>MH-290</t>
  </si>
  <si>
    <t>C-1080, C-217, C-41</t>
  </si>
  <si>
    <t>STORM TR C26 LHS</t>
  </si>
  <si>
    <t>1888.614mm</t>
  </si>
  <si>
    <t>MH-293</t>
  </si>
  <si>
    <t>C-1060, C-890</t>
  </si>
  <si>
    <t>STORM PP C11 LHS</t>
  </si>
  <si>
    <t>0+138.86</t>
  </si>
  <si>
    <t>1836.699mm</t>
  </si>
  <si>
    <t>MH-295</t>
  </si>
  <si>
    <t>C-962, C-856</t>
  </si>
  <si>
    <t>0+078.29</t>
  </si>
  <si>
    <t>1899.059mm</t>
  </si>
  <si>
    <t>MH-296</t>
  </si>
  <si>
    <t>C-791, C-705</t>
  </si>
  <si>
    <t>STORM PP C11 RHS</t>
  </si>
  <si>
    <t>0+037.74</t>
  </si>
  <si>
    <t>1843.650mm</t>
  </si>
  <si>
    <t>MH-298</t>
  </si>
  <si>
    <t>C-665, C-629</t>
  </si>
  <si>
    <t>STORM PP B5 RHS</t>
  </si>
  <si>
    <t>0+620.04</t>
  </si>
  <si>
    <t>2205.601mm</t>
  </si>
  <si>
    <t>MH-299</t>
  </si>
  <si>
    <t>C-540, C-39</t>
  </si>
  <si>
    <t>0+237.79</t>
  </si>
  <si>
    <t>1787.926mm</t>
  </si>
  <si>
    <t>MH-301</t>
  </si>
  <si>
    <t>C-940, C-889</t>
  </si>
  <si>
    <t>0+159.58</t>
  </si>
  <si>
    <t>2559.984mm</t>
  </si>
  <si>
    <t>MH-0301</t>
  </si>
  <si>
    <t>C-678</t>
  </si>
  <si>
    <t>0+245.37</t>
  </si>
  <si>
    <t>1754.459mm</t>
  </si>
  <si>
    <t>MH-0302</t>
  </si>
  <si>
    <t>C-702, C-690</t>
  </si>
  <si>
    <t>0+217.35</t>
  </si>
  <si>
    <t>1755.788mm</t>
  </si>
  <si>
    <t>MH-0303</t>
  </si>
  <si>
    <t>C-702, C-692</t>
  </si>
  <si>
    <t>0+200.00</t>
  </si>
  <si>
    <t>1753.759mm</t>
  </si>
  <si>
    <t>MH-0304</t>
  </si>
  <si>
    <t>C-697, C-692</t>
  </si>
  <si>
    <t>0+180.00</t>
  </si>
  <si>
    <t>1753.608mm</t>
  </si>
  <si>
    <t>MH-0305</t>
  </si>
  <si>
    <t>C-697, C-696</t>
  </si>
  <si>
    <t>0+160.00</t>
  </si>
  <si>
    <t>1754.452mm</t>
  </si>
  <si>
    <t>MH-0306</t>
  </si>
  <si>
    <t>C-696, C-695</t>
  </si>
  <si>
    <t>0+140.00</t>
  </si>
  <si>
    <t>1754.299mm</t>
  </si>
  <si>
    <t>MH-0307</t>
  </si>
  <si>
    <t>C-695, C-36</t>
  </si>
  <si>
    <t>0+120.00</t>
  </si>
  <si>
    <t>1814.145mm</t>
  </si>
  <si>
    <t>MH-0308</t>
  </si>
  <si>
    <t>C-1073, C-80</t>
  </si>
  <si>
    <t>0+094.64</t>
  </si>
  <si>
    <t>1718.263mm</t>
  </si>
  <si>
    <t>MH-0309</t>
  </si>
  <si>
    <t>C-1073, C-754</t>
  </si>
  <si>
    <t>0+080.00</t>
  </si>
  <si>
    <t>1886.981mm</t>
  </si>
  <si>
    <t>MH-0310</t>
  </si>
  <si>
    <t>C-754, C-163</t>
  </si>
  <si>
    <t>0+060.00</t>
  </si>
  <si>
    <t>1873.340mm</t>
  </si>
  <si>
    <t>MH-0311</t>
  </si>
  <si>
    <t>C-292, C-163</t>
  </si>
  <si>
    <t>0+040.00</t>
  </si>
  <si>
    <t>1873.225mm</t>
  </si>
  <si>
    <t>MH-0312</t>
  </si>
  <si>
    <t>C-465, C-292</t>
  </si>
  <si>
    <t>0+020.00</t>
  </si>
  <si>
    <t>1873.110mm</t>
  </si>
  <si>
    <t>MH-0313</t>
  </si>
  <si>
    <t>C-689</t>
  </si>
  <si>
    <t>0+244.93</t>
  </si>
  <si>
    <t>1755.455mm</t>
  </si>
  <si>
    <t>MH-0314</t>
  </si>
  <si>
    <t>C-701, C-691</t>
  </si>
  <si>
    <t>0+218.61</t>
  </si>
  <si>
    <t>1755.713mm</t>
  </si>
  <si>
    <t>MH-0316</t>
  </si>
  <si>
    <t>C-699, C-698</t>
  </si>
  <si>
    <t>MH-0317</t>
  </si>
  <si>
    <t>C-698, C-694</t>
  </si>
  <si>
    <t>MH-0318</t>
  </si>
  <si>
    <t>C-694, C-693</t>
  </si>
  <si>
    <t>MH-0319</t>
  </si>
  <si>
    <t>C-693, C-409</t>
  </si>
  <si>
    <t>1820.145mm</t>
  </si>
  <si>
    <t>MH-0320</t>
  </si>
  <si>
    <t>C-611</t>
  </si>
  <si>
    <t>0+681.74</t>
  </si>
  <si>
    <t>2034.280mm</t>
  </si>
  <si>
    <t>MH-0321</t>
  </si>
  <si>
    <t>C-1089, C-611, C-409</t>
  </si>
  <si>
    <t>0+661.10</t>
  </si>
  <si>
    <t>1746.289mm</t>
  </si>
  <si>
    <t>MH-0322</t>
  </si>
  <si>
    <t>C-612</t>
  </si>
  <si>
    <t>MH-0323</t>
  </si>
  <si>
    <t>C-1089, C-1074, C-612</t>
  </si>
  <si>
    <t>1755.277mm</t>
  </si>
  <si>
    <t>MH-0324</t>
  </si>
  <si>
    <t>C-1074, C-157</t>
  </si>
  <si>
    <t>1857.981mm</t>
  </si>
  <si>
    <t>MH-325</t>
  </si>
  <si>
    <t>C-813, C-92</t>
  </si>
  <si>
    <t>STORM PP C10 RHS</t>
  </si>
  <si>
    <t>0+279.98</t>
  </si>
  <si>
    <t>1672.747mm</t>
  </si>
  <si>
    <t>MH-0325</t>
  </si>
  <si>
    <t>C-157, C-156</t>
  </si>
  <si>
    <t>MH-326</t>
  </si>
  <si>
    <t>C-92</t>
  </si>
  <si>
    <t>0+298.28</t>
  </si>
  <si>
    <t>1674.599mm</t>
  </si>
  <si>
    <t>MH-0326</t>
  </si>
  <si>
    <t>C-293, C-156</t>
  </si>
  <si>
    <t>MH-327</t>
  </si>
  <si>
    <t>C-753, C-101</t>
  </si>
  <si>
    <t>STORM PP C10 LHS</t>
  </si>
  <si>
    <t>0+279.50</t>
  </si>
  <si>
    <t>1663.288mm</t>
  </si>
  <si>
    <t>MH-0327</t>
  </si>
  <si>
    <t>C-466, C-293</t>
  </si>
  <si>
    <t>MH-328</t>
  </si>
  <si>
    <t>C-101</t>
  </si>
  <si>
    <t>0+298.55</t>
  </si>
  <si>
    <t>1663.038mm</t>
  </si>
  <si>
    <t>MH-0328</t>
  </si>
  <si>
    <t>C-1088, C-466</t>
  </si>
  <si>
    <t>0+001.74</t>
  </si>
  <si>
    <t>1919.565mm</t>
  </si>
  <si>
    <t>MH-0331</t>
  </si>
  <si>
    <t>C-484</t>
  </si>
  <si>
    <t>0+287.58</t>
  </si>
  <si>
    <t>2107.015mm</t>
  </si>
  <si>
    <t>MH-0332</t>
  </si>
  <si>
    <t>C-484, C-86, C-70</t>
  </si>
  <si>
    <t>0+269.50</t>
  </si>
  <si>
    <t>2398.150mm</t>
  </si>
  <si>
    <t>MH-0333</t>
  </si>
  <si>
    <t>C-393, C-85</t>
  </si>
  <si>
    <t>0+240.00</t>
  </si>
  <si>
    <t>2393.773mm</t>
  </si>
  <si>
    <t>MH-0334</t>
  </si>
  <si>
    <t>C-393, C-314</t>
  </si>
  <si>
    <t>0+220.00</t>
  </si>
  <si>
    <t>2406.452mm</t>
  </si>
  <si>
    <t>MH-0335</t>
  </si>
  <si>
    <t>C-314, C-126</t>
  </si>
  <si>
    <t>2424.638mm</t>
  </si>
  <si>
    <t>MH-0336</t>
  </si>
  <si>
    <t>C-128</t>
  </si>
  <si>
    <t>STORM TR C32 RHS</t>
  </si>
  <si>
    <t>0+142.78</t>
  </si>
  <si>
    <t>1783.732mm</t>
  </si>
  <si>
    <t>MH-0337</t>
  </si>
  <si>
    <t>C-590, C-128</t>
  </si>
  <si>
    <t>0+124.51</t>
  </si>
  <si>
    <t>1780.772mm</t>
  </si>
  <si>
    <t>MH-0338</t>
  </si>
  <si>
    <t>C-590, C-414</t>
  </si>
  <si>
    <t>0+106.03</t>
  </si>
  <si>
    <t>1782.112mm</t>
  </si>
  <si>
    <t>MH-0339</t>
  </si>
  <si>
    <t>C-414, C-291</t>
  </si>
  <si>
    <t>0+084.93</t>
  </si>
  <si>
    <t>1781.250mm</t>
  </si>
  <si>
    <t>MH-0340</t>
  </si>
  <si>
    <t>C-434, C-291</t>
  </si>
  <si>
    <t>0+064.93</t>
  </si>
  <si>
    <t>MH-0341</t>
  </si>
  <si>
    <t>C-434, C-162</t>
  </si>
  <si>
    <t>0+044.93</t>
  </si>
  <si>
    <t>MH-0342</t>
  </si>
  <si>
    <t>C-605, C-162</t>
  </si>
  <si>
    <t>0+024.93</t>
  </si>
  <si>
    <t>1908.250mm</t>
  </si>
  <si>
    <t>MH-0343</t>
  </si>
  <si>
    <t>C-392</t>
  </si>
  <si>
    <t>0+640.00</t>
  </si>
  <si>
    <t>1876.285mm</t>
  </si>
  <si>
    <t>MH-0344</t>
  </si>
  <si>
    <t>C-392, C-391</t>
  </si>
  <si>
    <t>0+620.00</t>
  </si>
  <si>
    <t>1857.577mm</t>
  </si>
  <si>
    <t>MH-0345</t>
  </si>
  <si>
    <t>C-391, C-132</t>
  </si>
  <si>
    <t>0+600.00</t>
  </si>
  <si>
    <t>1840.686mm</t>
  </si>
  <si>
    <t>MH-0346</t>
  </si>
  <si>
    <t>C-471, C-132</t>
  </si>
  <si>
    <t>0+580.00</t>
  </si>
  <si>
    <t>1934.613mm</t>
  </si>
  <si>
    <t>MH-0347</t>
  </si>
  <si>
    <t>C-605, C-471, C-110</t>
  </si>
  <si>
    <t>0+569.50</t>
  </si>
  <si>
    <t>1813.284mm</t>
  </si>
  <si>
    <t>MH-0348</t>
  </si>
  <si>
    <t>C-390</t>
  </si>
  <si>
    <t>MH-0349</t>
  </si>
  <si>
    <t>C-390, C-389</t>
  </si>
  <si>
    <t>MH-0350</t>
  </si>
  <si>
    <t>C-389, C-133</t>
  </si>
  <si>
    <t>MH-0351</t>
  </si>
  <si>
    <t>C-472, C-133</t>
  </si>
  <si>
    <t>2011.613mm</t>
  </si>
  <si>
    <t>MH-0352</t>
  </si>
  <si>
    <t>C-836, C-472, C-110</t>
  </si>
  <si>
    <t>0+569.43</t>
  </si>
  <si>
    <t>1740.466mm</t>
  </si>
  <si>
    <t>MH-0353</t>
  </si>
  <si>
    <t>C-836, C-161</t>
  </si>
  <si>
    <t>STORM TR B12 RHS</t>
  </si>
  <si>
    <t>0+100.00</t>
  </si>
  <si>
    <t>1843.493mm</t>
  </si>
  <si>
    <t>MH-0354</t>
  </si>
  <si>
    <t>C-161, C-160</t>
  </si>
  <si>
    <t>1844.293mm</t>
  </si>
  <si>
    <t>MH-0355</t>
  </si>
  <si>
    <t>C-464, C-160</t>
  </si>
  <si>
    <t>1844.093mm</t>
  </si>
  <si>
    <t>MH-0356</t>
  </si>
  <si>
    <t>C-464, C-141</t>
  </si>
  <si>
    <t>1843.893mm</t>
  </si>
  <si>
    <t>MH-0357</t>
  </si>
  <si>
    <t>C-141, C-102</t>
  </si>
  <si>
    <t>1954.693mm</t>
  </si>
  <si>
    <t>MH-0358</t>
  </si>
  <si>
    <t>C-825, C-126, C-102</t>
  </si>
  <si>
    <t>0+187.30</t>
  </si>
  <si>
    <t>3236.507mm</t>
  </si>
  <si>
    <t>MH-0359</t>
  </si>
  <si>
    <t>C-152</t>
  </si>
  <si>
    <t>STORM TR C32 LHS</t>
  </si>
  <si>
    <t>0+143.13</t>
  </si>
  <si>
    <t>1774.761mm</t>
  </si>
  <si>
    <t>MH-0360</t>
  </si>
  <si>
    <t>C-152, C-151</t>
  </si>
  <si>
    <t>0+123.13</t>
  </si>
  <si>
    <t>MH-0361</t>
  </si>
  <si>
    <t>C-290, C-151</t>
  </si>
  <si>
    <t>0+103.13</t>
  </si>
  <si>
    <t>MH-0362</t>
  </si>
  <si>
    <t>C-290, C-289</t>
  </si>
  <si>
    <t>0+083.13</t>
  </si>
  <si>
    <t>MH-0363</t>
  </si>
  <si>
    <t>C-433, C-289</t>
  </si>
  <si>
    <t>0+063.13</t>
  </si>
  <si>
    <t>MH-0364</t>
  </si>
  <si>
    <t>C-433, C-155</t>
  </si>
  <si>
    <t>0+043.13</t>
  </si>
  <si>
    <t>MH-0365</t>
  </si>
  <si>
    <t>C-604, C-155</t>
  </si>
  <si>
    <t>0+023.13</t>
  </si>
  <si>
    <t>1977.761mm</t>
  </si>
  <si>
    <t>MH-0366</t>
  </si>
  <si>
    <t>C-751, C-604</t>
  </si>
  <si>
    <t>0+007.30</t>
  </si>
  <si>
    <t>1881.871mm</t>
  </si>
  <si>
    <t>MH-0367</t>
  </si>
  <si>
    <t>C-835, C-751</t>
  </si>
  <si>
    <t>STORM TR B12 LHS</t>
  </si>
  <si>
    <t>0+114.15</t>
  </si>
  <si>
    <t>1867.338mm</t>
  </si>
  <si>
    <t>MH-0368</t>
  </si>
  <si>
    <t>C-835, C-154</t>
  </si>
  <si>
    <t>MH-0369</t>
  </si>
  <si>
    <t>C-154, C-153</t>
  </si>
  <si>
    <t>MH-0370</t>
  </si>
  <si>
    <t>C-463, C-153</t>
  </si>
  <si>
    <t>MH-0371</t>
  </si>
  <si>
    <t>C-463, C-140</t>
  </si>
  <si>
    <t>MH-0372</t>
  </si>
  <si>
    <t>C-580, C-140</t>
  </si>
  <si>
    <t>MH-0373</t>
  </si>
  <si>
    <t>C-825, C-580, C-533</t>
  </si>
  <si>
    <t>0+176.61</t>
  </si>
  <si>
    <t>3250.371mm</t>
  </si>
  <si>
    <t>MH-0374</t>
  </si>
  <si>
    <t>C-578, C-533</t>
  </si>
  <si>
    <t>3143.513mm</t>
  </si>
  <si>
    <t>MH-0375</t>
  </si>
  <si>
    <t>C-578, C-388</t>
  </si>
  <si>
    <t>3156.193mm</t>
  </si>
  <si>
    <t>MH-0376</t>
  </si>
  <si>
    <t>C-388, C-288</t>
  </si>
  <si>
    <t>3156.378mm</t>
  </si>
  <si>
    <t>MH-0377</t>
  </si>
  <si>
    <t>C-568, C-288</t>
  </si>
  <si>
    <t>3157.563mm</t>
  </si>
  <si>
    <t>MH-0378</t>
  </si>
  <si>
    <t>C-841</t>
  </si>
  <si>
    <t>0+091.56</t>
  </si>
  <si>
    <t>1870.811mm</t>
  </si>
  <si>
    <t>MH-0380</t>
  </si>
  <si>
    <t>C-834, C-552</t>
  </si>
  <si>
    <t>0+056.89</t>
  </si>
  <si>
    <t>1789.874mm</t>
  </si>
  <si>
    <t>MH-0381</t>
  </si>
  <si>
    <t>C-552, C-295</t>
  </si>
  <si>
    <t>1795.879mm</t>
  </si>
  <si>
    <t>MH-0382</t>
  </si>
  <si>
    <t>C-295, C-294</t>
  </si>
  <si>
    <t>1796.038mm</t>
  </si>
  <si>
    <t>MH-0383</t>
  </si>
  <si>
    <t>C-394</t>
  </si>
  <si>
    <t>0+545.83</t>
  </si>
  <si>
    <t>1858.307mm</t>
  </si>
  <si>
    <t>MH-0384</t>
  </si>
  <si>
    <t>C-394, C-298</t>
  </si>
  <si>
    <t>0+525.83</t>
  </si>
  <si>
    <t>1858.930mm</t>
  </si>
  <si>
    <t>MH-0385</t>
  </si>
  <si>
    <t>C-298, C-59</t>
  </si>
  <si>
    <t>0+505.83</t>
  </si>
  <si>
    <t>1823.553mm</t>
  </si>
  <si>
    <t>MH-0386</t>
  </si>
  <si>
    <t>C-395</t>
  </si>
  <si>
    <t>MH-0387</t>
  </si>
  <si>
    <t>C-395, C-299</t>
  </si>
  <si>
    <t>MH-0388</t>
  </si>
  <si>
    <t>C-299, C-26</t>
  </si>
  <si>
    <t>MH-0389</t>
  </si>
  <si>
    <t>C-111, C-81</t>
  </si>
  <si>
    <t>0+472.80</t>
  </si>
  <si>
    <t>1934.184mm</t>
  </si>
  <si>
    <t>MH-0390</t>
  </si>
  <si>
    <t>C-893, C-111, C-29</t>
  </si>
  <si>
    <t>1744.746mm</t>
  </si>
  <si>
    <t>MH-0391</t>
  </si>
  <si>
    <t>C-907, C-893</t>
  </si>
  <si>
    <t>STORM TR C30 RHS</t>
  </si>
  <si>
    <t>1851.556mm</t>
  </si>
  <si>
    <t>MH-0392</t>
  </si>
  <si>
    <t>C-907, C-158</t>
  </si>
  <si>
    <t>1795.715mm</t>
  </si>
  <si>
    <t>MH-0393</t>
  </si>
  <si>
    <t>C-297, C-158</t>
  </si>
  <si>
    <t>1794.374mm</t>
  </si>
  <si>
    <t>MH-0394</t>
  </si>
  <si>
    <t>C-297, C-296</t>
  </si>
  <si>
    <t>1794.533mm</t>
  </si>
  <si>
    <t>MH-0395</t>
  </si>
  <si>
    <t>C-1090, C-296</t>
  </si>
  <si>
    <t>0+001.18</t>
  </si>
  <si>
    <t>1758.685mm</t>
  </si>
  <si>
    <t>MH-0397</t>
  </si>
  <si>
    <t>C-568, C-418, C-57</t>
  </si>
  <si>
    <t>0+081.22</t>
  </si>
  <si>
    <t>3164.718mm</t>
  </si>
  <si>
    <t>MH-0398</t>
  </si>
  <si>
    <t>C-579, C-418</t>
  </si>
  <si>
    <t>3156.933mm</t>
  </si>
  <si>
    <t>MH-0399</t>
  </si>
  <si>
    <t>C-579, C-64</t>
  </si>
  <si>
    <t>0+041.43</t>
  </si>
  <si>
    <t>3131.263mm</t>
  </si>
  <si>
    <t>MH-0400</t>
  </si>
  <si>
    <t>C-412</t>
  </si>
  <si>
    <t>1817.877mm</t>
  </si>
  <si>
    <t>MH-0401</t>
  </si>
  <si>
    <t>C-412, C-90</t>
  </si>
  <si>
    <t>0+063.48</t>
  </si>
  <si>
    <t>1786.564mm</t>
  </si>
  <si>
    <t>MH-0402</t>
  </si>
  <si>
    <t>C-467, C-45</t>
  </si>
  <si>
    <t>1829.877mm</t>
  </si>
  <si>
    <t>MH-0403</t>
  </si>
  <si>
    <t>C-467, C-300</t>
  </si>
  <si>
    <t>MH-0404</t>
  </si>
  <si>
    <t>C-556</t>
  </si>
  <si>
    <t>1816.877mm</t>
  </si>
  <si>
    <t>MH-0405</t>
  </si>
  <si>
    <t>C-556, C-33</t>
  </si>
  <si>
    <t>0+063.60</t>
  </si>
  <si>
    <t>1785.354mm</t>
  </si>
  <si>
    <t>MH-0406</t>
  </si>
  <si>
    <t>C-468, C-73</t>
  </si>
  <si>
    <t>MH-0407</t>
  </si>
  <si>
    <t>C-468, C-301</t>
  </si>
  <si>
    <t>MH-0408</t>
  </si>
  <si>
    <t>C-1091, C-301</t>
  </si>
  <si>
    <t>0+001.07</t>
  </si>
  <si>
    <t>1764.152mm</t>
  </si>
  <si>
    <t>MH-0410</t>
  </si>
  <si>
    <t>C-116, C-56, C-44</t>
  </si>
  <si>
    <t>0+015.60</t>
  </si>
  <si>
    <t>3150.769mm</t>
  </si>
  <si>
    <t>MH-0411</t>
  </si>
  <si>
    <t>C-586, C-116</t>
  </si>
  <si>
    <t>0+000.00</t>
  </si>
  <si>
    <t>3133.038mm</t>
  </si>
  <si>
    <t>MH-0412</t>
  </si>
  <si>
    <t>C-586, C-387</t>
  </si>
  <si>
    <t>0+513.02</t>
  </si>
  <si>
    <t>3141.342mm</t>
  </si>
  <si>
    <t>MH-0413</t>
  </si>
  <si>
    <t>C-483, C-387</t>
  </si>
  <si>
    <t>0+493.02</t>
  </si>
  <si>
    <t>3153.959mm</t>
  </si>
  <si>
    <t>MH-0414</t>
  </si>
  <si>
    <t>C-94</t>
  </si>
  <si>
    <t>1754.315mm</t>
  </si>
  <si>
    <t>MH-415</t>
  </si>
  <si>
    <t>C-806</t>
  </si>
  <si>
    <t>0+009.91</t>
  </si>
  <si>
    <t>1876.497mm</t>
  </si>
  <si>
    <t>MH-0415</t>
  </si>
  <si>
    <t>C-536, C-94</t>
  </si>
  <si>
    <t>0+060.12</t>
  </si>
  <si>
    <t>1765.015mm</t>
  </si>
  <si>
    <t>MH-416</t>
  </si>
  <si>
    <t>C-626</t>
  </si>
  <si>
    <t>STORM TR C24 LHS</t>
  </si>
  <si>
    <t>0+009.54</t>
  </si>
  <si>
    <t>1783.834mm</t>
  </si>
  <si>
    <t>MH-0416</t>
  </si>
  <si>
    <t>C-536, C-469</t>
  </si>
  <si>
    <t>1764.835mm</t>
  </si>
  <si>
    <t>MH-417</t>
  </si>
  <si>
    <t>C-679</t>
  </si>
  <si>
    <t>0+333.77</t>
  </si>
  <si>
    <t>1788.179mm</t>
  </si>
  <si>
    <t>MH-0417</t>
  </si>
  <si>
    <t>C-469, C-302</t>
  </si>
  <si>
    <t>1765.095mm</t>
  </si>
  <si>
    <t>MH-418</t>
  </si>
  <si>
    <t>C-933</t>
  </si>
  <si>
    <t>0+333.99</t>
  </si>
  <si>
    <t>1744.459mm</t>
  </si>
  <si>
    <t>MH-0418</t>
  </si>
  <si>
    <t>C-609</t>
  </si>
  <si>
    <t>0+460.00</t>
  </si>
  <si>
    <t>1829.626mm</t>
  </si>
  <si>
    <t>MH-419</t>
  </si>
  <si>
    <t>C-778</t>
  </si>
  <si>
    <t>0+161.93</t>
  </si>
  <si>
    <t>1872.906mm</t>
  </si>
  <si>
    <t>MH-0419</t>
  </si>
  <si>
    <t>C-609, C-136</t>
  </si>
  <si>
    <t>0+440.00</t>
  </si>
  <si>
    <t>1821.286mm</t>
  </si>
  <si>
    <t>MH-420</t>
  </si>
  <si>
    <t>C-779</t>
  </si>
  <si>
    <t>0+161.57</t>
  </si>
  <si>
    <t>1871.474mm</t>
  </si>
  <si>
    <t>MH-0420</t>
  </si>
  <si>
    <t>C-396, C-136</t>
  </si>
  <si>
    <t>0+420.00</t>
  </si>
  <si>
    <t>1973.909mm</t>
  </si>
  <si>
    <t>MH-421</t>
  </si>
  <si>
    <t>C-2</t>
  </si>
  <si>
    <t>0+201.85</t>
  </si>
  <si>
    <t>1783.210mm</t>
  </si>
  <si>
    <t>MH-0421</t>
  </si>
  <si>
    <t>C-789, C-396</t>
  </si>
  <si>
    <t>0+395.77</t>
  </si>
  <si>
    <t>1851.091mm</t>
  </si>
  <si>
    <t>MH-422</t>
  </si>
  <si>
    <t>C-1</t>
  </si>
  <si>
    <t>STORM TR C3 LHS</t>
  </si>
  <si>
    <t>0+202.51</t>
  </si>
  <si>
    <t>1725.121mm</t>
  </si>
  <si>
    <t>MH-0422</t>
  </si>
  <si>
    <t>C-789, C-328</t>
  </si>
  <si>
    <t>0+380.00</t>
  </si>
  <si>
    <t>1821.155mm</t>
  </si>
  <si>
    <t>MH-0423</t>
  </si>
  <si>
    <t>C-598, C-328</t>
  </si>
  <si>
    <t>0+360.00</t>
  </si>
  <si>
    <t>2014.778mm</t>
  </si>
  <si>
    <t>MH-0424</t>
  </si>
  <si>
    <t>C-397</t>
  </si>
  <si>
    <t>1821.662mm</t>
  </si>
  <si>
    <t>MH-0425</t>
  </si>
  <si>
    <t>C-397, C-159</t>
  </si>
  <si>
    <t>MH-0426</t>
  </si>
  <si>
    <t>C-325, C-159</t>
  </si>
  <si>
    <t>1821.909mm</t>
  </si>
  <si>
    <t>MH-0427</t>
  </si>
  <si>
    <t>C-327, C-325</t>
  </si>
  <si>
    <t>0+400.00</t>
  </si>
  <si>
    <t>1821.532mm</t>
  </si>
  <si>
    <t>MH-0428</t>
  </si>
  <si>
    <t>C-327, C-326</t>
  </si>
  <si>
    <t>MH-0429</t>
  </si>
  <si>
    <t>C-599, C-326</t>
  </si>
  <si>
    <t>1816.778mm</t>
  </si>
  <si>
    <t>MH-0430</t>
  </si>
  <si>
    <t>C-599, C-112</t>
  </si>
  <si>
    <t>0+341.60</t>
  </si>
  <si>
    <t>1921.593mm</t>
  </si>
  <si>
    <t>MH-0431</t>
  </si>
  <si>
    <t>C-1072, C-598, C-112</t>
  </si>
  <si>
    <t>1740.332mm</t>
  </si>
  <si>
    <t>MH-0432</t>
  </si>
  <si>
    <t>C-1072, C-858</t>
  </si>
  <si>
    <t>STORM TR C28 RHS</t>
  </si>
  <si>
    <t>1870.315mm</t>
  </si>
  <si>
    <t>MH-0433</t>
  </si>
  <si>
    <t>C-948, C-858</t>
  </si>
  <si>
    <t>0+060.24</t>
  </si>
  <si>
    <t>1820.416mm</t>
  </si>
  <si>
    <t>MH-0434</t>
  </si>
  <si>
    <t>C-948, C-637</t>
  </si>
  <si>
    <t>1768.835mm</t>
  </si>
  <si>
    <t>MH-0435</t>
  </si>
  <si>
    <t>C-637, C-303</t>
  </si>
  <si>
    <t>MH-0436</t>
  </si>
  <si>
    <t>C-1092, C-303</t>
  </si>
  <si>
    <t>0+000.75</t>
  </si>
  <si>
    <t>1757.005mm</t>
  </si>
  <si>
    <t>MH-0438</t>
  </si>
  <si>
    <t>C-483, C-38, C-22</t>
  </si>
  <si>
    <t>0+475.07</t>
  </si>
  <si>
    <t>3143.477mm</t>
  </si>
  <si>
    <t>MH-0440</t>
  </si>
  <si>
    <t>C-500, C-18</t>
  </si>
  <si>
    <t>0+433.02</t>
  </si>
  <si>
    <t>3121.325mm</t>
  </si>
  <si>
    <t>MH-0441</t>
  </si>
  <si>
    <t>C-1094</t>
  </si>
  <si>
    <t>1747.966mm</t>
  </si>
  <si>
    <t>MH-0442</t>
  </si>
  <si>
    <t>C-1094, C-906</t>
  </si>
  <si>
    <t>1854.933mm</t>
  </si>
  <si>
    <t>MH-0443</t>
  </si>
  <si>
    <t>C-906, C-150</t>
  </si>
  <si>
    <t>1790.709mm</t>
  </si>
  <si>
    <t>MH-0444</t>
  </si>
  <si>
    <t>C-305, C-150</t>
  </si>
  <si>
    <t>1790.486mm</t>
  </si>
  <si>
    <t>MH-0445</t>
  </si>
  <si>
    <t>C-305, C-304</t>
  </si>
  <si>
    <t>1790.262mm</t>
  </si>
  <si>
    <t>MH-0446</t>
  </si>
  <si>
    <t>C-398</t>
  </si>
  <si>
    <t>0+325.68</t>
  </si>
  <si>
    <t>1898.661mm</t>
  </si>
  <si>
    <t>MH-0447</t>
  </si>
  <si>
    <t>C-398, C-46</t>
  </si>
  <si>
    <t>0+305.68</t>
  </si>
  <si>
    <t>1816.848mm</t>
  </si>
  <si>
    <t>MH-0448</t>
  </si>
  <si>
    <t>C-399</t>
  </si>
  <si>
    <t>1857.224mm</t>
  </si>
  <si>
    <t>MH-0449</t>
  </si>
  <si>
    <t>C-399, C-50</t>
  </si>
  <si>
    <t>1818.848mm</t>
  </si>
  <si>
    <t>MH-0450</t>
  </si>
  <si>
    <t>C-405, C-27</t>
  </si>
  <si>
    <t>0+276.16</t>
  </si>
  <si>
    <t>1930.945mm</t>
  </si>
  <si>
    <t>MH-0451</t>
  </si>
  <si>
    <t>C-956, C-405, C-23</t>
  </si>
  <si>
    <t>0+276.00</t>
  </si>
  <si>
    <t>1742.430mm</t>
  </si>
  <si>
    <t>MH-0452</t>
  </si>
  <si>
    <t>C-965, C-956</t>
  </si>
  <si>
    <t>0+075.95</t>
  </si>
  <si>
    <t>1839.427mm</t>
  </si>
  <si>
    <t>MH-0454</t>
  </si>
  <si>
    <t>C-532, C-307</t>
  </si>
  <si>
    <t>MH-0455</t>
  </si>
  <si>
    <t>C-307, C-306</t>
  </si>
  <si>
    <t>MH-0456</t>
  </si>
  <si>
    <t>C-1093, C-306</t>
  </si>
  <si>
    <t>0+000.88</t>
  </si>
  <si>
    <t>1758.256mm</t>
  </si>
  <si>
    <t>MH-0458</t>
  </si>
  <si>
    <t>C-899, C-20, C-18</t>
  </si>
  <si>
    <t>0+409.45</t>
  </si>
  <si>
    <t>3037.658mm</t>
  </si>
  <si>
    <t>MH-0459</t>
  </si>
  <si>
    <t>C-788</t>
  </si>
  <si>
    <t>0+579.99</t>
  </si>
  <si>
    <t>1952.188mm</t>
  </si>
  <si>
    <t>MH-0460</t>
  </si>
  <si>
    <t>C-1014, C-788</t>
  </si>
  <si>
    <t>0+599.99</t>
  </si>
  <si>
    <t>2190.710mm</t>
  </si>
  <si>
    <t>MH-0461</t>
  </si>
  <si>
    <t>C-1014, C-1013</t>
  </si>
  <si>
    <t>0+619.99</t>
  </si>
  <si>
    <t>2394.785mm</t>
  </si>
  <si>
    <t>MH-0462</t>
  </si>
  <si>
    <t>C-1029, C-1013</t>
  </si>
  <si>
    <t>0+639.99</t>
  </si>
  <si>
    <t>2414.708mm</t>
  </si>
  <si>
    <t>MH-0463</t>
  </si>
  <si>
    <t>C-1029, C-1028</t>
  </si>
  <si>
    <t>0+659.99</t>
  </si>
  <si>
    <t>2476.120mm</t>
  </si>
  <si>
    <t>MH-0464</t>
  </si>
  <si>
    <t>C-1028, C-941</t>
  </si>
  <si>
    <t>0+679.99</t>
  </si>
  <si>
    <t>2411.521mm</t>
  </si>
  <si>
    <t>MH-0466</t>
  </si>
  <si>
    <t>C-946, C-837</t>
  </si>
  <si>
    <t>0+721.78</t>
  </si>
  <si>
    <t>2164.573mm</t>
  </si>
  <si>
    <t>MH-0467</t>
  </si>
  <si>
    <t>C-970, C-837</t>
  </si>
  <si>
    <t>0+739.99</t>
  </si>
  <si>
    <t>2181.741mm</t>
  </si>
  <si>
    <t>MH-0468</t>
  </si>
  <si>
    <t>C-970, C-252</t>
  </si>
  <si>
    <t>0+759.99</t>
  </si>
  <si>
    <t>2139.148mm</t>
  </si>
  <si>
    <t>MH-0469</t>
  </si>
  <si>
    <t>C-444, C-252</t>
  </si>
  <si>
    <t>0+779.99</t>
  </si>
  <si>
    <t>2139.554mm</t>
  </si>
  <si>
    <t>MH-0470</t>
  </si>
  <si>
    <t>C-444, C-210</t>
  </si>
  <si>
    <t>0+799.99</t>
  </si>
  <si>
    <t>2138.961mm</t>
  </si>
  <si>
    <t>MH-0471</t>
  </si>
  <si>
    <t>C-251, C-210</t>
  </si>
  <si>
    <t>0+819.99</t>
  </si>
  <si>
    <t>2139.367mm</t>
  </si>
  <si>
    <t>MH-0472</t>
  </si>
  <si>
    <t>C-251, C-209</t>
  </si>
  <si>
    <t>0+839.99</t>
  </si>
  <si>
    <t>2138.774mm</t>
  </si>
  <si>
    <t>MH-0473</t>
  </si>
  <si>
    <t>C-209, C-208</t>
  </si>
  <si>
    <t>0+859.99</t>
  </si>
  <si>
    <t>2139.181mm</t>
  </si>
  <si>
    <t>MH-0474</t>
  </si>
  <si>
    <t>C-503, C-208</t>
  </si>
  <si>
    <t>0+879.99</t>
  </si>
  <si>
    <t>2151.587mm</t>
  </si>
  <si>
    <t>MH-0476</t>
  </si>
  <si>
    <t>C-592, C-503</t>
  </si>
  <si>
    <t>0+899.84</t>
  </si>
  <si>
    <t>2427.246mm</t>
  </si>
  <si>
    <t>MH-0477</t>
  </si>
  <si>
    <t>C-592, C-144</t>
  </si>
  <si>
    <t>0+919.99</t>
  </si>
  <si>
    <t>2439.400mm</t>
  </si>
  <si>
    <t>MH-0478</t>
  </si>
  <si>
    <t>C-250, C-144</t>
  </si>
  <si>
    <t>0+939.99</t>
  </si>
  <si>
    <t>2438.807mm</t>
  </si>
  <si>
    <t>MH-479</t>
  </si>
  <si>
    <t>C-352, C-899</t>
  </si>
  <si>
    <t>0+385.81</t>
  </si>
  <si>
    <t>2930.627mm</t>
  </si>
  <si>
    <t>Depth</t>
  </si>
  <si>
    <t>MH-0479</t>
  </si>
  <si>
    <t>C-250, C-249</t>
  </si>
  <si>
    <t>0+959.99</t>
  </si>
  <si>
    <t>2439.213mm</t>
  </si>
  <si>
    <t>MH-0480</t>
  </si>
  <si>
    <t>C-249, C-248</t>
  </si>
  <si>
    <t>0+979.99</t>
  </si>
  <si>
    <t>2439.620mm</t>
  </si>
  <si>
    <t>MH-0481</t>
  </si>
  <si>
    <t>C-443, C-248</t>
  </si>
  <si>
    <t>0+999.99</t>
  </si>
  <si>
    <t>2439.027mm</t>
  </si>
  <si>
    <t>MH-0482</t>
  </si>
  <si>
    <t>C-443, C-207</t>
  </si>
  <si>
    <t>1+019.99</t>
  </si>
  <si>
    <t>2439.433mm</t>
  </si>
  <si>
    <t>MH-0483</t>
  </si>
  <si>
    <t>C-509, C-207</t>
  </si>
  <si>
    <t>1+039.99</t>
  </si>
  <si>
    <t>2565.840mm</t>
  </si>
  <si>
    <t>MH-0484</t>
  </si>
  <si>
    <t>C-1030</t>
  </si>
  <si>
    <t>STORM TR B2 RHS</t>
  </si>
  <si>
    <t>0+280.00</t>
  </si>
  <si>
    <t>1751.837mm</t>
  </si>
  <si>
    <t>MH-0485</t>
  </si>
  <si>
    <t>C-1030, C-724</t>
  </si>
  <si>
    <t>0+300.00</t>
  </si>
  <si>
    <t>1963.885mm</t>
  </si>
  <si>
    <t>MH-0486</t>
  </si>
  <si>
    <t>C-781, C-724</t>
  </si>
  <si>
    <t>0+320.00</t>
  </si>
  <si>
    <t>2173.137mm</t>
  </si>
  <si>
    <t>MH-0487</t>
  </si>
  <si>
    <t>C-256</t>
  </si>
  <si>
    <t>1825.017mm</t>
  </si>
  <si>
    <t>MH-0488</t>
  </si>
  <si>
    <t>C-524, C-256</t>
  </si>
  <si>
    <t>1824.577mm</t>
  </si>
  <si>
    <t>MH-0490</t>
  </si>
  <si>
    <t>C-520, C-82</t>
  </si>
  <si>
    <t>0+079.16</t>
  </si>
  <si>
    <t>1792.645mm</t>
  </si>
  <si>
    <t>MH-0491</t>
  </si>
  <si>
    <t>C-539, C-520</t>
  </si>
  <si>
    <t>0+097.81</t>
  </si>
  <si>
    <t>1972.954mm</t>
  </si>
  <si>
    <t>MH-0492</t>
  </si>
  <si>
    <t>C-821, C-781, C-539</t>
  </si>
  <si>
    <t>0+332.32</t>
  </si>
  <si>
    <t>2103.782mm</t>
  </si>
  <si>
    <t>MH-0493</t>
  </si>
  <si>
    <t>C-255</t>
  </si>
  <si>
    <t>STORM TR C20 RHS</t>
  </si>
  <si>
    <t>MH-0494</t>
  </si>
  <si>
    <t>C-255, C-254</t>
  </si>
  <si>
    <t>MH-0495</t>
  </si>
  <si>
    <t>C-254, C-253</t>
  </si>
  <si>
    <t>1821.137mm</t>
  </si>
  <si>
    <t>MH-0496</t>
  </si>
  <si>
    <t>C-431, C-253</t>
  </si>
  <si>
    <t>1792.752mm</t>
  </si>
  <si>
    <t>MH-0497</t>
  </si>
  <si>
    <t>C-571, C-431</t>
  </si>
  <si>
    <t>1863.790mm</t>
  </si>
  <si>
    <t>MH-0498</t>
  </si>
  <si>
    <t>C-927, C-821, C-571</t>
  </si>
  <si>
    <t>0+341.75</t>
  </si>
  <si>
    <t>2373.057mm</t>
  </si>
  <si>
    <t>MH-0499</t>
  </si>
  <si>
    <t>C-927, C-861</t>
  </si>
  <si>
    <t>2703.640mm</t>
  </si>
  <si>
    <t>MH-0500</t>
  </si>
  <si>
    <t>C-1098, C-861, C-509</t>
  </si>
  <si>
    <t>0+372.88</t>
  </si>
  <si>
    <t>3670.231mm</t>
  </si>
  <si>
    <t>MH-0501</t>
  </si>
  <si>
    <t>C-641</t>
  </si>
  <si>
    <t>STORM TR B2  LHS</t>
  </si>
  <si>
    <t>0+279.80</t>
  </si>
  <si>
    <t>1751.804mm</t>
  </si>
  <si>
    <t>MH-0502</t>
  </si>
  <si>
    <t>C-722, C-641</t>
  </si>
  <si>
    <t>0+299.80</t>
  </si>
  <si>
    <t>1998.885mm</t>
  </si>
  <si>
    <t>MH-0503</t>
  </si>
  <si>
    <t>C-783, C-722</t>
  </si>
  <si>
    <t>0+319.80</t>
  </si>
  <si>
    <t>2208.137mm</t>
  </si>
  <si>
    <t>MH-0504</t>
  </si>
  <si>
    <t>C-716</t>
  </si>
  <si>
    <t>0+242.67</t>
  </si>
  <si>
    <t>1759.116mm</t>
  </si>
  <si>
    <t>MH-0505</t>
  </si>
  <si>
    <t>C-739, C-716</t>
  </si>
  <si>
    <t>0+222.67</t>
  </si>
  <si>
    <t>1762.115mm</t>
  </si>
  <si>
    <t>MH-0506</t>
  </si>
  <si>
    <t>C-739, C-723</t>
  </si>
  <si>
    <t>0+202.67</t>
  </si>
  <si>
    <t>MH-0508</t>
  </si>
  <si>
    <t>C-950, C-747</t>
  </si>
  <si>
    <t>0+161.78</t>
  </si>
  <si>
    <t>1758.385mm</t>
  </si>
  <si>
    <t>MH-0509</t>
  </si>
  <si>
    <t>C-950, C-417</t>
  </si>
  <si>
    <t>0+142.67</t>
  </si>
  <si>
    <t>1872.606mm</t>
  </si>
  <si>
    <t>MH-0510</t>
  </si>
  <si>
    <t>C-1065, C-783, C-417</t>
  </si>
  <si>
    <t>0+332.13</t>
  </si>
  <si>
    <t>2430.183mm</t>
  </si>
  <si>
    <t>MH-0511</t>
  </si>
  <si>
    <t>C-735</t>
  </si>
  <si>
    <t>MH-0512</t>
  </si>
  <si>
    <t>C-735, C-734</t>
  </si>
  <si>
    <t>MH-0513</t>
  </si>
  <si>
    <t>C-736, C-734</t>
  </si>
  <si>
    <t>MH-0514</t>
  </si>
  <si>
    <t>C-746, C-736</t>
  </si>
  <si>
    <t>0+182.67</t>
  </si>
  <si>
    <t>MH-0515</t>
  </si>
  <si>
    <t>C-996, C-746</t>
  </si>
  <si>
    <t>0+162.67</t>
  </si>
  <si>
    <t>1757.467mm</t>
  </si>
  <si>
    <t>MH-0516</t>
  </si>
  <si>
    <t>C-996, C-640</t>
  </si>
  <si>
    <t>1769.606mm</t>
  </si>
  <si>
    <t>MH-0517</t>
  </si>
  <si>
    <t>C-1068, C-1065, C-640</t>
  </si>
  <si>
    <t>0+341.47</t>
  </si>
  <si>
    <t>2697.734mm</t>
  </si>
  <si>
    <t>MH-0518</t>
  </si>
  <si>
    <t>C-1068, C-862</t>
  </si>
  <si>
    <t>0+359.80</t>
  </si>
  <si>
    <t>3038.640mm</t>
  </si>
  <si>
    <t>MH-0519</t>
  </si>
  <si>
    <t>C-1098, C-863, C-862</t>
  </si>
  <si>
    <t>0+372.67</t>
  </si>
  <si>
    <t>3778.241mm</t>
  </si>
  <si>
    <t>MH-0520</t>
  </si>
  <si>
    <t>C-969, C-863</t>
  </si>
  <si>
    <t>1+079.99</t>
  </si>
  <si>
    <t>3872.653mm</t>
  </si>
  <si>
    <t>MH-0521</t>
  </si>
  <si>
    <t>C-969, C-914</t>
  </si>
  <si>
    <t>1+099.99</t>
  </si>
  <si>
    <t>3796.060mm</t>
  </si>
  <si>
    <t>MH-0522</t>
  </si>
  <si>
    <t>C-1027, C-914</t>
  </si>
  <si>
    <t>1+119.99</t>
  </si>
  <si>
    <t>3719.466mm</t>
  </si>
  <si>
    <t>MH-0523</t>
  </si>
  <si>
    <t>C-1027, C-1026</t>
  </si>
  <si>
    <t>1+139.99</t>
  </si>
  <si>
    <t>3666.831mm</t>
  </si>
  <si>
    <t>MH-0524</t>
  </si>
  <si>
    <t>C-1076, C-1026</t>
  </si>
  <si>
    <t>1+159.99</t>
  </si>
  <si>
    <t>3700.735mm</t>
  </si>
  <si>
    <t>MH-0525</t>
  </si>
  <si>
    <t>C-379</t>
  </si>
  <si>
    <t>0+060.04</t>
  </si>
  <si>
    <t>1801.352mm</t>
  </si>
  <si>
    <t>MH-0526</t>
  </si>
  <si>
    <t>C-379, C-262</t>
  </si>
  <si>
    <t>0+040.04</t>
  </si>
  <si>
    <t>1801.066mm</t>
  </si>
  <si>
    <t>MH-0527</t>
  </si>
  <si>
    <t>C-624, C-262</t>
  </si>
  <si>
    <t>0+020.04</t>
  </si>
  <si>
    <t>1978.779mm</t>
  </si>
  <si>
    <t>MH-0528</t>
  </si>
  <si>
    <t>C-755</t>
  </si>
  <si>
    <t>1752.187mm</t>
  </si>
  <si>
    <t>MH-0529</t>
  </si>
  <si>
    <t>C-1000, C-755</t>
  </si>
  <si>
    <t>1996.709mm</t>
  </si>
  <si>
    <t>MH-0530</t>
  </si>
  <si>
    <t>C-1000, C-999</t>
  </si>
  <si>
    <t>2200.784mm</t>
  </si>
  <si>
    <t>MH-0531</t>
  </si>
  <si>
    <t>C-1071, C-999</t>
  </si>
  <si>
    <t>2220.707mm</t>
  </si>
  <si>
    <t>MH-0532</t>
  </si>
  <si>
    <t>C-381</t>
  </si>
  <si>
    <t>STORM PP B3 RHS</t>
  </si>
  <si>
    <t>1829.382mm</t>
  </si>
  <si>
    <t>MH-0533</t>
  </si>
  <si>
    <t>C-381, C-135</t>
  </si>
  <si>
    <t>1829.086mm</t>
  </si>
  <si>
    <t>MH-0534</t>
  </si>
  <si>
    <t>C-623, C-135</t>
  </si>
  <si>
    <t>1944.790mm</t>
  </si>
  <si>
    <t>MH-0535</t>
  </si>
  <si>
    <t>C-1071, C-868, C-623</t>
  </si>
  <si>
    <t>0+009.33</t>
  </si>
  <si>
    <t>2125.145mm</t>
  </si>
  <si>
    <t>MH-0536</t>
  </si>
  <si>
    <t>C-380</t>
  </si>
  <si>
    <t>STORM PP B3  LHS</t>
  </si>
  <si>
    <t>MH-0537</t>
  </si>
  <si>
    <t>C-380, C-134</t>
  </si>
  <si>
    <t>MH-0538</t>
  </si>
  <si>
    <t>C-622, C-134</t>
  </si>
  <si>
    <t>1995.790mm</t>
  </si>
  <si>
    <t>MH-0539</t>
  </si>
  <si>
    <t>C-868, C-818, C-622</t>
  </si>
  <si>
    <t>2231.055mm</t>
  </si>
  <si>
    <t>MH-0540</t>
  </si>
  <si>
    <t>C-902, C-818</t>
  </si>
  <si>
    <t>0+680.00</t>
  </si>
  <si>
    <t>2217.521mm</t>
  </si>
  <si>
    <t>MH-0541</t>
  </si>
  <si>
    <t>C-1032, C-902</t>
  </si>
  <si>
    <t>0+700.00</t>
  </si>
  <si>
    <t>2140.927mm</t>
  </si>
  <si>
    <t>MH-0542</t>
  </si>
  <si>
    <t>C-1032, C-998</t>
  </si>
  <si>
    <t>0+720.00</t>
  </si>
  <si>
    <t>2019.840mm</t>
  </si>
  <si>
    <t>MH-0543</t>
  </si>
  <si>
    <t>C-998, C-997</t>
  </si>
  <si>
    <t>0+740.00</t>
  </si>
  <si>
    <t>1987.740mm</t>
  </si>
  <si>
    <t>MH-0544</t>
  </si>
  <si>
    <t>C-997, C-264</t>
  </si>
  <si>
    <t>0+760.00</t>
  </si>
  <si>
    <t>1939.147mm</t>
  </si>
  <si>
    <t>MH-0545</t>
  </si>
  <si>
    <t>C-440, C-264</t>
  </si>
  <si>
    <t>0+780.00</t>
  </si>
  <si>
    <t>1939.553mm</t>
  </si>
  <si>
    <t>MH-0546</t>
  </si>
  <si>
    <t>C-440, C-193</t>
  </si>
  <si>
    <t>0+800.00</t>
  </si>
  <si>
    <t>1938.960mm</t>
  </si>
  <si>
    <t>MH-0547</t>
  </si>
  <si>
    <t>C-263, C-193</t>
  </si>
  <si>
    <t>0+820.00</t>
  </si>
  <si>
    <t>1939.367mm</t>
  </si>
  <si>
    <t>MH-0548</t>
  </si>
  <si>
    <t>C-263, C-192</t>
  </si>
  <si>
    <t>0+840.00</t>
  </si>
  <si>
    <t>1938.773mm</t>
  </si>
  <si>
    <t>MH-0549</t>
  </si>
  <si>
    <t>C-192, C-191</t>
  </si>
  <si>
    <t>0+860.00</t>
  </si>
  <si>
    <t>1939.180mm</t>
  </si>
  <si>
    <t>MH-0550</t>
  </si>
  <si>
    <t>C-423, C-191</t>
  </si>
  <si>
    <t>0+880.00</t>
  </si>
  <si>
    <t>1956.586mm</t>
  </si>
  <si>
    <t>MH-0551</t>
  </si>
  <si>
    <t>C-382</t>
  </si>
  <si>
    <t>STORM PP B4 RHS</t>
  </si>
  <si>
    <t>MH-0552</t>
  </si>
  <si>
    <t>C-382, C-265</t>
  </si>
  <si>
    <t>MH-0553</t>
  </si>
  <si>
    <t>C-621, C-265</t>
  </si>
  <si>
    <t>1928.779mm</t>
  </si>
  <si>
    <t>MH-0554</t>
  </si>
  <si>
    <t>C-621, C-423, C-419</t>
  </si>
  <si>
    <t>1912.741mm</t>
  </si>
  <si>
    <t>MH-0555</t>
  </si>
  <si>
    <t>C-625, C-624, C-419</t>
  </si>
  <si>
    <t>0+009.37</t>
  </si>
  <si>
    <t>1892.138mm</t>
  </si>
  <si>
    <t>MH-0556</t>
  </si>
  <si>
    <t>C-625, C-131</t>
  </si>
  <si>
    <t>0+920.00</t>
  </si>
  <si>
    <t>1939.400mm</t>
  </si>
  <si>
    <t>MH-0557</t>
  </si>
  <si>
    <t>C-261, C-131</t>
  </si>
  <si>
    <t>0+940.00</t>
  </si>
  <si>
    <t>1938.806mm</t>
  </si>
  <si>
    <t>MH-0558</t>
  </si>
  <si>
    <t>C-261, C-260</t>
  </si>
  <si>
    <t>0+960.00</t>
  </si>
  <si>
    <t>1939.213mm</t>
  </si>
  <si>
    <t>MH-0559</t>
  </si>
  <si>
    <t>C-260, C-190</t>
  </si>
  <si>
    <t>0+980.00</t>
  </si>
  <si>
    <t>1939.619mm</t>
  </si>
  <si>
    <t>MH-0560</t>
  </si>
  <si>
    <t>C-439, C-190</t>
  </si>
  <si>
    <t>1+000.00</t>
  </si>
  <si>
    <t>1939.026mm</t>
  </si>
  <si>
    <t>MH-0561</t>
  </si>
  <si>
    <t>C-439, C-259</t>
  </si>
  <si>
    <t>1+020.00</t>
  </si>
  <si>
    <t>1939.433mm</t>
  </si>
  <si>
    <t>MH-0562</t>
  </si>
  <si>
    <t>C-259, C-189</t>
  </si>
  <si>
    <t>1+040.00</t>
  </si>
  <si>
    <t>1983.839mm</t>
  </si>
  <si>
    <t>MH-0563</t>
  </si>
  <si>
    <t>C-662, C-189</t>
  </si>
  <si>
    <t>1+060.00</t>
  </si>
  <si>
    <t>1902.752mm</t>
  </si>
  <si>
    <t>MH-0564</t>
  </si>
  <si>
    <t>C-662, C-258</t>
  </si>
  <si>
    <t>1+080.00</t>
  </si>
  <si>
    <t>1939.652mm</t>
  </si>
  <si>
    <t>MH-0565</t>
  </si>
  <si>
    <t>C-456, C-258</t>
  </si>
  <si>
    <t>1+100.00</t>
  </si>
  <si>
    <t>1939.059mm</t>
  </si>
  <si>
    <t>MH-0566</t>
  </si>
  <si>
    <t>C-456, C-257</t>
  </si>
  <si>
    <t>1+120.00</t>
  </si>
  <si>
    <t>1915.466mm</t>
  </si>
  <si>
    <t>MH-0567</t>
  </si>
  <si>
    <t>C-1031, C-257</t>
  </si>
  <si>
    <t>1+140.00</t>
  </si>
  <si>
    <t>2202.831mm</t>
  </si>
  <si>
    <t>MH-0568</t>
  </si>
  <si>
    <t>C-1031, C-832</t>
  </si>
  <si>
    <t>1+160.00</t>
  </si>
  <si>
    <t>2236.234mm</t>
  </si>
  <si>
    <t>MH-0569</t>
  </si>
  <si>
    <t>C-745</t>
  </si>
  <si>
    <t>0+017.95</t>
  </si>
  <si>
    <t>1749.972mm</t>
  </si>
  <si>
    <t>MH-0570</t>
  </si>
  <si>
    <t>C-808, C-745</t>
  </si>
  <si>
    <t>0+037.95</t>
  </si>
  <si>
    <t>1824.067mm</t>
  </si>
  <si>
    <t>MH-0571</t>
  </si>
  <si>
    <t>C-962, C-808</t>
  </si>
  <si>
    <t>0+059.61</t>
  </si>
  <si>
    <t>1876.867mm</t>
  </si>
  <si>
    <t>MH-0573</t>
  </si>
  <si>
    <t>C-1001, C-856</t>
  </si>
  <si>
    <t>0+097.95</t>
  </si>
  <si>
    <t>1901.975mm</t>
  </si>
  <si>
    <t>MH-0574</t>
  </si>
  <si>
    <t>C-1060, C-1001</t>
  </si>
  <si>
    <t>0+117.95</t>
  </si>
  <si>
    <t>1881.959mm</t>
  </si>
  <si>
    <t>MH-0576</t>
  </si>
  <si>
    <t>C-890, C-502</t>
  </si>
  <si>
    <t>0+159.40</t>
  </si>
  <si>
    <t>1812.320mm</t>
  </si>
  <si>
    <t>MH-0577</t>
  </si>
  <si>
    <t>C-502, C-309</t>
  </si>
  <si>
    <t>0+179.57</t>
  </si>
  <si>
    <t>1809.111mm</t>
  </si>
  <si>
    <t>MH-0578</t>
  </si>
  <si>
    <t>C-309, C-194</t>
  </si>
  <si>
    <t>0+197.95</t>
  </si>
  <si>
    <t>1813.634mm</t>
  </si>
  <si>
    <t>MH-0579</t>
  </si>
  <si>
    <t>C-540, C-194</t>
  </si>
  <si>
    <t>0+217.95</t>
  </si>
  <si>
    <t>1810.355mm</t>
  </si>
  <si>
    <t>MH-0581</t>
  </si>
  <si>
    <t>C-508, C-39</t>
  </si>
  <si>
    <t>0+254.79</t>
  </si>
  <si>
    <t>1805.899mm</t>
  </si>
  <si>
    <t>MH-0582</t>
  </si>
  <si>
    <t>C-508, C-487</t>
  </si>
  <si>
    <t>0+272.58</t>
  </si>
  <si>
    <t>1804.571mm</t>
  </si>
  <si>
    <t>MH-0583</t>
  </si>
  <si>
    <t>C-487, C-313</t>
  </si>
  <si>
    <t>0+288.70</t>
  </si>
  <si>
    <t>1940.273mm</t>
  </si>
  <si>
    <t>MH-0584</t>
  </si>
  <si>
    <t>C-800</t>
  </si>
  <si>
    <t>STORM PP B6 LHS</t>
  </si>
  <si>
    <t>1752.493mm</t>
  </si>
  <si>
    <t>MH-0585</t>
  </si>
  <si>
    <t>C-809, C-800</t>
  </si>
  <si>
    <t>1863.532mm</t>
  </si>
  <si>
    <t>MH-0586</t>
  </si>
  <si>
    <t>C-1008, C-809</t>
  </si>
  <si>
    <t>1973.571mm</t>
  </si>
  <si>
    <t>MH-0587</t>
  </si>
  <si>
    <t>C-1008, C-916</t>
  </si>
  <si>
    <t>2082.609mm</t>
  </si>
  <si>
    <t>MH-0588</t>
  </si>
  <si>
    <t>C-1007, C-916</t>
  </si>
  <si>
    <t>2191.508mm</t>
  </si>
  <si>
    <t>MH-0589</t>
  </si>
  <si>
    <t>C-1007, C-1006</t>
  </si>
  <si>
    <t>2429.356mm</t>
  </si>
  <si>
    <t>MH-0590</t>
  </si>
  <si>
    <t>C-1037, C-1006</t>
  </si>
  <si>
    <t>2479.255mm</t>
  </si>
  <si>
    <t>MH-0591</t>
  </si>
  <si>
    <t>C-1037, C-1005</t>
  </si>
  <si>
    <t>2492.705mm</t>
  </si>
  <si>
    <t>MH-0592</t>
  </si>
  <si>
    <t>C-1005, C-909</t>
  </si>
  <si>
    <t>2469.207mm</t>
  </si>
  <si>
    <t>MH-0593</t>
  </si>
  <si>
    <t>C-1036, C-909</t>
  </si>
  <si>
    <t>2408.900mm</t>
  </si>
  <si>
    <t>MH-0594</t>
  </si>
  <si>
    <t>C-1036, C-1035</t>
  </si>
  <si>
    <t>2333.196mm</t>
  </si>
  <si>
    <t>MH-0595</t>
  </si>
  <si>
    <t>C-1035, C-1004</t>
  </si>
  <si>
    <t>2257.491mm</t>
  </si>
  <si>
    <t>MH-0596</t>
  </si>
  <si>
    <t>C-1004, C-1003</t>
  </si>
  <si>
    <t>2181.786mm</t>
  </si>
  <si>
    <t>MH-0597</t>
  </si>
  <si>
    <t>C-1003, C-915</t>
  </si>
  <si>
    <t>0+260.00</t>
  </si>
  <si>
    <t>2256.081mm</t>
  </si>
  <si>
    <t>MH-0598</t>
  </si>
  <si>
    <t>C-1002, C-915</t>
  </si>
  <si>
    <t>2180.377mm</t>
  </si>
  <si>
    <t>MH-0599</t>
  </si>
  <si>
    <t>C-1002, C-707</t>
  </si>
  <si>
    <t>2104.672mm</t>
  </si>
  <si>
    <t>MH-0600</t>
  </si>
  <si>
    <t>C-707, C-271</t>
  </si>
  <si>
    <t>2274.967mm</t>
  </si>
  <si>
    <t>MH-0601</t>
  </si>
  <si>
    <t>C-1034, C-271</t>
  </si>
  <si>
    <t>0+340.00</t>
  </si>
  <si>
    <t>2198.104mm</t>
  </si>
  <si>
    <t>MH-0602</t>
  </si>
  <si>
    <t>C-1034, C-1033</t>
  </si>
  <si>
    <t>2163.558mm</t>
  </si>
  <si>
    <t>MH-0603</t>
  </si>
  <si>
    <t>C-1033, C-458</t>
  </si>
  <si>
    <t>2087.852mm</t>
  </si>
  <si>
    <t>MH-0604</t>
  </si>
  <si>
    <t>C-458, C-270</t>
  </si>
  <si>
    <t>2087.147mm</t>
  </si>
  <si>
    <t>MH-0605</t>
  </si>
  <si>
    <t>C-270, C-200</t>
  </si>
  <si>
    <t>2082.308mm</t>
  </si>
  <si>
    <t>MH-0606</t>
  </si>
  <si>
    <t>C-200, C-199</t>
  </si>
  <si>
    <t>2077.340mm</t>
  </si>
  <si>
    <t>MH-0607</t>
  </si>
  <si>
    <t>C-269, C-199</t>
  </si>
  <si>
    <t>2071.747mm</t>
  </si>
  <si>
    <t>MH-0608</t>
  </si>
  <si>
    <t>C-457, C-269</t>
  </si>
  <si>
    <t>0+480.00</t>
  </si>
  <si>
    <t>2066.528mm</t>
  </si>
  <si>
    <t>MH-0609</t>
  </si>
  <si>
    <t>C-457, C-268</t>
  </si>
  <si>
    <t>0+500.00</t>
  </si>
  <si>
    <t>2061.681mm</t>
  </si>
  <si>
    <t>MH-0610</t>
  </si>
  <si>
    <t>C-268, C-198</t>
  </si>
  <si>
    <t>0+520.00</t>
  </si>
  <si>
    <t>2061.347mm</t>
  </si>
  <si>
    <t>MH-0611</t>
  </si>
  <si>
    <t>C-198, C-197</t>
  </si>
  <si>
    <t>0+540.00</t>
  </si>
  <si>
    <t>2061.516mm</t>
  </si>
  <si>
    <t>MH-0612</t>
  </si>
  <si>
    <t>C-267, C-197</t>
  </si>
  <si>
    <t>0+560.00</t>
  </si>
  <si>
    <t>MH-0613</t>
  </si>
  <si>
    <t>C-267, C-266</t>
  </si>
  <si>
    <t>2061.848mm</t>
  </si>
  <si>
    <t>MH-0614</t>
  </si>
  <si>
    <t>C-441, C-266</t>
  </si>
  <si>
    <t>2061.015mm</t>
  </si>
  <si>
    <t>MH-0615</t>
  </si>
  <si>
    <t>C-441, C-196</t>
  </si>
  <si>
    <t>2061.182mm</t>
  </si>
  <si>
    <t>MH-0616</t>
  </si>
  <si>
    <t>C-196, C-117</t>
  </si>
  <si>
    <t>2226.351mm</t>
  </si>
  <si>
    <t>MH-0617</t>
  </si>
  <si>
    <t>C-794</t>
  </si>
  <si>
    <t>STORM PP B6 RHS</t>
  </si>
  <si>
    <t>MH-0618</t>
  </si>
  <si>
    <t>C-993, C-794</t>
  </si>
  <si>
    <t>MH-0619</t>
  </si>
  <si>
    <t>C-993, C-992</t>
  </si>
  <si>
    <t>1972.570mm</t>
  </si>
  <si>
    <t>MH-0620</t>
  </si>
  <si>
    <t>C-992, C-918</t>
  </si>
  <si>
    <t>2081.609mm</t>
  </si>
  <si>
    <t>MH-0621</t>
  </si>
  <si>
    <t>C-995, C-918</t>
  </si>
  <si>
    <t>2192.008mm</t>
  </si>
  <si>
    <t>MH-0622</t>
  </si>
  <si>
    <t>C-995, C-994</t>
  </si>
  <si>
    <t>2277.855mm</t>
  </si>
  <si>
    <t>MH-0623</t>
  </si>
  <si>
    <t>C-1040, C-994</t>
  </si>
  <si>
    <t>2478.255mm</t>
  </si>
  <si>
    <t>MH-0624</t>
  </si>
  <si>
    <t>C-1040, C-1012</t>
  </si>
  <si>
    <t>2491.705mm</t>
  </si>
  <si>
    <t>MH-0625</t>
  </si>
  <si>
    <t>C-1012, C-910</t>
  </si>
  <si>
    <t>2468.207mm</t>
  </si>
  <si>
    <t>MH-0626</t>
  </si>
  <si>
    <t>C-1039, C-910</t>
  </si>
  <si>
    <t>2407.900mm</t>
  </si>
  <si>
    <t>MH-0627</t>
  </si>
  <si>
    <t>C-1039, C-1038</t>
  </si>
  <si>
    <t>2332.195mm</t>
  </si>
  <si>
    <t>MH-0628</t>
  </si>
  <si>
    <t>C-1038, C-1011</t>
  </si>
  <si>
    <t>2256.490mm</t>
  </si>
  <si>
    <t>MH-0629</t>
  </si>
  <si>
    <t>C-1011, C-1010</t>
  </si>
  <si>
    <t>2180.786mm</t>
  </si>
  <si>
    <t>MH-0630</t>
  </si>
  <si>
    <t>C-1010, C-917</t>
  </si>
  <si>
    <t>2255.081mm</t>
  </si>
  <si>
    <t>MH-0631</t>
  </si>
  <si>
    <t>C-1009, C-917</t>
  </si>
  <si>
    <t>2179.376mm</t>
  </si>
  <si>
    <t>MH-0632</t>
  </si>
  <si>
    <t>C-1009, C-706</t>
  </si>
  <si>
    <t>2103.671mm</t>
  </si>
  <si>
    <t>MH-0633</t>
  </si>
  <si>
    <t>C-706, C-480</t>
  </si>
  <si>
    <t>2088.966mm</t>
  </si>
  <si>
    <t>MH-0634</t>
  </si>
  <si>
    <t>C-480, C-68</t>
  </si>
  <si>
    <t>0+340.21</t>
  </si>
  <si>
    <t>2068.244mm</t>
  </si>
  <si>
    <t>MH-0635</t>
  </si>
  <si>
    <t>C-206, C-68</t>
  </si>
  <si>
    <t>2088.557mm</t>
  </si>
  <si>
    <t>MH-0636</t>
  </si>
  <si>
    <t>C-460, C-206</t>
  </si>
  <si>
    <t>MH-0637</t>
  </si>
  <si>
    <t>C-460, C-276</t>
  </si>
  <si>
    <t>MH-0638</t>
  </si>
  <si>
    <t>C-276, C-205</t>
  </si>
  <si>
    <t>MH-0639</t>
  </si>
  <si>
    <t>C-205, C-204</t>
  </si>
  <si>
    <t>MH-0640</t>
  </si>
  <si>
    <t>C-275, C-204</t>
  </si>
  <si>
    <t>MH-0641</t>
  </si>
  <si>
    <t>C-459, C-275</t>
  </si>
  <si>
    <t>MH-0642</t>
  </si>
  <si>
    <t>C-459, C-274</t>
  </si>
  <si>
    <t>MH-0643</t>
  </si>
  <si>
    <t>C-274, C-203</t>
  </si>
  <si>
    <t>MH-0644</t>
  </si>
  <si>
    <t>C-203, C-202</t>
  </si>
  <si>
    <t>2061.514mm</t>
  </si>
  <si>
    <t>MH-0645</t>
  </si>
  <si>
    <t>C-273, C-202</t>
  </si>
  <si>
    <t>MH-0646</t>
  </si>
  <si>
    <t>C-273, C-272</t>
  </si>
  <si>
    <t>MH-0647</t>
  </si>
  <si>
    <t>C-442, C-272</t>
  </si>
  <si>
    <t>MH-0648</t>
  </si>
  <si>
    <t>C-442, C-201</t>
  </si>
  <si>
    <t>MH-0649</t>
  </si>
  <si>
    <t>C-567, C-201</t>
  </si>
  <si>
    <t>2213.349mm</t>
  </si>
  <si>
    <t>MH-0651</t>
  </si>
  <si>
    <t>C-510</t>
  </si>
  <si>
    <t>0+289.07</t>
  </si>
  <si>
    <t>1798.491mm</t>
  </si>
  <si>
    <t>MH-0652</t>
  </si>
  <si>
    <t>C-537, C-510</t>
  </si>
  <si>
    <t>0+271.42</t>
  </si>
  <si>
    <t>1908.063mm</t>
  </si>
  <si>
    <t>MH-0653</t>
  </si>
  <si>
    <t>C-786, C-567, C-537</t>
  </si>
  <si>
    <t>0+256.80</t>
  </si>
  <si>
    <t>2347.754mm</t>
  </si>
  <si>
    <t>MH-0654</t>
  </si>
  <si>
    <t>C-1099, C-786, C-117</t>
  </si>
  <si>
    <t>0+246.20</t>
  </si>
  <si>
    <t>2797.511mm</t>
  </si>
  <si>
    <t>MH-0655</t>
  </si>
  <si>
    <t>C-1099, C-324</t>
  </si>
  <si>
    <t>0+235.87</t>
  </si>
  <si>
    <t>2832.774mm</t>
  </si>
  <si>
    <t>MH-0656</t>
  </si>
  <si>
    <t>C-348, C-324</t>
  </si>
  <si>
    <t>0+215.89</t>
  </si>
  <si>
    <t>2833.065mm</t>
  </si>
  <si>
    <t>MH-0657</t>
  </si>
  <si>
    <t>C-348, C-195</t>
  </si>
  <si>
    <t>0+195.89</t>
  </si>
  <si>
    <t>2877.251mm</t>
  </si>
  <si>
    <t>MH-0658</t>
  </si>
  <si>
    <t>C-600, C-195</t>
  </si>
  <si>
    <t>0+175.89</t>
  </si>
  <si>
    <t>2830.942mm</t>
  </si>
  <si>
    <t>MH-0659</t>
  </si>
  <si>
    <t>C-705</t>
  </si>
  <si>
    <t>0+017.63</t>
  </si>
  <si>
    <t>1755.344mm</t>
  </si>
  <si>
    <t>MH-0661</t>
  </si>
  <si>
    <t>C-1041, C-791</t>
  </si>
  <si>
    <t>0+057.86</t>
  </si>
  <si>
    <t>1895.457mm</t>
  </si>
  <si>
    <t>MH-0662</t>
  </si>
  <si>
    <t>C-1041, C-991</t>
  </si>
  <si>
    <t>0+077.86</t>
  </si>
  <si>
    <t>1921.187mm</t>
  </si>
  <si>
    <t>MH-0663</t>
  </si>
  <si>
    <t>C-991, C-891</t>
  </si>
  <si>
    <t>0+097.86</t>
  </si>
  <si>
    <t>1924.091mm</t>
  </si>
  <si>
    <t>MH-0664</t>
  </si>
  <si>
    <t>C-939, C-891</t>
  </si>
  <si>
    <t>0+119.60</t>
  </si>
  <si>
    <t>1901.616mm</t>
  </si>
  <si>
    <t>MH-0665</t>
  </si>
  <si>
    <t>C-947, C-939</t>
  </si>
  <si>
    <t>0+139.78</t>
  </si>
  <si>
    <t>1856.211mm</t>
  </si>
  <si>
    <t>MH-0666</t>
  </si>
  <si>
    <t>C-947, C-523</t>
  </si>
  <si>
    <t>0+159.35</t>
  </si>
  <si>
    <t>1809.563mm</t>
  </si>
  <si>
    <t>MH-0667</t>
  </si>
  <si>
    <t>C-535, C-523</t>
  </si>
  <si>
    <t>0+178.40</t>
  </si>
  <si>
    <t>1812.455mm</t>
  </si>
  <si>
    <t>MH-0668</t>
  </si>
  <si>
    <t>C-535, C-188</t>
  </si>
  <si>
    <t>0+197.86</t>
  </si>
  <si>
    <t>1814.079mm</t>
  </si>
  <si>
    <t>MH-0669</t>
  </si>
  <si>
    <t>C-278, C-188</t>
  </si>
  <si>
    <t>0+217.86</t>
  </si>
  <si>
    <t>1813.800mm</t>
  </si>
  <si>
    <t>MH-0670</t>
  </si>
  <si>
    <t>C-461, C-278</t>
  </si>
  <si>
    <t>0+237.86</t>
  </si>
  <si>
    <t>1813.522mm</t>
  </si>
  <si>
    <t>MH-0671</t>
  </si>
  <si>
    <t>C-461, C-277</t>
  </si>
  <si>
    <t>0+257.86</t>
  </si>
  <si>
    <t>1814.243mm</t>
  </si>
  <si>
    <t>MH-0672</t>
  </si>
  <si>
    <t>C-277, C-139</t>
  </si>
  <si>
    <t>0+277.86</t>
  </si>
  <si>
    <t>1813.965mm</t>
  </si>
  <si>
    <t>MH-0673</t>
  </si>
  <si>
    <t>C-531, C-139</t>
  </si>
  <si>
    <t>0+297.87</t>
  </si>
  <si>
    <t>1918.641mm</t>
  </si>
  <si>
    <t>MH-0674</t>
  </si>
  <si>
    <t>C-815, C-600, C-531</t>
  </si>
  <si>
    <t>0+164.08</t>
  </si>
  <si>
    <t>2794.223mm</t>
  </si>
  <si>
    <t>MH-0675</t>
  </si>
  <si>
    <t>C-815, C-517, C-313</t>
  </si>
  <si>
    <t>0+154.53</t>
  </si>
  <si>
    <t>2847.223mm</t>
  </si>
  <si>
    <t>MH-0676</t>
  </si>
  <si>
    <t>C-589, C-517</t>
  </si>
  <si>
    <t>0+134.44</t>
  </si>
  <si>
    <t>2856.519mm</t>
  </si>
  <si>
    <t>MH-0677</t>
  </si>
  <si>
    <t>C-589, C-581</t>
  </si>
  <si>
    <t>0+114.34</t>
  </si>
  <si>
    <t>2855.139mm</t>
  </si>
  <si>
    <t>MH-0678</t>
  </si>
  <si>
    <t>C-581, C-77</t>
  </si>
  <si>
    <t>0+094.83</t>
  </si>
  <si>
    <t>2835.151mm</t>
  </si>
  <si>
    <t>MH-0679</t>
  </si>
  <si>
    <t>C-921, C-813</t>
  </si>
  <si>
    <t>1772.054mm</t>
  </si>
  <si>
    <t>MH-0680</t>
  </si>
  <si>
    <t>C-1053, C-921</t>
  </si>
  <si>
    <t>2027.102mm</t>
  </si>
  <si>
    <t>MH-0681</t>
  </si>
  <si>
    <t>C-1053, C-980</t>
  </si>
  <si>
    <t>2287.150mm</t>
  </si>
  <si>
    <t>MH-0682</t>
  </si>
  <si>
    <t>C-980, C-979</t>
  </si>
  <si>
    <t>2547.198mm</t>
  </si>
  <si>
    <t>MH-0683</t>
  </si>
  <si>
    <t>C-1052, C-979</t>
  </si>
  <si>
    <t>2807.247mm</t>
  </si>
  <si>
    <t>MH-0684</t>
  </si>
  <si>
    <t>C-1052, C-1051</t>
  </si>
  <si>
    <t>3067.283mm</t>
  </si>
  <si>
    <t>MH-0685</t>
  </si>
  <si>
    <t>C-1051, C-901</t>
  </si>
  <si>
    <t>3265.759mm</t>
  </si>
  <si>
    <t>MH-0686</t>
  </si>
  <si>
    <t>C-901, C-817</t>
  </si>
  <si>
    <t>3344.445mm</t>
  </si>
  <si>
    <t>MH-0687</t>
  </si>
  <si>
    <t>C-819, C-817</t>
  </si>
  <si>
    <t>0+163.70</t>
  </si>
  <si>
    <t>3334.652mm</t>
  </si>
  <si>
    <t>MH-0688</t>
  </si>
  <si>
    <t>C-920, C-753</t>
  </si>
  <si>
    <t>1782.054mm</t>
  </si>
  <si>
    <t>MH-0689</t>
  </si>
  <si>
    <t>C-1050, C-920</t>
  </si>
  <si>
    <t>2040.102mm</t>
  </si>
  <si>
    <t>MH-0690</t>
  </si>
  <si>
    <t>C-1050, C-978</t>
  </si>
  <si>
    <t>2300.150mm</t>
  </si>
  <si>
    <t>MH-0691</t>
  </si>
  <si>
    <t>C-978, C-977</t>
  </si>
  <si>
    <t>2560.199mm</t>
  </si>
  <si>
    <t>MH-0692</t>
  </si>
  <si>
    <t>C-1049, C-977</t>
  </si>
  <si>
    <t>2820.247mm</t>
  </si>
  <si>
    <t>MH-0693</t>
  </si>
  <si>
    <t>C-1049, C-1048</t>
  </si>
  <si>
    <t>3080.283mm</t>
  </si>
  <si>
    <t>MH-0694</t>
  </si>
  <si>
    <t>C-1048, C-900</t>
  </si>
  <si>
    <t>3278.759mm</t>
  </si>
  <si>
    <t>MH-0695</t>
  </si>
  <si>
    <t>C-900, C-816</t>
  </si>
  <si>
    <t>3357.445mm</t>
  </si>
  <si>
    <t>MH-0696</t>
  </si>
  <si>
    <t>C-931, C-819, C-816</t>
  </si>
  <si>
    <t>0+154.71</t>
  </si>
  <si>
    <t>3286.138mm</t>
  </si>
  <si>
    <t>MH-0697</t>
  </si>
  <si>
    <t>C-931, C-872</t>
  </si>
  <si>
    <t>3393.568mm</t>
  </si>
  <si>
    <t>MH-0698</t>
  </si>
  <si>
    <t>C-987, C-872</t>
  </si>
  <si>
    <t>3277.271mm</t>
  </si>
  <si>
    <t>MH-0699</t>
  </si>
  <si>
    <t>C-987, C-922</t>
  </si>
  <si>
    <t>3160.975mm</t>
  </si>
  <si>
    <t>MH-0700</t>
  </si>
  <si>
    <t>C-284</t>
  </si>
  <si>
    <t>1813.785mm</t>
  </si>
  <si>
    <t>MH-0701</t>
  </si>
  <si>
    <t>C-284, C-183</t>
  </si>
  <si>
    <t>1814.302mm</t>
  </si>
  <si>
    <t>MH-0702</t>
  </si>
  <si>
    <t>C-437, C-183</t>
  </si>
  <si>
    <t>1813.815mm</t>
  </si>
  <si>
    <t>MH-0703</t>
  </si>
  <si>
    <t>C-437, C-283</t>
  </si>
  <si>
    <t>1814.335mm</t>
  </si>
  <si>
    <t>MH-0704</t>
  </si>
  <si>
    <t>C-522, C-283</t>
  </si>
  <si>
    <t>1972.852mm</t>
  </si>
  <si>
    <t xml:space="preserve">MH-0705 </t>
  </si>
  <si>
    <t>C-686</t>
  </si>
  <si>
    <t>1754.025mm</t>
  </si>
  <si>
    <t>MH-0706</t>
  </si>
  <si>
    <t>C-792, C-686</t>
  </si>
  <si>
    <t>1860.453mm</t>
  </si>
  <si>
    <t>MH-0707</t>
  </si>
  <si>
    <t>C-990, C-792</t>
  </si>
  <si>
    <t>1942.880mm</t>
  </si>
  <si>
    <t>MH-0708</t>
  </si>
  <si>
    <t>C-1055, C-990</t>
  </si>
  <si>
    <t>2022.308mm</t>
  </si>
  <si>
    <t>MH-0709</t>
  </si>
  <si>
    <t>C-1064, C-1055</t>
  </si>
  <si>
    <t>2101.736mm</t>
  </si>
  <si>
    <t>MH-0710</t>
  </si>
  <si>
    <t>C-1064, C-820</t>
  </si>
  <si>
    <t>2177.080mm</t>
  </si>
  <si>
    <t>MH-0711</t>
  </si>
  <si>
    <t>C-685</t>
  </si>
  <si>
    <t>MH-0712</t>
  </si>
  <si>
    <t>C-793, C-685</t>
  </si>
  <si>
    <t>MH-0713</t>
  </si>
  <si>
    <t>C-982, C-793</t>
  </si>
  <si>
    <t>MH-0714</t>
  </si>
  <si>
    <t>C-1054, C-982</t>
  </si>
  <si>
    <t>MH-0715</t>
  </si>
  <si>
    <t>C-1063, C-1054</t>
  </si>
  <si>
    <t>MH-0716</t>
  </si>
  <si>
    <t>C-1063, C-932, C-820</t>
  </si>
  <si>
    <t>0+154.74</t>
  </si>
  <si>
    <t>2154.492mm</t>
  </si>
  <si>
    <t>MH-0717</t>
  </si>
  <si>
    <t>C-932, C-871</t>
  </si>
  <si>
    <t>2264.568mm</t>
  </si>
  <si>
    <t>MH-0718</t>
  </si>
  <si>
    <t>C-981, C-871</t>
  </si>
  <si>
    <t>2146.271mm</t>
  </si>
  <si>
    <t>MH-0719</t>
  </si>
  <si>
    <t>C-981, C-127</t>
  </si>
  <si>
    <t>2116.975mm</t>
  </si>
  <si>
    <t>MH-0720</t>
  </si>
  <si>
    <t>C-522, C-499, C-127</t>
  </si>
  <si>
    <t>0+086.33</t>
  </si>
  <si>
    <t>1940.060mm</t>
  </si>
  <si>
    <t>MH-0721</t>
  </si>
  <si>
    <t>C-499, C-922, C-843</t>
  </si>
  <si>
    <t>2823.232mm</t>
  </si>
  <si>
    <t>MH-0722</t>
  </si>
  <si>
    <t>C-968, C-843</t>
  </si>
  <si>
    <t>3116.885mm</t>
  </si>
  <si>
    <t>MH-0723</t>
  </si>
  <si>
    <t>C-968, C-905</t>
  </si>
  <si>
    <t>3015.401mm</t>
  </si>
  <si>
    <t>MH-0724</t>
  </si>
  <si>
    <t>C-971, C-905</t>
  </si>
  <si>
    <t>2913.918mm</t>
  </si>
  <si>
    <t>MH-0725</t>
  </si>
  <si>
    <t>C-1047, C-971</t>
  </si>
  <si>
    <t>2812.434mm</t>
  </si>
  <si>
    <t>MH-0726</t>
  </si>
  <si>
    <t>C-1047, C-1046</t>
  </si>
  <si>
    <t>2710.951mm</t>
  </si>
  <si>
    <t>MH-0727</t>
  </si>
  <si>
    <t>C-1046, C-986</t>
  </si>
  <si>
    <t>2609.468mm</t>
  </si>
  <si>
    <t>MH-0728</t>
  </si>
  <si>
    <t>C-986, C-985</t>
  </si>
  <si>
    <t>2507.984mm</t>
  </si>
  <si>
    <t>MH-0729</t>
  </si>
  <si>
    <t>C-985, C-919</t>
  </si>
  <si>
    <t>2411.192mm</t>
  </si>
  <si>
    <t>MH-0730</t>
  </si>
  <si>
    <t>C-984, C-919</t>
  </si>
  <si>
    <t>2329.003mm</t>
  </si>
  <si>
    <t>MH-0731</t>
  </si>
  <si>
    <t>C-984, C-983</t>
  </si>
  <si>
    <t>2261.737mm</t>
  </si>
  <si>
    <t>MH-0732</t>
  </si>
  <si>
    <t>C-983, C-587</t>
  </si>
  <si>
    <t>2216.393mm</t>
  </si>
  <si>
    <t>MH-0733</t>
  </si>
  <si>
    <t>C-384</t>
  </si>
  <si>
    <t>2029.101mm</t>
  </si>
  <si>
    <t>MH-0734</t>
  </si>
  <si>
    <t>C-384, C-346</t>
  </si>
  <si>
    <t>1866.227mm</t>
  </si>
  <si>
    <t>MH-0735</t>
  </si>
  <si>
    <t>C-346, C-187</t>
  </si>
  <si>
    <t>0+200.08</t>
  </si>
  <si>
    <t>1833.981mm</t>
  </si>
  <si>
    <t>MH-0736</t>
  </si>
  <si>
    <t>C-383, C-187</t>
  </si>
  <si>
    <t>1804.772mm</t>
  </si>
  <si>
    <t>MH-0737</t>
  </si>
  <si>
    <t>C-383, C-345</t>
  </si>
  <si>
    <t>1800.782mm</t>
  </si>
  <si>
    <t>MH-0738</t>
  </si>
  <si>
    <t>C-345, C-344</t>
  </si>
  <si>
    <t>1800.496mm</t>
  </si>
  <si>
    <t>MH-0739</t>
  </si>
  <si>
    <t>C-344, C-285</t>
  </si>
  <si>
    <t>1801.210mm</t>
  </si>
  <si>
    <t>MH-0740</t>
  </si>
  <si>
    <t>C-285, C-120</t>
  </si>
  <si>
    <t>1965.924mm</t>
  </si>
  <si>
    <t>MH-0741</t>
  </si>
  <si>
    <t>C-587, C-422, C-120</t>
  </si>
  <si>
    <t>0+086.32</t>
  </si>
  <si>
    <t>2050.789mm</t>
  </si>
  <si>
    <t>MH-0742</t>
  </si>
  <si>
    <t>C-385</t>
  </si>
  <si>
    <t>0+240.04</t>
  </si>
  <si>
    <t>1991.171mm</t>
  </si>
  <si>
    <t>MH-0743</t>
  </si>
  <si>
    <t>C-385, C-347</t>
  </si>
  <si>
    <t>0+220.04</t>
  </si>
  <si>
    <t>MH-0744</t>
  </si>
  <si>
    <t>C-534, C-347</t>
  </si>
  <si>
    <t>1825.375mm</t>
  </si>
  <si>
    <t>MH-0745</t>
  </si>
  <si>
    <t>C-588, C-534</t>
  </si>
  <si>
    <t>0+175.38</t>
  </si>
  <si>
    <t>1930.794mm</t>
  </si>
  <si>
    <t>MH-0746</t>
  </si>
  <si>
    <t>C-924, C-588</t>
  </si>
  <si>
    <t>0+153.56</t>
  </si>
  <si>
    <t>1811.081mm</t>
  </si>
  <si>
    <t>MH-0748</t>
  </si>
  <si>
    <t>C-721, C-526</t>
  </si>
  <si>
    <t>0+120.04</t>
  </si>
  <si>
    <t>1790.210mm</t>
  </si>
  <si>
    <t>MH-0749</t>
  </si>
  <si>
    <t>C-615, C-526</t>
  </si>
  <si>
    <t>0+104.11</t>
  </si>
  <si>
    <t>2012.928mm</t>
  </si>
  <si>
    <t>MH-0750</t>
  </si>
  <si>
    <t>C-959, C-615, C-422</t>
  </si>
  <si>
    <t>0+086.37</t>
  </si>
  <si>
    <t>2191.892mm</t>
  </si>
  <si>
    <t>MH-0751</t>
  </si>
  <si>
    <t>C-959, C-859</t>
  </si>
  <si>
    <t>2358.001mm</t>
  </si>
  <si>
    <t>MH-0752</t>
  </si>
  <si>
    <t>C-859, C-857</t>
  </si>
  <si>
    <t>0+381.28</t>
  </si>
  <si>
    <t>2321.201mm</t>
  </si>
  <si>
    <t>MH-0753</t>
  </si>
  <si>
    <t>C-1045, C-857</t>
  </si>
  <si>
    <t>2289.340mm</t>
  </si>
  <si>
    <t>MH-0754</t>
  </si>
  <si>
    <t>C-1045, C-1044</t>
  </si>
  <si>
    <t>2255.009mm</t>
  </si>
  <si>
    <t>MH-0755</t>
  </si>
  <si>
    <t>C-1044, C-741</t>
  </si>
  <si>
    <t>2220.678mm</t>
  </si>
  <si>
    <t>MH-0756</t>
  </si>
  <si>
    <t>C-741, C-649</t>
  </si>
  <si>
    <t>2202.354mm</t>
  </si>
  <si>
    <t>MH-0757</t>
  </si>
  <si>
    <t>C-653, C-649</t>
  </si>
  <si>
    <t>2202.016mm</t>
  </si>
  <si>
    <t>MH-0758</t>
  </si>
  <si>
    <t>C-653, C-646</t>
  </si>
  <si>
    <t>2202.685mm</t>
  </si>
  <si>
    <t>MH-0759</t>
  </si>
  <si>
    <t>C-657, C-646</t>
  </si>
  <si>
    <t>MH-0760</t>
  </si>
  <si>
    <t>C-657, C-639</t>
  </si>
  <si>
    <t>0+539.93</t>
  </si>
  <si>
    <t>2202.205mm</t>
  </si>
  <si>
    <t>MH-0761</t>
  </si>
  <si>
    <t>C-645, C-639</t>
  </si>
  <si>
    <t>2202.692mm</t>
  </si>
  <si>
    <t>MH-0762</t>
  </si>
  <si>
    <t>C-656, C-645</t>
  </si>
  <si>
    <t>2202.361mm</t>
  </si>
  <si>
    <t>MH-0763</t>
  </si>
  <si>
    <t>C-656, C-629</t>
  </si>
  <si>
    <t>2202.030mm</t>
  </si>
  <si>
    <t>MH-0765</t>
  </si>
  <si>
    <t>C-1075, C-665</t>
  </si>
  <si>
    <t>2201.868mm</t>
  </si>
  <si>
    <t>MH-0766</t>
  </si>
  <si>
    <t>C-282</t>
  </si>
  <si>
    <t>STORM PP B5 LHS</t>
  </si>
  <si>
    <t>MH-0767</t>
  </si>
  <si>
    <t>C-282, C-186</t>
  </si>
  <si>
    <t>MH-0768</t>
  </si>
  <si>
    <t>C-438, C-186</t>
  </si>
  <si>
    <t>MH-0769</t>
  </si>
  <si>
    <t>C-438, C-281</t>
  </si>
  <si>
    <t>MH-0770</t>
  </si>
  <si>
    <t>C-541, C-281</t>
  </si>
  <si>
    <t>MH-0771</t>
  </si>
  <si>
    <t>C-854, C-541</t>
  </si>
  <si>
    <t>0+100.43</t>
  </si>
  <si>
    <t>1748.159mm</t>
  </si>
  <si>
    <t>MH-0772</t>
  </si>
  <si>
    <t>C-854, C-148</t>
  </si>
  <si>
    <t>1813.885mm</t>
  </si>
  <si>
    <t>MH-0773</t>
  </si>
  <si>
    <t>C-432, C-148</t>
  </si>
  <si>
    <t>1814.401mm</t>
  </si>
  <si>
    <t>MH-0774</t>
  </si>
  <si>
    <t>C-432, C-149</t>
  </si>
  <si>
    <t>1813.918mm</t>
  </si>
  <si>
    <t>MH-0775</t>
  </si>
  <si>
    <t>C-280, C-149</t>
  </si>
  <si>
    <t>1814.435mm</t>
  </si>
  <si>
    <t>MH-0776</t>
  </si>
  <si>
    <t>C-280, C-279</t>
  </si>
  <si>
    <t>1813.951mm</t>
  </si>
  <si>
    <t>MH-0777</t>
  </si>
  <si>
    <t>C-279, C-212</t>
  </si>
  <si>
    <t>1814.468mm</t>
  </si>
  <si>
    <t>MH-0778</t>
  </si>
  <si>
    <t>C-212, C-211</t>
  </si>
  <si>
    <t>1808.984mm</t>
  </si>
  <si>
    <t>MH-0779</t>
  </si>
  <si>
    <t>C-462, C-211</t>
  </si>
  <si>
    <t>1795.192mm</t>
  </si>
  <si>
    <t>MH-0780</t>
  </si>
  <si>
    <t>C-462, C-185</t>
  </si>
  <si>
    <t>1780.003mm</t>
  </si>
  <si>
    <t>MH-0781</t>
  </si>
  <si>
    <t>C-185, C-184</t>
  </si>
  <si>
    <t>1764.737mm</t>
  </si>
  <si>
    <t>MH-0782</t>
  </si>
  <si>
    <t>C-521, C-184</t>
  </si>
  <si>
    <t>1916.394mm</t>
  </si>
  <si>
    <t>MH-0783</t>
  </si>
  <si>
    <t>C-847, C-521</t>
  </si>
  <si>
    <t>0+338.69</t>
  </si>
  <si>
    <t>1897.697mm</t>
  </si>
  <si>
    <t>MH-0784</t>
  </si>
  <si>
    <t>C-908, C-847</t>
  </si>
  <si>
    <t>2032.002mm</t>
  </si>
  <si>
    <t>MH-0785</t>
  </si>
  <si>
    <t>C-1043, C-908</t>
  </si>
  <si>
    <t>1997.671mm</t>
  </si>
  <si>
    <t>MH-0786</t>
  </si>
  <si>
    <t>C-1043, C-1042</t>
  </si>
  <si>
    <t>1963.340mm</t>
  </si>
  <si>
    <t>MH-0787</t>
  </si>
  <si>
    <t>C-1042, C-767</t>
  </si>
  <si>
    <t>1929.009mm</t>
  </si>
  <si>
    <t>MH-0788</t>
  </si>
  <si>
    <t>C-767, C-651</t>
  </si>
  <si>
    <t>1902.685mm</t>
  </si>
  <si>
    <t>MH-0789</t>
  </si>
  <si>
    <t>C-651, C-648</t>
  </si>
  <si>
    <t>1902.354mm</t>
  </si>
  <si>
    <t>MH-0790</t>
  </si>
  <si>
    <t>C-652, C-648</t>
  </si>
  <si>
    <t>1902.023mm</t>
  </si>
  <si>
    <t>MH-0791</t>
  </si>
  <si>
    <t>C-652, C-644</t>
  </si>
  <si>
    <t>MH-0792</t>
  </si>
  <si>
    <t>C-654, C-644</t>
  </si>
  <si>
    <t>MH-0793</t>
  </si>
  <si>
    <t>C-654, C-642</t>
  </si>
  <si>
    <t>MH-0794</t>
  </si>
  <si>
    <t>C-643, C-642</t>
  </si>
  <si>
    <t>1902.692mm</t>
  </si>
  <si>
    <t>MH-0795</t>
  </si>
  <si>
    <t>C-655, C-643</t>
  </si>
  <si>
    <t>1902.361mm</t>
  </si>
  <si>
    <t>MH-0796</t>
  </si>
  <si>
    <t>C-655, C-647</t>
  </si>
  <si>
    <t>1902.030mm</t>
  </si>
  <si>
    <t>MH-0797</t>
  </si>
  <si>
    <t>C-650, C-647</t>
  </si>
  <si>
    <t>1902.699mm</t>
  </si>
  <si>
    <t>MH-0798</t>
  </si>
  <si>
    <t>C-1075, C-650, C-408</t>
  </si>
  <si>
    <t>2450.368mm</t>
  </si>
  <si>
    <t>MH-0799</t>
  </si>
  <si>
    <t>C-504, C-408, C-77</t>
  </si>
  <si>
    <t>0+075.73</t>
  </si>
  <si>
    <t>2855.415mm</t>
  </si>
  <si>
    <t>MH-0801</t>
  </si>
  <si>
    <t>C-551, C-79</t>
  </si>
  <si>
    <t>0+038.20</t>
  </si>
  <si>
    <t>2826.575mm</t>
  </si>
  <si>
    <t>44° 59' 59.618"</t>
  </si>
  <si>
    <t>MH-0802</t>
  </si>
  <si>
    <t>&lt;None&gt;</t>
  </si>
  <si>
    <t>C-551, C-482</t>
  </si>
  <si>
    <t>TR A2 A1 CHAMFER</t>
  </si>
  <si>
    <t>0+062.52</t>
  </si>
  <si>
    <t>2948.208mm</t>
  </si>
  <si>
    <t>MH-0803</t>
  </si>
  <si>
    <t>C-928, C-839, C-482</t>
  </si>
  <si>
    <t>1+182.64</t>
  </si>
  <si>
    <t>3707.022mm</t>
  </si>
  <si>
    <t>224° 59' 59.618"</t>
  </si>
  <si>
    <t>MH-0804</t>
  </si>
  <si>
    <t>C-960, C-887, C-839</t>
  </si>
  <si>
    <t>1+182.63</t>
  </si>
  <si>
    <t>4372.211mm</t>
  </si>
  <si>
    <t>315° 0' 0.000"</t>
  </si>
  <si>
    <t>MH-0805</t>
  </si>
  <si>
    <t>C-960, C-840</t>
  </si>
  <si>
    <t>0+015.22</t>
  </si>
  <si>
    <t>4520.389mm</t>
  </si>
  <si>
    <t>314° 59' 60.000"</t>
  </si>
  <si>
    <t>MH-0806</t>
  </si>
  <si>
    <t>C-840, C-830</t>
  </si>
  <si>
    <t>0+486.87</t>
  </si>
  <si>
    <t>4284.284mm</t>
  </si>
  <si>
    <t>137° 21' 57.817"</t>
  </si>
  <si>
    <t>MH-0807</t>
  </si>
  <si>
    <t>C-1025, C-830</t>
  </si>
  <si>
    <t>0+473.02</t>
  </si>
  <si>
    <t>4221.078mm</t>
  </si>
  <si>
    <t>MH-0808</t>
  </si>
  <si>
    <t>C-1025, C-879</t>
  </si>
  <si>
    <t>0+453.02</t>
  </si>
  <si>
    <t>4130.200mm</t>
  </si>
  <si>
    <t>MH-0809</t>
  </si>
  <si>
    <t>C-952, C-879</t>
  </si>
  <si>
    <t>4039.322mm</t>
  </si>
  <si>
    <t>MH-0810</t>
  </si>
  <si>
    <t>C-749</t>
  </si>
  <si>
    <t>STORM TR B1 LHS</t>
  </si>
  <si>
    <t>0+060.02</t>
  </si>
  <si>
    <t>1748.200mm</t>
  </si>
  <si>
    <t>MH-0811</t>
  </si>
  <si>
    <t>C-749, C-319</t>
  </si>
  <si>
    <t>0+040.02</t>
  </si>
  <si>
    <t>1935.969mm</t>
  </si>
  <si>
    <t>MH-0812</t>
  </si>
  <si>
    <t>C-497, C-319</t>
  </si>
  <si>
    <t>0+020.02</t>
  </si>
  <si>
    <t>2058.066mm</t>
  </si>
  <si>
    <t>MH-0813</t>
  </si>
  <si>
    <t>C-790, C-497</t>
  </si>
  <si>
    <t>0+004.87</t>
  </si>
  <si>
    <t>1771.367mm</t>
  </si>
  <si>
    <t>MH-0814</t>
  </si>
  <si>
    <t>C-790, C-664</t>
  </si>
  <si>
    <t>2029.229mm</t>
  </si>
  <si>
    <t>MH-0815</t>
  </si>
  <si>
    <t>C-664, C-613</t>
  </si>
  <si>
    <t>2019.430mm</t>
  </si>
  <si>
    <t>MH-0816</t>
  </si>
  <si>
    <t>C-613, C-93</t>
  </si>
  <si>
    <t>0+057.90</t>
  </si>
  <si>
    <t>2003.713mm</t>
  </si>
  <si>
    <t>MH-0817</t>
  </si>
  <si>
    <t>C-410, C-91</t>
  </si>
  <si>
    <t>2020.833mm</t>
  </si>
  <si>
    <t>MH-0819</t>
  </si>
  <si>
    <t>C-882, C-76</t>
  </si>
  <si>
    <t>0+275.79</t>
  </si>
  <si>
    <t>2386.366mm</t>
  </si>
  <si>
    <t>MH-0820</t>
  </si>
  <si>
    <t>C-889, C-882</t>
  </si>
  <si>
    <t>2504.787mm</t>
  </si>
  <si>
    <t>MH-0822</t>
  </si>
  <si>
    <t>C-940, C-848</t>
  </si>
  <si>
    <t>0+179.66</t>
  </si>
  <si>
    <t>2658.974mm</t>
  </si>
  <si>
    <t>MH-0823</t>
  </si>
  <si>
    <t>C-1056, C-848</t>
  </si>
  <si>
    <t>2794.849mm</t>
  </si>
  <si>
    <t>MH-0824</t>
  </si>
  <si>
    <t>C-1056, C-904</t>
  </si>
  <si>
    <t>2932.067mm</t>
  </si>
  <si>
    <t>MH-0825</t>
  </si>
  <si>
    <t>C-904, C-823</t>
  </si>
  <si>
    <t>3069.285mm</t>
  </si>
  <si>
    <t>MH-0826</t>
  </si>
  <si>
    <t>C-1059, C-952, C-864</t>
  </si>
  <si>
    <t>0+418.85</t>
  </si>
  <si>
    <t>3972.768mm</t>
  </si>
  <si>
    <t>MH-0827</t>
  </si>
  <si>
    <t>C-287</t>
  </si>
  <si>
    <t>STORM TR B1 RHS</t>
  </si>
  <si>
    <t>1900.433mm</t>
  </si>
  <si>
    <t>MH-0828</t>
  </si>
  <si>
    <t>C-386, C-287</t>
  </si>
  <si>
    <t>1936.298mm</t>
  </si>
  <si>
    <t>MH-0829</t>
  </si>
  <si>
    <t>C-519, C-386</t>
  </si>
  <si>
    <t>1922.396mm</t>
  </si>
  <si>
    <t>MH-0830</t>
  </si>
  <si>
    <t>C-708, C-519</t>
  </si>
  <si>
    <t>0+005.82</t>
  </si>
  <si>
    <t>1751.599mm</t>
  </si>
  <si>
    <t>MH-0831</t>
  </si>
  <si>
    <t>C-708, C-35</t>
  </si>
  <si>
    <t>1777.175mm</t>
  </si>
  <si>
    <t>MH-0832</t>
  </si>
  <si>
    <t>C-182, C-95</t>
  </si>
  <si>
    <t>0+019.89</t>
  </si>
  <si>
    <t>1771.229mm</t>
  </si>
  <si>
    <t>MH-0833</t>
  </si>
  <si>
    <t>C-182, C-181</t>
  </si>
  <si>
    <t>0+039.89</t>
  </si>
  <si>
    <t>1770.430mm</t>
  </si>
  <si>
    <t>MH-0834</t>
  </si>
  <si>
    <t>C-286, C-181</t>
  </si>
  <si>
    <t>0+059.89</t>
  </si>
  <si>
    <t>1770.632mm</t>
  </si>
  <si>
    <t>MH-0835</t>
  </si>
  <si>
    <t>C-515, C-286</t>
  </si>
  <si>
    <t>0+079.89</t>
  </si>
  <si>
    <t>1768.833mm</t>
  </si>
  <si>
    <t>MH-0836</t>
  </si>
  <si>
    <t>C-515, C-55</t>
  </si>
  <si>
    <t>0+099.51</t>
  </si>
  <si>
    <t>1886.754mm</t>
  </si>
  <si>
    <t>MH-0837</t>
  </si>
  <si>
    <t>C-803, C-55</t>
  </si>
  <si>
    <t>0+266.40</t>
  </si>
  <si>
    <t>1704.192mm</t>
  </si>
  <si>
    <t>MH-0838</t>
  </si>
  <si>
    <t>C-989, C-803</t>
  </si>
  <si>
    <t>0+139.89</t>
  </si>
  <si>
    <t>1928.787mm</t>
  </si>
  <si>
    <t>MH-0839</t>
  </si>
  <si>
    <t>C-989, C-988</t>
  </si>
  <si>
    <t>0+159.89</t>
  </si>
  <si>
    <t>1985.167mm</t>
  </si>
  <si>
    <t>MH-0840</t>
  </si>
  <si>
    <t>C-1058, C-988</t>
  </si>
  <si>
    <t>0+179.89</t>
  </si>
  <si>
    <t>2084.661mm</t>
  </si>
  <si>
    <t>MH-0841</t>
  </si>
  <si>
    <t>C-1058, C-1057</t>
  </si>
  <si>
    <t>0+199.89</t>
  </si>
  <si>
    <t>2218.849mm</t>
  </si>
  <si>
    <t>MH-0842</t>
  </si>
  <si>
    <t>C-1057, C-903</t>
  </si>
  <si>
    <t>0+219.89</t>
  </si>
  <si>
    <t>2356.067mm</t>
  </si>
  <si>
    <t>MH-0843</t>
  </si>
  <si>
    <t>C-949, C-903</t>
  </si>
  <si>
    <t>0+239.89</t>
  </si>
  <si>
    <t>2493.285mm</t>
  </si>
  <si>
    <t>MH-0844</t>
  </si>
  <si>
    <t>C-1096, C-1062, C-864</t>
  </si>
  <si>
    <t>0+409.30</t>
  </si>
  <si>
    <t>3933.824mm</t>
  </si>
  <si>
    <t>MH-5132</t>
  </si>
  <si>
    <t>C-756</t>
  </si>
  <si>
    <t>0+004.50</t>
  </si>
  <si>
    <t>1723.446mm</t>
  </si>
  <si>
    <t>180° 0' 0.000"</t>
  </si>
  <si>
    <t>MH-5133</t>
  </si>
  <si>
    <t>C-756, C-17</t>
  </si>
  <si>
    <t>1832.627mm</t>
  </si>
  <si>
    <t>MH-5134</t>
  </si>
  <si>
    <t>C-311, C-52</t>
  </si>
  <si>
    <t>0+049.99</t>
  </si>
  <si>
    <t>1883.919mm</t>
  </si>
  <si>
    <t>MH-5135</t>
  </si>
  <si>
    <t>C-516, C-311</t>
  </si>
  <si>
    <t>0+068.35</t>
  </si>
  <si>
    <t>1890.320mm</t>
  </si>
  <si>
    <t>MH-5136</t>
  </si>
  <si>
    <t>C-516, C-53</t>
  </si>
  <si>
    <t>0+087.95</t>
  </si>
  <si>
    <t>1989.146mm</t>
  </si>
  <si>
    <t>MH-5137</t>
  </si>
  <si>
    <t>C-923, C-53</t>
  </si>
  <si>
    <t>0+191.95</t>
  </si>
  <si>
    <t>1730.610mm</t>
  </si>
  <si>
    <t>MH-5138</t>
  </si>
  <si>
    <t>C-923, C-885</t>
  </si>
  <si>
    <t>0+174.12</t>
  </si>
  <si>
    <t>1793.720mm</t>
  </si>
  <si>
    <t>MH-5139</t>
  </si>
  <si>
    <t>C-885, C-72</t>
  </si>
  <si>
    <t>0+155.39</t>
  </si>
  <si>
    <t>1819.129mm</t>
  </si>
  <si>
    <t>MH-5140</t>
  </si>
  <si>
    <t>C-376</t>
  </si>
  <si>
    <t>STORM TR C1 LHS</t>
  </si>
  <si>
    <t>1786.725mm</t>
  </si>
  <si>
    <t>MH-5141</t>
  </si>
  <si>
    <t>C-376, C-129</t>
  </si>
  <si>
    <t>1776.609mm</t>
  </si>
  <si>
    <t>MH-5142</t>
  </si>
  <si>
    <t>C-129, C-113</t>
  </si>
  <si>
    <t>0+146.24</t>
  </si>
  <si>
    <t>1901.225mm</t>
  </si>
  <si>
    <t>MH-5143</t>
  </si>
  <si>
    <t>C-542, C-113</t>
  </si>
  <si>
    <t>0+135.87</t>
  </si>
  <si>
    <t>1744.868mm</t>
  </si>
  <si>
    <t>MH-5144</t>
  </si>
  <si>
    <t>C-542, C-65</t>
  </si>
  <si>
    <t>1834.532mm</t>
  </si>
  <si>
    <t>MH-5145</t>
  </si>
  <si>
    <t>C-577, C-65</t>
  </si>
  <si>
    <t>0+040.76</t>
  </si>
  <si>
    <t>1850.020mm</t>
  </si>
  <si>
    <t>MH-5146</t>
  </si>
  <si>
    <t>C-577, C-243</t>
  </si>
  <si>
    <t>1853.607mm</t>
  </si>
  <si>
    <t>MH-5147</t>
  </si>
  <si>
    <t>C-429, C-243</t>
  </si>
  <si>
    <t>1853.145mm</t>
  </si>
  <si>
    <t>MH-5148</t>
  </si>
  <si>
    <t>C-429, C-118</t>
  </si>
  <si>
    <t>1913.683mm</t>
  </si>
  <si>
    <t>MH-5149</t>
  </si>
  <si>
    <t>C-1087, C-118, C-72</t>
  </si>
  <si>
    <t>0+135.85</t>
  </si>
  <si>
    <t>1895.415mm</t>
  </si>
  <si>
    <t>MH-5150</t>
  </si>
  <si>
    <t>C-1061</t>
  </si>
  <si>
    <t>1740.705mm</t>
  </si>
  <si>
    <t>89° 59' 60.000"</t>
  </si>
  <si>
    <t>MH-5151</t>
  </si>
  <si>
    <t>C-1061, C-37</t>
  </si>
  <si>
    <t>0+024.37</t>
  </si>
  <si>
    <t>1828.672mm</t>
  </si>
  <si>
    <t>MH-5152</t>
  </si>
  <si>
    <t>C-610, C-37</t>
  </si>
  <si>
    <t>0+042.97</t>
  </si>
  <si>
    <t>1838.370mm</t>
  </si>
  <si>
    <t>MH-5153</t>
  </si>
  <si>
    <t>C-610, C-242</t>
  </si>
  <si>
    <t>MH-5154</t>
  </si>
  <si>
    <t>C-430, C-242</t>
  </si>
  <si>
    <t>MH-5155</t>
  </si>
  <si>
    <t>C-430, C-119</t>
  </si>
  <si>
    <t>MH-5156</t>
  </si>
  <si>
    <t>C-1087, C-945, C-119</t>
  </si>
  <si>
    <t>0+126.35</t>
  </si>
  <si>
    <t>1901.168mm</t>
  </si>
  <si>
    <t>MH-5158</t>
  </si>
  <si>
    <t>C-895, C-595</t>
  </si>
  <si>
    <t>0+087.79</t>
  </si>
  <si>
    <t>1997.787mm</t>
  </si>
  <si>
    <t>MH-5159</t>
  </si>
  <si>
    <t>C-375</t>
  </si>
  <si>
    <t>1786.312mm</t>
  </si>
  <si>
    <t>MH-5160</t>
  </si>
  <si>
    <t>C-375, C-316</t>
  </si>
  <si>
    <t>1786.259mm</t>
  </si>
  <si>
    <t>MH-5161</t>
  </si>
  <si>
    <t>C-574, C-316</t>
  </si>
  <si>
    <t>1900.145mm</t>
  </si>
  <si>
    <t>MH-5162</t>
  </si>
  <si>
    <t>C-667, C-574</t>
  </si>
  <si>
    <t>0+070.45</t>
  </si>
  <si>
    <t>1740.244mm</t>
  </si>
  <si>
    <t>MH-5164</t>
  </si>
  <si>
    <t>C-406, C-58</t>
  </si>
  <si>
    <t>0+043.74</t>
  </si>
  <si>
    <t>1813.275mm</t>
  </si>
  <si>
    <t>MH-5165</t>
  </si>
  <si>
    <t>C-406, C-241</t>
  </si>
  <si>
    <t>1826.622mm</t>
  </si>
  <si>
    <t>MH-5166</t>
  </si>
  <si>
    <t>C-427, C-241</t>
  </si>
  <si>
    <t>1826.165mm</t>
  </si>
  <si>
    <t>MH-5167</t>
  </si>
  <si>
    <t>C-427, C-122</t>
  </si>
  <si>
    <t>1906.708mm</t>
  </si>
  <si>
    <t>MH-5168</t>
  </si>
  <si>
    <t>C-1086, C-595, C-122</t>
  </si>
  <si>
    <t>0+070.30</t>
  </si>
  <si>
    <t>2027.765mm</t>
  </si>
  <si>
    <t>MH-5169</t>
  </si>
  <si>
    <t>C-247</t>
  </si>
  <si>
    <t>1785.768mm</t>
  </si>
  <si>
    <t>MH-5170</t>
  </si>
  <si>
    <t>C-378, C-247</t>
  </si>
  <si>
    <t>1786.653mm</t>
  </si>
  <si>
    <t>MH-5171</t>
  </si>
  <si>
    <t>C-378, C-336</t>
  </si>
  <si>
    <t>1786.537mm</t>
  </si>
  <si>
    <t>MH-5172</t>
  </si>
  <si>
    <t>C-336, C-335</t>
  </si>
  <si>
    <t>1786.421mm</t>
  </si>
  <si>
    <t>MH-5173</t>
  </si>
  <si>
    <t>C-335, C-246</t>
  </si>
  <si>
    <t>1786.305mm</t>
  </si>
  <si>
    <t>MH-5174</t>
  </si>
  <si>
    <t>C-334, C-246</t>
  </si>
  <si>
    <t>1786.189mm</t>
  </si>
  <si>
    <t>MH-5175</t>
  </si>
  <si>
    <t>C-334, C-333</t>
  </si>
  <si>
    <t>1786.073mm</t>
  </si>
  <si>
    <t>MH-5176</t>
  </si>
  <si>
    <t>C-529, C-333</t>
  </si>
  <si>
    <t>1912.957mm</t>
  </si>
  <si>
    <t>MH-5177</t>
  </si>
  <si>
    <t>C-566, C-529</t>
  </si>
  <si>
    <t>0+203.05</t>
  </si>
  <si>
    <t>1785.158mm</t>
  </si>
  <si>
    <t>MH-5178</t>
  </si>
  <si>
    <t>C-603, C-566</t>
  </si>
  <si>
    <t>0+023.31</t>
  </si>
  <si>
    <t>1871.894mm</t>
  </si>
  <si>
    <t>MH-5179</t>
  </si>
  <si>
    <t>C-603, C-245</t>
  </si>
  <si>
    <t>1892.759mm</t>
  </si>
  <si>
    <t>MH-5180</t>
  </si>
  <si>
    <t>C-245, C-244</t>
  </si>
  <si>
    <t>1892.892mm</t>
  </si>
  <si>
    <t>MH-5181</t>
  </si>
  <si>
    <t>C-244, C-49</t>
  </si>
  <si>
    <t>1863.024mm</t>
  </si>
  <si>
    <t>MH-5182</t>
  </si>
  <si>
    <t>C-491, C-100</t>
  </si>
  <si>
    <t>STORM TR C2 LHS</t>
  </si>
  <si>
    <t>1816.511mm</t>
  </si>
  <si>
    <t>MH-5183</t>
  </si>
  <si>
    <t>C-688, C-491</t>
  </si>
  <si>
    <t>1754.413mm</t>
  </si>
  <si>
    <t>MH-5184</t>
  </si>
  <si>
    <t>C-688, C-377</t>
  </si>
  <si>
    <t>1812.861mm</t>
  </si>
  <si>
    <t>MH-5185</t>
  </si>
  <si>
    <t>C-1024, C-377</t>
  </si>
  <si>
    <t>1753.408mm</t>
  </si>
  <si>
    <t>MH-5186</t>
  </si>
  <si>
    <t>C-1024, C-878</t>
  </si>
  <si>
    <t>1797.801mm</t>
  </si>
  <si>
    <t>MH-5187</t>
  </si>
  <si>
    <t>C-878, C-771</t>
  </si>
  <si>
    <t>1773.205mm</t>
  </si>
  <si>
    <t>MH-5188</t>
  </si>
  <si>
    <t>C-771, C-687</t>
  </si>
  <si>
    <t>1753.653mm</t>
  </si>
  <si>
    <t>MH-5189</t>
  </si>
  <si>
    <t>C-1086, C-929, C-687</t>
  </si>
  <si>
    <t>0+070.20</t>
  </si>
  <si>
    <t>2168.843mm</t>
  </si>
  <si>
    <t>MH-5190</t>
  </si>
  <si>
    <t>C-929, C-880</t>
  </si>
  <si>
    <t>0+051.21</t>
  </si>
  <si>
    <t>2143.639mm</t>
  </si>
  <si>
    <t>MH-5191</t>
  </si>
  <si>
    <t>C-880, C-569</t>
  </si>
  <si>
    <t>0+031.53</t>
  </si>
  <si>
    <t>2238.808mm</t>
  </si>
  <si>
    <t>MH-5192</t>
  </si>
  <si>
    <t>C-569, C-312</t>
  </si>
  <si>
    <t>0+011.73</t>
  </si>
  <si>
    <t>2434.822mm</t>
  </si>
  <si>
    <t>MH-5193</t>
  </si>
  <si>
    <t>C-421, C-312</t>
  </si>
  <si>
    <t>2394.493mm</t>
  </si>
  <si>
    <t>MH-5194</t>
  </si>
  <si>
    <t>C-511</t>
  </si>
  <si>
    <t>STORM TR C15 LHS</t>
  </si>
  <si>
    <t>0+008.28</t>
  </si>
  <si>
    <t>1841.504mm</t>
  </si>
  <si>
    <t>MH-5195</t>
  </si>
  <si>
    <t>C-511, C-43</t>
  </si>
  <si>
    <t>0+026.76</t>
  </si>
  <si>
    <t>1803.786mm</t>
  </si>
  <si>
    <t>MH-5196</t>
  </si>
  <si>
    <t>C-518, C-43</t>
  </si>
  <si>
    <t>0+044.22</t>
  </si>
  <si>
    <t>1811.125mm</t>
  </si>
  <si>
    <t>MH-5197</t>
  </si>
  <si>
    <t>C-518, C-240</t>
  </si>
  <si>
    <t>MH-5198</t>
  </si>
  <si>
    <t>C-428, C-240</t>
  </si>
  <si>
    <t>MH-5199</t>
  </si>
  <si>
    <t>C-428, C-123</t>
  </si>
  <si>
    <t>MH-5200</t>
  </si>
  <si>
    <t>C-852, C-123</t>
  </si>
  <si>
    <t>0+060.75</t>
  </si>
  <si>
    <t>1742.029mm</t>
  </si>
  <si>
    <t>MH-5201</t>
  </si>
  <si>
    <t>C-852, C-608</t>
  </si>
  <si>
    <t>0+042.07</t>
  </si>
  <si>
    <t>1858.182mm</t>
  </si>
  <si>
    <t xml:space="preserve">MH-5202 </t>
  </si>
  <si>
    <t>C-608, C-488</t>
  </si>
  <si>
    <t>0+023.34</t>
  </si>
  <si>
    <t>2120.284mm</t>
  </si>
  <si>
    <t>MH-5203</t>
  </si>
  <si>
    <t>C-838</t>
  </si>
  <si>
    <t>0+059.08</t>
  </si>
  <si>
    <t>1896.800mm</t>
  </si>
  <si>
    <t>MH-5204</t>
  </si>
  <si>
    <t>C-838, C-742</t>
  </si>
  <si>
    <t>1868.549mm</t>
  </si>
  <si>
    <t>MH-5205</t>
  </si>
  <si>
    <t>C-759, C-742</t>
  </si>
  <si>
    <t>1874.073mm</t>
  </si>
  <si>
    <t>MH-5206</t>
  </si>
  <si>
    <t>C-759, C-424</t>
  </si>
  <si>
    <t>0+004.85</t>
  </si>
  <si>
    <t>1809.457mm</t>
  </si>
  <si>
    <t>MH-5207</t>
  </si>
  <si>
    <t>C-424, C-61</t>
  </si>
  <si>
    <t>STORM TR C16 RHS</t>
  </si>
  <si>
    <t>1902.641mm</t>
  </si>
  <si>
    <t>MH-5208</t>
  </si>
  <si>
    <t>C-494, C-61</t>
  </si>
  <si>
    <t>0+043.95</t>
  </si>
  <si>
    <t>1884.187mm</t>
  </si>
  <si>
    <t>MH-5209</t>
  </si>
  <si>
    <t>C-494, C-239</t>
  </si>
  <si>
    <t>1904.463mm</t>
  </si>
  <si>
    <t>MH-5210</t>
  </si>
  <si>
    <t>C-425, C-239</t>
  </si>
  <si>
    <t>1891.629mm</t>
  </si>
  <si>
    <t>MH-5211</t>
  </si>
  <si>
    <t>C-425, C-121</t>
  </si>
  <si>
    <t>1920.939mm</t>
  </si>
  <si>
    <t>MH-5212</t>
  </si>
  <si>
    <t>C-894, C-488, C-121</t>
  </si>
  <si>
    <t>0+004.60</t>
  </si>
  <si>
    <t>2096.444mm</t>
  </si>
  <si>
    <t>MH-5213</t>
  </si>
  <si>
    <t>C-238</t>
  </si>
  <si>
    <t>STORM TR C1 RHS</t>
  </si>
  <si>
    <t>1785.722mm</t>
  </si>
  <si>
    <t>MH-5214</t>
  </si>
  <si>
    <t>C-374, C-238</t>
  </si>
  <si>
    <t>1786.607mm</t>
  </si>
  <si>
    <t>MH-5215</t>
  </si>
  <si>
    <t>C-374, C-332</t>
  </si>
  <si>
    <t>1786.491mm</t>
  </si>
  <si>
    <t>MH-5216</t>
  </si>
  <si>
    <t>C-332, C-331</t>
  </si>
  <si>
    <t>1786.375mm</t>
  </si>
  <si>
    <t>MH-5217</t>
  </si>
  <si>
    <t>C-331, C-237</t>
  </si>
  <si>
    <t>MH-5218</t>
  </si>
  <si>
    <t>C-373, C-237</t>
  </si>
  <si>
    <t>1786.143mm</t>
  </si>
  <si>
    <t>MH-5219</t>
  </si>
  <si>
    <t>C-373, C-322</t>
  </si>
  <si>
    <t>1786.027mm</t>
  </si>
  <si>
    <t>MH-5220</t>
  </si>
  <si>
    <t>C-527, C-322</t>
  </si>
  <si>
    <t>1783.411mm</t>
  </si>
  <si>
    <t>MH-5221</t>
  </si>
  <si>
    <t>C-527, C-490</t>
  </si>
  <si>
    <t>0+202.00</t>
  </si>
  <si>
    <t>1939.506mm</t>
  </si>
  <si>
    <t>MH-5222</t>
  </si>
  <si>
    <t>C-490, C-372</t>
  </si>
  <si>
    <t>1936.679mm</t>
  </si>
  <si>
    <t>MH-5223</t>
  </si>
  <si>
    <t>C-372, C-330</t>
  </si>
  <si>
    <t>1936.563mm</t>
  </si>
  <si>
    <t>MH-5224</t>
  </si>
  <si>
    <t>C-330, C-167</t>
  </si>
  <si>
    <t>1936.447mm</t>
  </si>
  <si>
    <t>MH-5225</t>
  </si>
  <si>
    <t>C-371, C-167</t>
  </si>
  <si>
    <t>1936.331mm</t>
  </si>
  <si>
    <t>MH-5226</t>
  </si>
  <si>
    <t>C-371, C-370</t>
  </si>
  <si>
    <t>1936.215mm</t>
  </si>
  <si>
    <t>MH-5227</t>
  </si>
  <si>
    <t>C-370, C-369</t>
  </si>
  <si>
    <t>1936.099mm</t>
  </si>
  <si>
    <t>MH-5228</t>
  </si>
  <si>
    <t>C-369, C-164</t>
  </si>
  <si>
    <t>2379.983mm</t>
  </si>
  <si>
    <t>MH-5229</t>
  </si>
  <si>
    <t>C-758, C-164</t>
  </si>
  <si>
    <t>2503.503mm</t>
  </si>
  <si>
    <t>MH-5230</t>
  </si>
  <si>
    <t>C-866, C-758</t>
  </si>
  <si>
    <t>2804.027mm</t>
  </si>
  <si>
    <t>MH-5231</t>
  </si>
  <si>
    <t>C-957, C-866</t>
  </si>
  <si>
    <t>0+005.96</t>
  </si>
  <si>
    <t>2819.967mm</t>
  </si>
  <si>
    <t>MH-5232</t>
  </si>
  <si>
    <t>C-957, C-42</t>
  </si>
  <si>
    <t>2886.352mm</t>
  </si>
  <si>
    <t>MH-5233</t>
  </si>
  <si>
    <t>C-166, C-21</t>
  </si>
  <si>
    <t>0+029.93</t>
  </si>
  <si>
    <t>2861.218mm</t>
  </si>
  <si>
    <t>MH-5234</t>
  </si>
  <si>
    <t>C-166, C-165</t>
  </si>
  <si>
    <t>0+049.93</t>
  </si>
  <si>
    <t>2855.638mm</t>
  </si>
  <si>
    <t>MH-5235</t>
  </si>
  <si>
    <t>C-236, C-165</t>
  </si>
  <si>
    <t>0+069.93</t>
  </si>
  <si>
    <t>2848.185mm</t>
  </si>
  <si>
    <t>MH-5236</t>
  </si>
  <si>
    <t>C-426, C-236</t>
  </si>
  <si>
    <t>0+089.93</t>
  </si>
  <si>
    <t>2841.874mm</t>
  </si>
  <si>
    <t>MH-5237</t>
  </si>
  <si>
    <t>C-894, C-426, C-420</t>
  </si>
  <si>
    <t>2947.770mm</t>
  </si>
  <si>
    <t>MH-5239</t>
  </si>
  <si>
    <t>C-766, C-5</t>
  </si>
  <si>
    <t>STORM TR C17 LHS</t>
  </si>
  <si>
    <t>0+039.69</t>
  </si>
  <si>
    <t>2347.223mm</t>
  </si>
  <si>
    <t>MH-5240</t>
  </si>
  <si>
    <t>C-775, C-766</t>
  </si>
  <si>
    <t>2532.315mm</t>
  </si>
  <si>
    <t>MH-5241</t>
  </si>
  <si>
    <t>C-765, C-6</t>
  </si>
  <si>
    <t>STORM TR C17 RHS</t>
  </si>
  <si>
    <t>0+039.73</t>
  </si>
  <si>
    <t>2346.905mm</t>
  </si>
  <si>
    <t>MH-5242</t>
  </si>
  <si>
    <t>C-774, C-765</t>
  </si>
  <si>
    <t>MH-5243</t>
  </si>
  <si>
    <t>C-676, C-7</t>
  </si>
  <si>
    <t>1864.450mm</t>
  </si>
  <si>
    <t>MH-5245</t>
  </si>
  <si>
    <t>C-677, C-8</t>
  </si>
  <si>
    <t>MH-5247</t>
  </si>
  <si>
    <t>C-661, C-1</t>
  </si>
  <si>
    <t>1868.433mm</t>
  </si>
  <si>
    <t>MH-5248</t>
  </si>
  <si>
    <t>C-768, C-661</t>
  </si>
  <si>
    <t>2015.827mm</t>
  </si>
  <si>
    <t>MH-5249</t>
  </si>
  <si>
    <t>C-1085, C-768</t>
  </si>
  <si>
    <t>0+139.05</t>
  </si>
  <si>
    <t>2117.997mm</t>
  </si>
  <si>
    <t>MH-5251</t>
  </si>
  <si>
    <t>C-1085, C-870</t>
  </si>
  <si>
    <t>0+119.74</t>
  </si>
  <si>
    <t>2231.060mm</t>
  </si>
  <si>
    <t>MH-5253</t>
  </si>
  <si>
    <t>C-877, C-870</t>
  </si>
  <si>
    <t>2343.578mm</t>
  </si>
  <si>
    <t>MH-5254</t>
  </si>
  <si>
    <t>C-877, C-824</t>
  </si>
  <si>
    <t>2315.842mm</t>
  </si>
  <si>
    <t>MH-5255</t>
  </si>
  <si>
    <t>C-1084, C-824, C-774</t>
  </si>
  <si>
    <t>2624.159mm</t>
  </si>
  <si>
    <t>MH-5256</t>
  </si>
  <si>
    <t>C-1084, C-953, C-775</t>
  </si>
  <si>
    <t>2641.218mm</t>
  </si>
  <si>
    <t>MH-5257</t>
  </si>
  <si>
    <t>C-966, C-953</t>
  </si>
  <si>
    <t>2608.997mm</t>
  </si>
  <si>
    <t>MH-5258</t>
  </si>
  <si>
    <t>C-966, C-547</t>
  </si>
  <si>
    <t>0+021.85</t>
  </si>
  <si>
    <t>2422.443mm</t>
  </si>
  <si>
    <t>MH-5259</t>
  </si>
  <si>
    <t>C-668, C-4</t>
  </si>
  <si>
    <t>1863.784mm</t>
  </si>
  <si>
    <t>MH-5260</t>
  </si>
  <si>
    <t>C-773, C-668</t>
  </si>
  <si>
    <t>0+183.08</t>
  </si>
  <si>
    <t>1754.515mm</t>
  </si>
  <si>
    <t>MH-5261</t>
  </si>
  <si>
    <t>C-773</t>
  </si>
  <si>
    <t>0+167.74</t>
  </si>
  <si>
    <t>1785.265mm</t>
  </si>
  <si>
    <t>MH-5263</t>
  </si>
  <si>
    <t>C-913, C-3</t>
  </si>
  <si>
    <t>MH-5264</t>
  </si>
  <si>
    <t>C-1097, C-913</t>
  </si>
  <si>
    <t>1754.334mm</t>
  </si>
  <si>
    <t>MH-5265</t>
  </si>
  <si>
    <t>C-1097</t>
  </si>
  <si>
    <t>0+167.93</t>
  </si>
  <si>
    <t>1782.033mm</t>
  </si>
  <si>
    <t>MH-5266</t>
  </si>
  <si>
    <t>C-954, C-547</t>
  </si>
  <si>
    <t>0+004.57</t>
  </si>
  <si>
    <t>1990.583mm</t>
  </si>
  <si>
    <t>MH-5267</t>
  </si>
  <si>
    <t>C-876, C-2</t>
  </si>
  <si>
    <t>2042.433mm</t>
  </si>
  <si>
    <t>MH-5268</t>
  </si>
  <si>
    <t>C-876, C-875</t>
  </si>
  <si>
    <t>2152.827mm</t>
  </si>
  <si>
    <t>MH-5269</t>
  </si>
  <si>
    <t>C-875, C-663</t>
  </si>
  <si>
    <t>2335.005mm</t>
  </si>
  <si>
    <t>MH-5270</t>
  </si>
  <si>
    <t>C-738, C-663</t>
  </si>
  <si>
    <t>2381.353mm</t>
  </si>
  <si>
    <t>MH-5271</t>
  </si>
  <si>
    <t>C-752, C-738</t>
  </si>
  <si>
    <t>2493.578mm</t>
  </si>
  <si>
    <t>MH-5272</t>
  </si>
  <si>
    <t>C-760, C-752</t>
  </si>
  <si>
    <t>2472.842mm</t>
  </si>
  <si>
    <t>MH-5273</t>
  </si>
  <si>
    <t>C-785, C-760</t>
  </si>
  <si>
    <t>2324.498mm</t>
  </si>
  <si>
    <t>MH-5274</t>
  </si>
  <si>
    <t>C-785, C-404</t>
  </si>
  <si>
    <t>2122.997mm</t>
  </si>
  <si>
    <t>MH-5275</t>
  </si>
  <si>
    <t>C-404, C-75</t>
  </si>
  <si>
    <t>0+022.34</t>
  </si>
  <si>
    <t>1943.889mm</t>
  </si>
  <si>
    <t>MH-5276</t>
  </si>
  <si>
    <t>C-801, C-601</t>
  </si>
  <si>
    <t>2032.333mm</t>
  </si>
  <si>
    <t>MH-5277</t>
  </si>
  <si>
    <t>C-367</t>
  </si>
  <si>
    <t>1920.711mm</t>
  </si>
  <si>
    <t>MH-5278</t>
  </si>
  <si>
    <t>C-367, C-74</t>
  </si>
  <si>
    <t>1845.100mm</t>
  </si>
  <si>
    <t>MH-5279</t>
  </si>
  <si>
    <t>C-368</t>
  </si>
  <si>
    <t>MH-5280</t>
  </si>
  <si>
    <t>C-368, C-19</t>
  </si>
  <si>
    <t>1843.100mm</t>
  </si>
  <si>
    <t>MH-5281</t>
  </si>
  <si>
    <t>C-235, C-8</t>
  </si>
  <si>
    <t>1864.346mm</t>
  </si>
  <si>
    <t>MH-5282</t>
  </si>
  <si>
    <t>C-576, C-235</t>
  </si>
  <si>
    <t>1782.873mm</t>
  </si>
  <si>
    <t>MH-5283</t>
  </si>
  <si>
    <t>C-620, C-576</t>
  </si>
  <si>
    <t>0+254.89</t>
  </si>
  <si>
    <t>1900.083mm</t>
  </si>
  <si>
    <t>MH-5284</t>
  </si>
  <si>
    <t>C-1083, C-620, C-24</t>
  </si>
  <si>
    <t>0+136.05</t>
  </si>
  <si>
    <t>1730.655mm</t>
  </si>
  <si>
    <t>MH-5285</t>
  </si>
  <si>
    <t>C-1083, C-930, C-87</t>
  </si>
  <si>
    <t>0+135.98</t>
  </si>
  <si>
    <t>2075.884mm</t>
  </si>
  <si>
    <t>MH-5286</t>
  </si>
  <si>
    <t>C-930, C-329</t>
  </si>
  <si>
    <t>1975.114mm</t>
  </si>
  <si>
    <t>MH-5287</t>
  </si>
  <si>
    <t>C-748, C-329</t>
  </si>
  <si>
    <t>1904.170mm</t>
  </si>
  <si>
    <t>MH-5288</t>
  </si>
  <si>
    <t>C-874, C-748</t>
  </si>
  <si>
    <t>1903.873mm</t>
  </si>
  <si>
    <t>MH-5289</t>
  </si>
  <si>
    <t>C-1023, C-874</t>
  </si>
  <si>
    <t>1962.228mm</t>
  </si>
  <si>
    <t>MH-5290</t>
  </si>
  <si>
    <t>C-1023, C-935</t>
  </si>
  <si>
    <t>2024.150mm</t>
  </si>
  <si>
    <t>MH-5292</t>
  </si>
  <si>
    <t>C-964, C-942</t>
  </si>
  <si>
    <t>2156.860mm</t>
  </si>
  <si>
    <t>MH-5293</t>
  </si>
  <si>
    <t>C-234, C-7</t>
  </si>
  <si>
    <t>MH-5294</t>
  </si>
  <si>
    <t>C-234, C-84</t>
  </si>
  <si>
    <t>1768.873mm</t>
  </si>
  <si>
    <t>MH-5295</t>
  </si>
  <si>
    <t>C-570, C-28</t>
  </si>
  <si>
    <t>1788.264mm</t>
  </si>
  <si>
    <t>MH-5297</t>
  </si>
  <si>
    <t>C-570, C-401</t>
  </si>
  <si>
    <t>0+106.86</t>
  </si>
  <si>
    <t>1766.075mm</t>
  </si>
  <si>
    <t>MH-5298</t>
  </si>
  <si>
    <t>C-545, C-401</t>
  </si>
  <si>
    <t>0+087.55</t>
  </si>
  <si>
    <t>1759.002mm</t>
  </si>
  <si>
    <t>MH-5299</t>
  </si>
  <si>
    <t>C-402, C-6</t>
  </si>
  <si>
    <t>0+062.61</t>
  </si>
  <si>
    <t>2126.052mm</t>
  </si>
  <si>
    <t>MH-5300</t>
  </si>
  <si>
    <t>C-402, C-143</t>
  </si>
  <si>
    <t>1941.276mm</t>
  </si>
  <si>
    <t>MH-5301</t>
  </si>
  <si>
    <t>C-143</t>
  </si>
  <si>
    <t>1753.596mm</t>
  </si>
  <si>
    <t>MH-5302</t>
  </si>
  <si>
    <t>C-1078, C-545</t>
  </si>
  <si>
    <t>0+070.10</t>
  </si>
  <si>
    <t>1747.802mm</t>
  </si>
  <si>
    <t>MH-5303</t>
  </si>
  <si>
    <t>C-548, C-5</t>
  </si>
  <si>
    <t>0+062.55</t>
  </si>
  <si>
    <t>2126.539mm</t>
  </si>
  <si>
    <t>MH-5304</t>
  </si>
  <si>
    <t>C-548, C-142</t>
  </si>
  <si>
    <t>MH-5305</t>
  </si>
  <si>
    <t>C-142</t>
  </si>
  <si>
    <t>MH-5306</t>
  </si>
  <si>
    <t>C-1078, C-860</t>
  </si>
  <si>
    <t>0+061.10</t>
  </si>
  <si>
    <t>1756.709mm</t>
  </si>
  <si>
    <t>MH-5307</t>
  </si>
  <si>
    <t>C-860, C-851</t>
  </si>
  <si>
    <t>0+041.83</t>
  </si>
  <si>
    <t>1914.318mm</t>
  </si>
  <si>
    <t>MH-5308</t>
  </si>
  <si>
    <t>C-1070, C-851</t>
  </si>
  <si>
    <t>0+024.13</t>
  </si>
  <si>
    <t>1969.408mm</t>
  </si>
  <si>
    <t>MH-5309</t>
  </si>
  <si>
    <t>C-675, C-4</t>
  </si>
  <si>
    <t>1918.292mm</t>
  </si>
  <si>
    <t>MH-5310</t>
  </si>
  <si>
    <t>C-772, C-675</t>
  </si>
  <si>
    <t>1982.320mm</t>
  </si>
  <si>
    <t>MH-5311</t>
  </si>
  <si>
    <t>C-780, C-772</t>
  </si>
  <si>
    <t>0+252.16</t>
  </si>
  <si>
    <t>2019.866mm</t>
  </si>
  <si>
    <t>MH-5312</t>
  </si>
  <si>
    <t>C-1070, C-888, C-780</t>
  </si>
  <si>
    <t>2035.084mm</t>
  </si>
  <si>
    <t>MH-5313</t>
  </si>
  <si>
    <t>C-1022, C-3</t>
  </si>
  <si>
    <t>1965.292mm</t>
  </si>
  <si>
    <t>MH-5314</t>
  </si>
  <si>
    <t>C-1022, C-881</t>
  </si>
  <si>
    <t>2061.320mm</t>
  </si>
  <si>
    <t>MH-5315</t>
  </si>
  <si>
    <t>C-881, C-844</t>
  </si>
  <si>
    <t>0+250.80</t>
  </si>
  <si>
    <t>2108.008mm</t>
  </si>
  <si>
    <t>MH-5316</t>
  </si>
  <si>
    <t>C-963, C-888, C-844</t>
  </si>
  <si>
    <t>2293.792mm</t>
  </si>
  <si>
    <t>MH-5317</t>
  </si>
  <si>
    <t>C-973, C-9</t>
  </si>
  <si>
    <t>1864.317mm</t>
  </si>
  <si>
    <t>MH-5318</t>
  </si>
  <si>
    <t>C-973, C-972</t>
  </si>
  <si>
    <t>1753.955mm</t>
  </si>
  <si>
    <t>MH-5319</t>
  </si>
  <si>
    <t>C-972, C-626</t>
  </si>
  <si>
    <t>1773.282mm</t>
  </si>
  <si>
    <t>MH-5320</t>
  </si>
  <si>
    <t>C-762, C-10</t>
  </si>
  <si>
    <t>0+059.06</t>
  </si>
  <si>
    <t>1861.664mm</t>
  </si>
  <si>
    <t>MH-5321</t>
  </si>
  <si>
    <t>C-796, C-762</t>
  </si>
  <si>
    <t>MH-5322</t>
  </si>
  <si>
    <t>C-806, C-796</t>
  </si>
  <si>
    <t>1787.282mm</t>
  </si>
  <si>
    <t>MH-5323</t>
  </si>
  <si>
    <t>C-761, C-11</t>
  </si>
  <si>
    <t>0+060.07</t>
  </si>
  <si>
    <t>1862.142mm</t>
  </si>
  <si>
    <t>MH-5324</t>
  </si>
  <si>
    <t>C-795, C-761</t>
  </si>
  <si>
    <t>1841.995mm</t>
  </si>
  <si>
    <t>MH-5325</t>
  </si>
  <si>
    <t>C-805, C-795</t>
  </si>
  <si>
    <t>1909.995mm</t>
  </si>
  <si>
    <t>MH-5326</t>
  </si>
  <si>
    <t>C-763, C-12</t>
  </si>
  <si>
    <t>0+060.43</t>
  </si>
  <si>
    <t>1867.846mm</t>
  </si>
  <si>
    <t>MH-5327</t>
  </si>
  <si>
    <t>C-797, C-763</t>
  </si>
  <si>
    <t>1846.995mm</t>
  </si>
  <si>
    <t>MH-5328</t>
  </si>
  <si>
    <t>C-807, C-797</t>
  </si>
  <si>
    <t>1880.995mm</t>
  </si>
  <si>
    <t>MH-5329</t>
  </si>
  <si>
    <t>C-717, C-13</t>
  </si>
  <si>
    <t>0+059.46</t>
  </si>
  <si>
    <t>1868.865mm</t>
  </si>
  <si>
    <t>MH-5330</t>
  </si>
  <si>
    <t>C-717, C-703</t>
  </si>
  <si>
    <t>1844.709mm</t>
  </si>
  <si>
    <t>MH-5331</t>
  </si>
  <si>
    <t>C-703, C-617</t>
  </si>
  <si>
    <t>1919.352mm</t>
  </si>
  <si>
    <t>MH-5332</t>
  </si>
  <si>
    <t>C-682, C-14</t>
  </si>
  <si>
    <t>0+060.65</t>
  </si>
  <si>
    <t>1866.506mm</t>
  </si>
  <si>
    <t>MH-5333</t>
  </si>
  <si>
    <t>C-704, C-682</t>
  </si>
  <si>
    <t>1841.709mm</t>
  </si>
  <si>
    <t>MH-5334</t>
  </si>
  <si>
    <t>C-704, C-481</t>
  </si>
  <si>
    <t>1877.352mm</t>
  </si>
  <si>
    <t>MH-5335</t>
  </si>
  <si>
    <t>C-454, C-15</t>
  </si>
  <si>
    <t>1862.324mm</t>
  </si>
  <si>
    <t>MH-5336</t>
  </si>
  <si>
    <t>C-658, C-454</t>
  </si>
  <si>
    <t>1811.022mm</t>
  </si>
  <si>
    <t>MH-5337</t>
  </si>
  <si>
    <t>C-810, C-658</t>
  </si>
  <si>
    <t>0+221.81</t>
  </si>
  <si>
    <t>1802.558mm</t>
  </si>
  <si>
    <t>MH-5338</t>
  </si>
  <si>
    <t>C-366</t>
  </si>
  <si>
    <t>0+239.80</t>
  </si>
  <si>
    <t>1855.131mm</t>
  </si>
  <si>
    <t>MH-5339</t>
  </si>
  <si>
    <t>C-606, C-366</t>
  </si>
  <si>
    <t>0+219.80</t>
  </si>
  <si>
    <t>2086.532mm</t>
  </si>
  <si>
    <t>MH-5340</t>
  </si>
  <si>
    <t>C-455, C-16</t>
  </si>
  <si>
    <t>MH-5341</t>
  </si>
  <si>
    <t>C-674, C-455</t>
  </si>
  <si>
    <t>1821.022mm</t>
  </si>
  <si>
    <t>MH-5342</t>
  </si>
  <si>
    <t>C-740, C-674</t>
  </si>
  <si>
    <t>1825.229mm</t>
  </si>
  <si>
    <t>MH-5343</t>
  </si>
  <si>
    <t>C-740, C-618</t>
  </si>
  <si>
    <t>0+205.64</t>
  </si>
  <si>
    <t>1886.331mm</t>
  </si>
  <si>
    <t>MH-5344</t>
  </si>
  <si>
    <t>C-769, C-618, C-606</t>
  </si>
  <si>
    <t>0+202.85</t>
  </si>
  <si>
    <t>1752.536mm</t>
  </si>
  <si>
    <t>MH-5345</t>
  </si>
  <si>
    <t>C-944, C-769, C-89</t>
  </si>
  <si>
    <t>0+192.02</t>
  </si>
  <si>
    <t>1773.634mm</t>
  </si>
  <si>
    <t>MH-5346</t>
  </si>
  <si>
    <t>C-944, C-873</t>
  </si>
  <si>
    <t>0+179.80</t>
  </si>
  <si>
    <t>1907.866mm</t>
  </si>
  <si>
    <t>MH-5347</t>
  </si>
  <si>
    <t>C-958, C-873</t>
  </si>
  <si>
    <t>0+159.80</t>
  </si>
  <si>
    <t>1828.594mm</t>
  </si>
  <si>
    <t>MH-5348</t>
  </si>
  <si>
    <t>C-958, C-555</t>
  </si>
  <si>
    <t>0+146.07</t>
  </si>
  <si>
    <t>1916.840mm</t>
  </si>
  <si>
    <t>MH-5349</t>
  </si>
  <si>
    <t>C-555, C-481, C-109</t>
  </si>
  <si>
    <t>1756.609mm</t>
  </si>
  <si>
    <t>MH-5350</t>
  </si>
  <si>
    <t>C-842, C-617, C-109</t>
  </si>
  <si>
    <t>0+126.15</t>
  </si>
  <si>
    <t>1892.557mm</t>
  </si>
  <si>
    <t>MH-5351</t>
  </si>
  <si>
    <t>C-855, C-842</t>
  </si>
  <si>
    <t>0+108.97</t>
  </si>
  <si>
    <t>2057.707mm</t>
  </si>
  <si>
    <t>MH-5353</t>
  </si>
  <si>
    <t>C-855, C-602</t>
  </si>
  <si>
    <t>0+089.64</t>
  </si>
  <si>
    <t>2047.036mm</t>
  </si>
  <si>
    <t>MH-5354</t>
  </si>
  <si>
    <t>C-1082, C-807, C-602</t>
  </si>
  <si>
    <t>0+070.25</t>
  </si>
  <si>
    <t>1896.780mm</t>
  </si>
  <si>
    <t>MH-5355</t>
  </si>
  <si>
    <t>C-1082, C-1066, C-805</t>
  </si>
  <si>
    <t>0+060.55</t>
  </si>
  <si>
    <t>1923.718mm</t>
  </si>
  <si>
    <t>MH-5356</t>
  </si>
  <si>
    <t>C-1066, C-896</t>
  </si>
  <si>
    <t>0+043.19</t>
  </si>
  <si>
    <t>2060.120mm</t>
  </si>
  <si>
    <t>MH-5358</t>
  </si>
  <si>
    <t>C-936, C-896</t>
  </si>
  <si>
    <t>0+022.10</t>
  </si>
  <si>
    <t>2055.924mm</t>
  </si>
  <si>
    <t>MH-5360</t>
  </si>
  <si>
    <t>C-951, C-936</t>
  </si>
  <si>
    <t>0+005.50</t>
  </si>
  <si>
    <t>1905.937mm</t>
  </si>
  <si>
    <t>MH-5361</t>
  </si>
  <si>
    <t>C-829</t>
  </si>
  <si>
    <t>0+008.03</t>
  </si>
  <si>
    <t>1642.935mm</t>
  </si>
  <si>
    <t>MH-5362</t>
  </si>
  <si>
    <t>C-829, C-737</t>
  </si>
  <si>
    <t>1913.961mm</t>
  </si>
  <si>
    <t>MH-5371</t>
  </si>
  <si>
    <t>C-365</t>
  </si>
  <si>
    <t>MH-5372</t>
  </si>
  <si>
    <t>C-607, C-365</t>
  </si>
  <si>
    <t>1978.532mm</t>
  </si>
  <si>
    <t>MH-5373</t>
  </si>
  <si>
    <t>C-802</t>
  </si>
  <si>
    <t>0+008.46</t>
  </si>
  <si>
    <t>1701.683mm</t>
  </si>
  <si>
    <t>MH-5374</t>
  </si>
  <si>
    <t>C-802, C-435</t>
  </si>
  <si>
    <t>1957.961mm</t>
  </si>
  <si>
    <t>MH-5375</t>
  </si>
  <si>
    <t>C-974, C-435</t>
  </si>
  <si>
    <t>2171.428mm</t>
  </si>
  <si>
    <t>MH-5376</t>
  </si>
  <si>
    <t>C-1021, C-974</t>
  </si>
  <si>
    <t>2365.187mm</t>
  </si>
  <si>
    <t>MH-5377</t>
  </si>
  <si>
    <t>C-1021, C-1020</t>
  </si>
  <si>
    <t>2416.663mm</t>
  </si>
  <si>
    <t>MH-5378</t>
  </si>
  <si>
    <t>C-1020, C-976</t>
  </si>
  <si>
    <t>2304.690mm</t>
  </si>
  <si>
    <t>MH-5379</t>
  </si>
  <si>
    <t>C-976, C-975</t>
  </si>
  <si>
    <t>2109.542mm</t>
  </si>
  <si>
    <t>MH-5380</t>
  </si>
  <si>
    <t>C-975, C-912</t>
  </si>
  <si>
    <t>1914.386mm</t>
  </si>
  <si>
    <t>MH-5381</t>
  </si>
  <si>
    <t>C-912, C-137</t>
  </si>
  <si>
    <t>1925.231mm</t>
  </si>
  <si>
    <t>MH-5382</t>
  </si>
  <si>
    <t>C-616, C-137</t>
  </si>
  <si>
    <t>0+178.44</t>
  </si>
  <si>
    <t>1975.848mm</t>
  </si>
  <si>
    <t>MH-5383</t>
  </si>
  <si>
    <t>C-943, C-616, C-607</t>
  </si>
  <si>
    <t>0+202.97</t>
  </si>
  <si>
    <t>1748.374mm</t>
  </si>
  <si>
    <t>MH-5385</t>
  </si>
  <si>
    <t>C-898, C-315</t>
  </si>
  <si>
    <t>1941.866mm</t>
  </si>
  <si>
    <t>MH-5386</t>
  </si>
  <si>
    <t>C-364, C-315</t>
  </si>
  <si>
    <t>1920.594mm</t>
  </si>
  <si>
    <t>MH-5387</t>
  </si>
  <si>
    <t>C-630, C-364</t>
  </si>
  <si>
    <t>1902.695mm</t>
  </si>
  <si>
    <t>MH-5388</t>
  </si>
  <si>
    <t>C-725, C-630</t>
  </si>
  <si>
    <t>1902.170mm</t>
  </si>
  <si>
    <t>MH-5389</t>
  </si>
  <si>
    <t>C-731, C-725</t>
  </si>
  <si>
    <t>1902.366mm</t>
  </si>
  <si>
    <t>MH-5390</t>
  </si>
  <si>
    <t>C-733, C-731</t>
  </si>
  <si>
    <t>1902.356mm</t>
  </si>
  <si>
    <t>MH-5391</t>
  </si>
  <si>
    <t>C-733, C-730</t>
  </si>
  <si>
    <t>1902.346mm</t>
  </si>
  <si>
    <t>MH-5392</t>
  </si>
  <si>
    <t>C-732, C-730</t>
  </si>
  <si>
    <t>1902.337mm</t>
  </si>
  <si>
    <t>MH-5393</t>
  </si>
  <si>
    <t>C-732, C-343</t>
  </si>
  <si>
    <t>1922.327mm</t>
  </si>
  <si>
    <t>MH-5394</t>
  </si>
  <si>
    <t>C-869, C-343</t>
  </si>
  <si>
    <t>1902.768mm</t>
  </si>
  <si>
    <t>MH-5395</t>
  </si>
  <si>
    <t>C-232</t>
  </si>
  <si>
    <t>0+423.23</t>
  </si>
  <si>
    <t>1823.217mm</t>
  </si>
  <si>
    <t>MH-5396</t>
  </si>
  <si>
    <t>C-232, C-231</t>
  </si>
  <si>
    <t>0+403.61</t>
  </si>
  <si>
    <t>1825.323mm</t>
  </si>
  <si>
    <t>MH-5397</t>
  </si>
  <si>
    <t>C-231, C-179</t>
  </si>
  <si>
    <t>0+383.23</t>
  </si>
  <si>
    <t>1823.251mm</t>
  </si>
  <si>
    <t>MH-5398</t>
  </si>
  <si>
    <t>C-179, C-178</t>
  </si>
  <si>
    <t>0+363.23</t>
  </si>
  <si>
    <t>1823.268mm</t>
  </si>
  <si>
    <t>MH-5399</t>
  </si>
  <si>
    <t>C-553, C-178</t>
  </si>
  <si>
    <t>0+343.23</t>
  </si>
  <si>
    <t>1815.285mm</t>
  </si>
  <si>
    <t>MH-5400</t>
  </si>
  <si>
    <t>C-233</t>
  </si>
  <si>
    <t>MH-5401</t>
  </si>
  <si>
    <t>C-486, C-233</t>
  </si>
  <si>
    <t>0+403.54</t>
  </si>
  <si>
    <t>1822.969mm</t>
  </si>
  <si>
    <t>MH-5403</t>
  </si>
  <si>
    <t>C-550, C-54</t>
  </si>
  <si>
    <t>0+363.35</t>
  </si>
  <si>
    <t>1822.911mm</t>
  </si>
  <si>
    <t>MH-5404</t>
  </si>
  <si>
    <t>C-554, C-550</t>
  </si>
  <si>
    <t>1958.286mm</t>
  </si>
  <si>
    <t>MH-5405</t>
  </si>
  <si>
    <t>C-636</t>
  </si>
  <si>
    <t>STORM TR C35 LHS</t>
  </si>
  <si>
    <t>0+104.59</t>
  </si>
  <si>
    <t>1767.299mm</t>
  </si>
  <si>
    <t>MH-5406</t>
  </si>
  <si>
    <t>C-636, C-634</t>
  </si>
  <si>
    <t>0+084.59</t>
  </si>
  <si>
    <t>1766.829mm</t>
  </si>
  <si>
    <t>MH-5407</t>
  </si>
  <si>
    <t>C-634, C-631</t>
  </si>
  <si>
    <t>0+064.59</t>
  </si>
  <si>
    <t>1767.359mm</t>
  </si>
  <si>
    <t>MH-5408</t>
  </si>
  <si>
    <t>C-633, C-631</t>
  </si>
  <si>
    <t>0+044.59</t>
  </si>
  <si>
    <t>1766.889mm</t>
  </si>
  <si>
    <t>MH-5409</t>
  </si>
  <si>
    <t>C-633, C-562</t>
  </si>
  <si>
    <t>0+024.59</t>
  </si>
  <si>
    <t>1948.419mm</t>
  </si>
  <si>
    <t>MH-5411</t>
  </si>
  <si>
    <t>C-750, C-562</t>
  </si>
  <si>
    <t>STORM  TR C8-H  LHS</t>
  </si>
  <si>
    <t>0+266.61</t>
  </si>
  <si>
    <t>1753.305mm</t>
  </si>
  <si>
    <t>MH-5412</t>
  </si>
  <si>
    <t>C-750, C-363</t>
  </si>
  <si>
    <t>0+246.28</t>
  </si>
  <si>
    <t>2104.528mm</t>
  </si>
  <si>
    <t>MH-5413</t>
  </si>
  <si>
    <t>C-363, C-342</t>
  </si>
  <si>
    <t>0+226.28</t>
  </si>
  <si>
    <t>2103.751mm</t>
  </si>
  <si>
    <t>MH-5414</t>
  </si>
  <si>
    <t>C-342, C-180</t>
  </si>
  <si>
    <t>0+206.28</t>
  </si>
  <si>
    <t>2103.974mm</t>
  </si>
  <si>
    <t>MH-5415</t>
  </si>
  <si>
    <t>C-362, C-180</t>
  </si>
  <si>
    <t>0+186.28</t>
  </si>
  <si>
    <t>2104.197mm</t>
  </si>
  <si>
    <t>MH-5416</t>
  </si>
  <si>
    <t>C-593, C-362</t>
  </si>
  <si>
    <t>0+166.28</t>
  </si>
  <si>
    <t>2086.420mm</t>
  </si>
  <si>
    <t>MH-5417</t>
  </si>
  <si>
    <t>C-593, C-413</t>
  </si>
  <si>
    <t>0+152.22</t>
  </si>
  <si>
    <t>2199.813mm</t>
  </si>
  <si>
    <t>MH-5418</t>
  </si>
  <si>
    <t>C-713</t>
  </si>
  <si>
    <t>STORM TR C36 RHS</t>
  </si>
  <si>
    <t>0+104.71</t>
  </si>
  <si>
    <t>1763.982mm</t>
  </si>
  <si>
    <t>MH-5419</t>
  </si>
  <si>
    <t>C-713, C-711</t>
  </si>
  <si>
    <t>0+084.71</t>
  </si>
  <si>
    <t>1764.626mm</t>
  </si>
  <si>
    <t>MH-5420</t>
  </si>
  <si>
    <t>C-711, C-666</t>
  </si>
  <si>
    <t>0+064.71</t>
  </si>
  <si>
    <t>1764.269mm</t>
  </si>
  <si>
    <t>MH-5421</t>
  </si>
  <si>
    <t>C-700, C-666</t>
  </si>
  <si>
    <t>0+044.71</t>
  </si>
  <si>
    <t>1771.913mm</t>
  </si>
  <si>
    <t>MH-5422</t>
  </si>
  <si>
    <t>C-700, C-560</t>
  </si>
  <si>
    <t>0+024.71</t>
  </si>
  <si>
    <t>1860.556mm</t>
  </si>
  <si>
    <t>MH-5423</t>
  </si>
  <si>
    <t>C-560, C-413, C-108</t>
  </si>
  <si>
    <t>2439.285mm</t>
  </si>
  <si>
    <t>MH-5424</t>
  </si>
  <si>
    <t>C-712</t>
  </si>
  <si>
    <t>STORM TR C36 LHS</t>
  </si>
  <si>
    <t>MH-5425</t>
  </si>
  <si>
    <t>C-714, C-712</t>
  </si>
  <si>
    <t>MH-5426</t>
  </si>
  <si>
    <t>C-714, C-710</t>
  </si>
  <si>
    <t>0+064.34</t>
  </si>
  <si>
    <t>1764.475mm</t>
  </si>
  <si>
    <t>MH-5427</t>
  </si>
  <si>
    <t>C-710, C-709</t>
  </si>
  <si>
    <t>1763.913mm</t>
  </si>
  <si>
    <t>MH-5428</t>
  </si>
  <si>
    <t>C-709, C-561</t>
  </si>
  <si>
    <t>1932.556mm</t>
  </si>
  <si>
    <t>MH-5429</t>
  </si>
  <si>
    <t>C-865, C-561, C-108</t>
  </si>
  <si>
    <t>2523.671mm</t>
  </si>
  <si>
    <t>MH-5431</t>
  </si>
  <si>
    <t>C-865, C-498</t>
  </si>
  <si>
    <t>0+107.73</t>
  </si>
  <si>
    <t>2612.966mm</t>
  </si>
  <si>
    <t>MH-5432</t>
  </si>
  <si>
    <t>C-594, C-498</t>
  </si>
  <si>
    <t>0+088.67</t>
  </si>
  <si>
    <t>2553.889mm</t>
  </si>
  <si>
    <t>MH-5433</t>
  </si>
  <si>
    <t>C-659</t>
  </si>
  <si>
    <t>STORM TR C37 RHS</t>
  </si>
  <si>
    <t>0+104.55</t>
  </si>
  <si>
    <t>1764.088mm</t>
  </si>
  <si>
    <t>MH-5434</t>
  </si>
  <si>
    <t>C-743, C-659</t>
  </si>
  <si>
    <t>0+084.55</t>
  </si>
  <si>
    <t>1774.410mm</t>
  </si>
  <si>
    <t>MH-5435</t>
  </si>
  <si>
    <t>C-743, C-728</t>
  </si>
  <si>
    <t>0+064.26</t>
  </si>
  <si>
    <t>1766.126mm</t>
  </si>
  <si>
    <t>MH-5436</t>
  </si>
  <si>
    <t>C-728, C-718</t>
  </si>
  <si>
    <t>0+044.55</t>
  </si>
  <si>
    <t>1764.053mm</t>
  </si>
  <si>
    <t>MH-5437</t>
  </si>
  <si>
    <t>C-718, C-558</t>
  </si>
  <si>
    <t>0+024.55</t>
  </si>
  <si>
    <t>1858.375mm</t>
  </si>
  <si>
    <t>MH-5438</t>
  </si>
  <si>
    <t>C-594, C-558, C-107</t>
  </si>
  <si>
    <t>2628.197mm</t>
  </si>
  <si>
    <t>MH-5439</t>
  </si>
  <si>
    <t>C-660</t>
  </si>
  <si>
    <t>MH-5440</t>
  </si>
  <si>
    <t>C-744, C-660</t>
  </si>
  <si>
    <t>1773.410mm</t>
  </si>
  <si>
    <t>MH-5442</t>
  </si>
  <si>
    <t>C-729, C-719</t>
  </si>
  <si>
    <t>MH-5443</t>
  </si>
  <si>
    <t>C-719, C-559</t>
  </si>
  <si>
    <t>1931.375mm</t>
  </si>
  <si>
    <t>MH-5444</t>
  </si>
  <si>
    <t>C-937, C-559, C-107</t>
  </si>
  <si>
    <t>2696.243mm</t>
  </si>
  <si>
    <t>MH-5446</t>
  </si>
  <si>
    <t>C-937, C-475</t>
  </si>
  <si>
    <t>0+042.34</t>
  </si>
  <si>
    <t>2775.823mm</t>
  </si>
  <si>
    <t>MH-5447</t>
  </si>
  <si>
    <t>C-530, C-475</t>
  </si>
  <si>
    <t>0+022.65</t>
  </si>
  <si>
    <t>2674.930mm</t>
  </si>
  <si>
    <t>MH-5448</t>
  </si>
  <si>
    <t>C-1077, C-554, C-530</t>
  </si>
  <si>
    <t>0+004.59</t>
  </si>
  <si>
    <t>2677.717mm</t>
  </si>
  <si>
    <t>MH-5449</t>
  </si>
  <si>
    <t>C-1077, C-925, C-553</t>
  </si>
  <si>
    <t>2839.456mm</t>
  </si>
  <si>
    <t>MH-5450</t>
  </si>
  <si>
    <t>C-229</t>
  </si>
  <si>
    <t>STORM TR C8_1 RHS</t>
  </si>
  <si>
    <t>0+111.90</t>
  </si>
  <si>
    <t>1911.476mm</t>
  </si>
  <si>
    <t>MH-5451</t>
  </si>
  <si>
    <t>C-449, C-229</t>
  </si>
  <si>
    <t>0+091.90</t>
  </si>
  <si>
    <t>1909.526mm</t>
  </si>
  <si>
    <t>MH-5452</t>
  </si>
  <si>
    <t>C-449, C-228</t>
  </si>
  <si>
    <t>0+071.90</t>
  </si>
  <si>
    <t>1881.037mm</t>
  </si>
  <si>
    <t>MH-5453</t>
  </si>
  <si>
    <t>C-228, C-175</t>
  </si>
  <si>
    <t>0+051.90</t>
  </si>
  <si>
    <t>1843.666mm</t>
  </si>
  <si>
    <t>MH-5454</t>
  </si>
  <si>
    <t>C-175, C-174</t>
  </si>
  <si>
    <t>0+031.90</t>
  </si>
  <si>
    <t>1816.363mm</t>
  </si>
  <si>
    <t>MH-5455</t>
  </si>
  <si>
    <t>C-174, C-124</t>
  </si>
  <si>
    <t>0+011.90</t>
  </si>
  <si>
    <t>1777.639mm</t>
  </si>
  <si>
    <t>MH-5456</t>
  </si>
  <si>
    <t>C-124, C-69</t>
  </si>
  <si>
    <t>0+472.50</t>
  </si>
  <si>
    <t>1761.160mm</t>
  </si>
  <si>
    <t>MH-5457</t>
  </si>
  <si>
    <t>C-227, C-71</t>
  </si>
  <si>
    <t>1816.085mm</t>
  </si>
  <si>
    <t>MH-5458</t>
  </si>
  <si>
    <t>C-489, C-227</t>
  </si>
  <si>
    <t>1816.309mm</t>
  </si>
  <si>
    <t>MH-5459</t>
  </si>
  <si>
    <t>C-538, C-489</t>
  </si>
  <si>
    <t>0+399.89</t>
  </si>
  <si>
    <t>1815.851mm</t>
  </si>
  <si>
    <t>MH-5460</t>
  </si>
  <si>
    <t>C-538, C-323</t>
  </si>
  <si>
    <t>1815.755mm</t>
  </si>
  <si>
    <t>MH-5461</t>
  </si>
  <si>
    <t>C-323, C-226</t>
  </si>
  <si>
    <t>1815.978mm</t>
  </si>
  <si>
    <t>MH-5462</t>
  </si>
  <si>
    <t>C-341, C-226</t>
  </si>
  <si>
    <t>1816.201mm</t>
  </si>
  <si>
    <t>MH-5463</t>
  </si>
  <si>
    <t>C-341, C-340</t>
  </si>
  <si>
    <t>1815.424mm</t>
  </si>
  <si>
    <t>MH-5464</t>
  </si>
  <si>
    <t>C-340, C-114</t>
  </si>
  <si>
    <t>1794.647mm</t>
  </si>
  <si>
    <t>MH-5465</t>
  </si>
  <si>
    <t>C-492, C-114</t>
  </si>
  <si>
    <t>0+286.78</t>
  </si>
  <si>
    <t>1788.135mm</t>
  </si>
  <si>
    <t>MH-5466</t>
  </si>
  <si>
    <t>C-596</t>
  </si>
  <si>
    <t>STORM TR C8 LHS</t>
  </si>
  <si>
    <t>1916.476mm</t>
  </si>
  <si>
    <t>MH-5467</t>
  </si>
  <si>
    <t>C-596, C-476</t>
  </si>
  <si>
    <t>0+091.16</t>
  </si>
  <si>
    <t>1903.465mm</t>
  </si>
  <si>
    <t>MH-5468</t>
  </si>
  <si>
    <t>C-476, C-177</t>
  </si>
  <si>
    <t>MH-5469</t>
  </si>
  <si>
    <t>C-230, C-177</t>
  </si>
  <si>
    <t>MH-5470</t>
  </si>
  <si>
    <t>C-230, C-138</t>
  </si>
  <si>
    <t>MH-5471</t>
  </si>
  <si>
    <t>C-496, C-138</t>
  </si>
  <si>
    <t>1804.639mm</t>
  </si>
  <si>
    <t>MH-5472</t>
  </si>
  <si>
    <t>C-496, C-62</t>
  </si>
  <si>
    <t>0+463.40</t>
  </si>
  <si>
    <t>1823.164mm</t>
  </si>
  <si>
    <t>MH-5473</t>
  </si>
  <si>
    <t>C-416, C-62</t>
  </si>
  <si>
    <t>0+443.82</t>
  </si>
  <si>
    <t>1812.319mm</t>
  </si>
  <si>
    <t>MH-5474</t>
  </si>
  <si>
    <t>C-513, C-416</t>
  </si>
  <si>
    <t>0+424.45</t>
  </si>
  <si>
    <t>1934.414mm</t>
  </si>
  <si>
    <t>MH-5475</t>
  </si>
  <si>
    <t>C-453</t>
  </si>
  <si>
    <t>0+105.28</t>
  </si>
  <si>
    <t>1773.563mm</t>
  </si>
  <si>
    <t>MH-5476</t>
  </si>
  <si>
    <t>C-546, C-453</t>
  </si>
  <si>
    <t>0+085.28</t>
  </si>
  <si>
    <t>1773.574mm</t>
  </si>
  <si>
    <t>MH-5478</t>
  </si>
  <si>
    <t>C-176, C-99</t>
  </si>
  <si>
    <t>0+045.28</t>
  </si>
  <si>
    <t>1773.598mm</t>
  </si>
  <si>
    <t>MH-5479</t>
  </si>
  <si>
    <t>C-528, C-176</t>
  </si>
  <si>
    <t>0+025.28</t>
  </si>
  <si>
    <t>1886.610mm</t>
  </si>
  <si>
    <t>MH-5480</t>
  </si>
  <si>
    <t>C-528, C-513, C-407</t>
  </si>
  <si>
    <t>0+407.35</t>
  </si>
  <si>
    <t>2334.530mm</t>
  </si>
  <si>
    <t>MH-5481</t>
  </si>
  <si>
    <t>C-452</t>
  </si>
  <si>
    <t>STORM TR C33 LHS</t>
  </si>
  <si>
    <t>MH-5482</t>
  </si>
  <si>
    <t>C-452, C-308</t>
  </si>
  <si>
    <t>1772.574mm</t>
  </si>
  <si>
    <t>MH-5483</t>
  </si>
  <si>
    <t>C-308, C-97</t>
  </si>
  <si>
    <t>0+065.58</t>
  </si>
  <si>
    <t>1769.520mm</t>
  </si>
  <si>
    <t>MH-5484</t>
  </si>
  <si>
    <t>C-147, C-97</t>
  </si>
  <si>
    <t>MH-5485</t>
  </si>
  <si>
    <t>C-565, C-147</t>
  </si>
  <si>
    <t>1958.610mm</t>
  </si>
  <si>
    <t>MH-5486</t>
  </si>
  <si>
    <t>C-827, C-565, C-407</t>
  </si>
  <si>
    <t>0+397.65</t>
  </si>
  <si>
    <t>2402.576mm</t>
  </si>
  <si>
    <t>MH-5487</t>
  </si>
  <si>
    <t>C-827, C-361</t>
  </si>
  <si>
    <t>2487.755mm</t>
  </si>
  <si>
    <t>MH-5488</t>
  </si>
  <si>
    <t>C-597, C-361</t>
  </si>
  <si>
    <t>2385.978mm</t>
  </si>
  <si>
    <t>MH-5489</t>
  </si>
  <si>
    <t>C-451</t>
  </si>
  <si>
    <t>STORM TR C34 RHS</t>
  </si>
  <si>
    <t>0+104.56</t>
  </si>
  <si>
    <t>1806.183mm</t>
  </si>
  <si>
    <t>MH-5490</t>
  </si>
  <si>
    <t>C-470, C-451</t>
  </si>
  <si>
    <t>0+084.56</t>
  </si>
  <si>
    <t>1808.097mm</t>
  </si>
  <si>
    <t>MH-5491</t>
  </si>
  <si>
    <t>C-493, C-470</t>
  </si>
  <si>
    <t>0+063.83</t>
  </si>
  <si>
    <t>1804.706mm</t>
  </si>
  <si>
    <t>MH-5492</t>
  </si>
  <si>
    <t>C-493, C-146</t>
  </si>
  <si>
    <t>0+044.50</t>
  </si>
  <si>
    <t>1805.678mm</t>
  </si>
  <si>
    <t>MH-5493</t>
  </si>
  <si>
    <t>C-564, C-146</t>
  </si>
  <si>
    <t>0+024.56</t>
  </si>
  <si>
    <t>1917.838mm</t>
  </si>
  <si>
    <t>MH-5494</t>
  </si>
  <si>
    <t>C-597, C-564, C-115</t>
  </si>
  <si>
    <t>2355.102mm</t>
  </si>
  <si>
    <t>MH-5495</t>
  </si>
  <si>
    <t>C-450</t>
  </si>
  <si>
    <t>MH-5496</t>
  </si>
  <si>
    <t>C-512, C-450</t>
  </si>
  <si>
    <t>1805.097mm</t>
  </si>
  <si>
    <t>MH-5497</t>
  </si>
  <si>
    <t>C-512, C-78</t>
  </si>
  <si>
    <t>0+064.63</t>
  </si>
  <si>
    <t>1785.326mm</t>
  </si>
  <si>
    <t>MH-5499</t>
  </si>
  <si>
    <t>C-563, C-501</t>
  </si>
  <si>
    <t>1990.838mm</t>
  </si>
  <si>
    <t>MH-5500</t>
  </si>
  <si>
    <t>C-867, C-563, C-115</t>
  </si>
  <si>
    <t>0+332.05</t>
  </si>
  <si>
    <t>2273.147mm</t>
  </si>
  <si>
    <t>MH-5501</t>
  </si>
  <si>
    <t>C-867, C-575</t>
  </si>
  <si>
    <t>0+312.43</t>
  </si>
  <si>
    <t>2359.344mm</t>
  </si>
  <si>
    <t>MH-5502</t>
  </si>
  <si>
    <t>C-575, C-66</t>
  </si>
  <si>
    <t>0+294.59</t>
  </si>
  <si>
    <t>2369.733mm</t>
  </si>
  <si>
    <t>MH-5503</t>
  </si>
  <si>
    <t>C-635</t>
  </si>
  <si>
    <t>MH-5504</t>
  </si>
  <si>
    <t>C-638, C-635</t>
  </si>
  <si>
    <t>MH-5506</t>
  </si>
  <si>
    <t>C-632, C-628</t>
  </si>
  <si>
    <t>MH-5507</t>
  </si>
  <si>
    <t>C-632, C-557</t>
  </si>
  <si>
    <t>1875.419mm</t>
  </si>
  <si>
    <t>MH-5508</t>
  </si>
  <si>
    <t>C-1079, C-557, C-66</t>
  </si>
  <si>
    <t>0+276.04</t>
  </si>
  <si>
    <t>2345.196mm</t>
  </si>
  <si>
    <t>MH-5509</t>
  </si>
  <si>
    <t>C-1079, C-849, C-492</t>
  </si>
  <si>
    <t>0+276.08</t>
  </si>
  <si>
    <t>2639.973mm</t>
  </si>
  <si>
    <t>MH-5510</t>
  </si>
  <si>
    <t>C-849, C-339</t>
  </si>
  <si>
    <t>2566.094mm</t>
  </si>
  <si>
    <t>MH-5511</t>
  </si>
  <si>
    <t>C-339, C-34</t>
  </si>
  <si>
    <t>2543.317mm</t>
  </si>
  <si>
    <t>MH-5513</t>
  </si>
  <si>
    <t>C-1018, C-403</t>
  </si>
  <si>
    <t>0+202.78</t>
  </si>
  <si>
    <t>2456.580mm</t>
  </si>
  <si>
    <t>MH-5514</t>
  </si>
  <si>
    <t>C-1018, C-360</t>
  </si>
  <si>
    <t>2565.986mm</t>
  </si>
  <si>
    <t>MH-5515</t>
  </si>
  <si>
    <t>C-360, C-359</t>
  </si>
  <si>
    <t>2566.209mm</t>
  </si>
  <si>
    <t>MH-5516</t>
  </si>
  <si>
    <t>C-359, C-225</t>
  </si>
  <si>
    <t>2565.433mm</t>
  </si>
  <si>
    <t>MH-5517</t>
  </si>
  <si>
    <t>C-338, C-225</t>
  </si>
  <si>
    <t>2565.656mm</t>
  </si>
  <si>
    <t>MH-5518</t>
  </si>
  <si>
    <t>C-338, C-337</t>
  </si>
  <si>
    <t>2565.879mm</t>
  </si>
  <si>
    <t>MH-5519</t>
  </si>
  <si>
    <t>C-358, C-337</t>
  </si>
  <si>
    <t>2566.102mm</t>
  </si>
  <si>
    <t>MH-5520</t>
  </si>
  <si>
    <t>C-358, C-224</t>
  </si>
  <si>
    <t>2566.325mm</t>
  </si>
  <si>
    <t>MH-5521</t>
  </si>
  <si>
    <t>C-357, C-224</t>
  </si>
  <si>
    <t>2565.548mm</t>
  </si>
  <si>
    <t>MH-5522</t>
  </si>
  <si>
    <t>C-543, C-357</t>
  </si>
  <si>
    <t>2765.772mm</t>
  </si>
  <si>
    <t>MH-5523</t>
  </si>
  <si>
    <t>C-814, C-543</t>
  </si>
  <si>
    <t>0+004.42</t>
  </si>
  <si>
    <t>2500.784mm</t>
  </si>
  <si>
    <t>MH-5524</t>
  </si>
  <si>
    <t>C-961</t>
  </si>
  <si>
    <t>0+474.01</t>
  </si>
  <si>
    <t>MH-5525</t>
  </si>
  <si>
    <t>C-1017, C-831</t>
  </si>
  <si>
    <t>1834.558mm</t>
  </si>
  <si>
    <t>MH-5526</t>
  </si>
  <si>
    <t>C-1017, C-170</t>
  </si>
  <si>
    <t>1793.999mm</t>
  </si>
  <si>
    <t>MH-5527</t>
  </si>
  <si>
    <t>C-495, C-170</t>
  </si>
  <si>
    <t>1794.440mm</t>
  </si>
  <si>
    <t>MH-5529</t>
  </si>
  <si>
    <t>C-350</t>
  </si>
  <si>
    <t>1821.517mm</t>
  </si>
  <si>
    <t>MH-5530</t>
  </si>
  <si>
    <t>C-505, C-350</t>
  </si>
  <si>
    <t>2019.140mm</t>
  </si>
  <si>
    <t>MH-5531</t>
  </si>
  <si>
    <t>C-351</t>
  </si>
  <si>
    <t>MH-5532</t>
  </si>
  <si>
    <t>C-506, C-351</t>
  </si>
  <si>
    <t>1954.140mm</t>
  </si>
  <si>
    <t>MH-5533</t>
  </si>
  <si>
    <t>C-506, C-105</t>
  </si>
  <si>
    <t>0+202.83</t>
  </si>
  <si>
    <t>1784.689mm</t>
  </si>
  <si>
    <t>MH-5534</t>
  </si>
  <si>
    <t>C-798, C-505, C-105</t>
  </si>
  <si>
    <t>1734.294mm</t>
  </si>
  <si>
    <t>MH-5535</t>
  </si>
  <si>
    <t>C-804, C-798</t>
  </si>
  <si>
    <t>0+451.34</t>
  </si>
  <si>
    <t>1874.145mm</t>
  </si>
  <si>
    <t>MH-5536</t>
  </si>
  <si>
    <t>C-804, C-784</t>
  </si>
  <si>
    <t>1828.558mm</t>
  </si>
  <si>
    <t>MH-5537</t>
  </si>
  <si>
    <t>C-784, C-171</t>
  </si>
  <si>
    <t>MH-5538</t>
  </si>
  <si>
    <t>C-582, C-171</t>
  </si>
  <si>
    <t>MH-5541</t>
  </si>
  <si>
    <t>C-614, C-352</t>
  </si>
  <si>
    <t>0+365.53</t>
  </si>
  <si>
    <t>2838.179mm</t>
  </si>
  <si>
    <t>MH-5542</t>
  </si>
  <si>
    <t>C-614, C-514, C-47</t>
  </si>
  <si>
    <t>0+345.90</t>
  </si>
  <si>
    <t>2705.637mm</t>
  </si>
  <si>
    <t>MH-5543</t>
  </si>
  <si>
    <t>C-544, C-514, C-67</t>
  </si>
  <si>
    <t>0+335.10</t>
  </si>
  <si>
    <t>2660.592mm</t>
  </si>
  <si>
    <t>MH-5544</t>
  </si>
  <si>
    <t>C-544, C-477</t>
  </si>
  <si>
    <t>0+312.46</t>
  </si>
  <si>
    <t>2596.978mm</t>
  </si>
  <si>
    <t>MH-5546</t>
  </si>
  <si>
    <t>C-477, C-83</t>
  </si>
  <si>
    <t>0+290.79</t>
  </si>
  <si>
    <t>2498.842mm</t>
  </si>
  <si>
    <t>MH-5547</t>
  </si>
  <si>
    <t>C-436</t>
  </si>
  <si>
    <t>1792.781mm</t>
  </si>
  <si>
    <t>MH-5548</t>
  </si>
  <si>
    <t>C-436, C-172</t>
  </si>
  <si>
    <t>1792.308mm</t>
  </si>
  <si>
    <t>MH-5549</t>
  </si>
  <si>
    <t>C-218, C-172</t>
  </si>
  <si>
    <t>1792.836mm</t>
  </si>
  <si>
    <t>MH-5550</t>
  </si>
  <si>
    <t>C-218, C-217</t>
  </si>
  <si>
    <t>1792.363mm</t>
  </si>
  <si>
    <t>MH-5551</t>
  </si>
  <si>
    <t>C-353</t>
  </si>
  <si>
    <t>1821.386mm</t>
  </si>
  <si>
    <t>MH-5552</t>
  </si>
  <si>
    <t>C-353, C-60</t>
  </si>
  <si>
    <t>1781.010mm</t>
  </si>
  <si>
    <t>MH-5553</t>
  </si>
  <si>
    <t>C-354</t>
  </si>
  <si>
    <t>MH-5554</t>
  </si>
  <si>
    <t>C-354, C-88</t>
  </si>
  <si>
    <t>1783.010mm</t>
  </si>
  <si>
    <t>MH-5555</t>
  </si>
  <si>
    <t>C-473, C-25</t>
  </si>
  <si>
    <t>0+135.90</t>
  </si>
  <si>
    <t>1929.520mm</t>
  </si>
  <si>
    <t>MH-5556</t>
  </si>
  <si>
    <t>C-764, C-473, C-48</t>
  </si>
  <si>
    <t>1743.449mm</t>
  </si>
  <si>
    <t>MH-5557</t>
  </si>
  <si>
    <t>C-770, C-764</t>
  </si>
  <si>
    <t>STORM TR C26 RHS</t>
  </si>
  <si>
    <t>1860.781mm</t>
  </si>
  <si>
    <t>MH-5558</t>
  </si>
  <si>
    <t>C-770, C-173</t>
  </si>
  <si>
    <t>MH-5559</t>
  </si>
  <si>
    <t>C-220, C-173</t>
  </si>
  <si>
    <t>MH-5560</t>
  </si>
  <si>
    <t>C-220, C-219</t>
  </si>
  <si>
    <t>MH-5561</t>
  </si>
  <si>
    <t>C-1080, C-219</t>
  </si>
  <si>
    <t>1753.891mm</t>
  </si>
  <si>
    <t>MH-5563</t>
  </si>
  <si>
    <t>C-507, C-83, C-41</t>
  </si>
  <si>
    <t>0+269.27</t>
  </si>
  <si>
    <t>2402.541mm</t>
  </si>
  <si>
    <t>MH-5564</t>
  </si>
  <si>
    <t>C-507, C-216</t>
  </si>
  <si>
    <t>0+247.47</t>
  </si>
  <si>
    <t>2402.677mm</t>
  </si>
  <si>
    <t>MH-5566</t>
  </si>
  <si>
    <t>C-884</t>
  </si>
  <si>
    <t>1747.805mm</t>
  </si>
  <si>
    <t>MH-5567</t>
  </si>
  <si>
    <t>C-884, C-411</t>
  </si>
  <si>
    <t>1884.783mm</t>
  </si>
  <si>
    <t>MH-5568</t>
  </si>
  <si>
    <t>C-411, C-31</t>
  </si>
  <si>
    <t>0+059.99</t>
  </si>
  <si>
    <t>1865.259mm</t>
  </si>
  <si>
    <t>MH-5570</t>
  </si>
  <si>
    <t>C-485, C-221</t>
  </si>
  <si>
    <t>1884.442mm</t>
  </si>
  <si>
    <t>MH-5571</t>
  </si>
  <si>
    <t>C-356</t>
  </si>
  <si>
    <t>1821.256mm</t>
  </si>
  <si>
    <t>MH-5572</t>
  </si>
  <si>
    <t>C-356, C-318</t>
  </si>
  <si>
    <t>1821.879mm</t>
  </si>
  <si>
    <t>MH-5573</t>
  </si>
  <si>
    <t>C-573, C-318</t>
  </si>
  <si>
    <t>1787.502mm</t>
  </si>
  <si>
    <t>MH-5574</t>
  </si>
  <si>
    <t>C-573, C-104</t>
  </si>
  <si>
    <t>1963.724mm</t>
  </si>
  <si>
    <t>MH-5575</t>
  </si>
  <si>
    <t>C-355</t>
  </si>
  <si>
    <t>1859.336mm</t>
  </si>
  <si>
    <t>MH-5576</t>
  </si>
  <si>
    <t>C-355, C-317</t>
  </si>
  <si>
    <t>MH-5577</t>
  </si>
  <si>
    <t>C-572, C-317</t>
  </si>
  <si>
    <t>2028.502mm</t>
  </si>
  <si>
    <t>MH-5578</t>
  </si>
  <si>
    <t>C-883, C-572, C-104</t>
  </si>
  <si>
    <t>1749.483mm</t>
  </si>
  <si>
    <t>MH-5579</t>
  </si>
  <si>
    <t>C-883, C-415</t>
  </si>
  <si>
    <t>STORM TR C25 RHS</t>
  </si>
  <si>
    <t>1880.783mm</t>
  </si>
  <si>
    <t>MH-5580</t>
  </si>
  <si>
    <t>C-415, C-32</t>
  </si>
  <si>
    <t>0+060.37</t>
  </si>
  <si>
    <t>1864.854mm</t>
  </si>
  <si>
    <t>MH-5581</t>
  </si>
  <si>
    <t>C-525, C-32</t>
  </si>
  <si>
    <t>0+040.30</t>
  </si>
  <si>
    <t>1886.727mm</t>
  </si>
  <si>
    <t>MH-5582</t>
  </si>
  <si>
    <t>C-525, C-222</t>
  </si>
  <si>
    <t>MH-5583</t>
  </si>
  <si>
    <t>C-1081, C-222</t>
  </si>
  <si>
    <t>0+001.50</t>
  </si>
  <si>
    <t>1768.258mm</t>
  </si>
  <si>
    <t>MH-5584</t>
  </si>
  <si>
    <t>C-1081, C-822, C-221</t>
  </si>
  <si>
    <t>0+001.28</t>
  </si>
  <si>
    <t>1928.220mm</t>
  </si>
  <si>
    <t>MH-5585</t>
  </si>
  <si>
    <t>C-853, C-822, C-30</t>
  </si>
  <si>
    <t>0+203.67</t>
  </si>
  <si>
    <t>2517.406mm</t>
  </si>
  <si>
    <t>MH-5586</t>
  </si>
  <si>
    <t>C-853, C-400</t>
  </si>
  <si>
    <t>0+182.40</t>
  </si>
  <si>
    <t>2495.058mm</t>
  </si>
  <si>
    <t>MH-5588</t>
  </si>
  <si>
    <t>C-474, C-400</t>
  </si>
  <si>
    <t>0+163.13</t>
  </si>
  <si>
    <t>2891.557mm</t>
  </si>
  <si>
    <t>MH-5589</t>
  </si>
  <si>
    <t>C-591</t>
  </si>
  <si>
    <t>0+056.98</t>
  </si>
  <si>
    <t>1810.898mm</t>
  </si>
  <si>
    <t>MH-5590</t>
  </si>
  <si>
    <t>C-591, C-321</t>
  </si>
  <si>
    <t>1821.748mm</t>
  </si>
  <si>
    <t>MH-5591</t>
  </si>
  <si>
    <t>C-479, C-321</t>
  </si>
  <si>
    <t>1944.372mm</t>
  </si>
  <si>
    <t>MH-5592</t>
  </si>
  <si>
    <t>C-479, C-106</t>
  </si>
  <si>
    <t>0+004.70</t>
  </si>
  <si>
    <t>MH-5593</t>
  </si>
  <si>
    <t>C-310</t>
  </si>
  <si>
    <t>0+056.52</t>
  </si>
  <si>
    <t>1813.711mm</t>
  </si>
  <si>
    <t>MH-5594</t>
  </si>
  <si>
    <t>C-320, C-310</t>
  </si>
  <si>
    <t>MH-5595</t>
  </si>
  <si>
    <t>C-478, C-320</t>
  </si>
  <si>
    <t>2040.372mm</t>
  </si>
  <si>
    <t>MH-5596</t>
  </si>
  <si>
    <t>C-1095, C-478, C-106</t>
  </si>
  <si>
    <t>1741.455mm</t>
  </si>
  <si>
    <t>MH-5597</t>
  </si>
  <si>
    <t>C-1095, C-145</t>
  </si>
  <si>
    <t>1898.058mm</t>
  </si>
  <si>
    <t>MH-5598</t>
  </si>
  <si>
    <t>C-223, C-145</t>
  </si>
  <si>
    <t>1903.293mm</t>
  </si>
  <si>
    <t>MH-5599</t>
  </si>
  <si>
    <t>C-448, C-223</t>
  </si>
  <si>
    <t>0+220.01</t>
  </si>
  <si>
    <t>1839.377mm</t>
  </si>
  <si>
    <t>MH-5600</t>
  </si>
  <si>
    <t>C-726, C-448</t>
  </si>
  <si>
    <t>MH-5601</t>
  </si>
  <si>
    <t>C-726, C-584</t>
  </si>
  <si>
    <t>1813.828mm</t>
  </si>
  <si>
    <t>MH-5602</t>
  </si>
  <si>
    <t>C-715, C-584, C-474</t>
  </si>
  <si>
    <t>0+147.70</t>
  </si>
  <si>
    <t>3228.285mm</t>
  </si>
  <si>
    <t>MH-5603</t>
  </si>
  <si>
    <t>C-169</t>
  </si>
  <si>
    <t>1867.422mm</t>
  </si>
  <si>
    <t>MH-5604</t>
  </si>
  <si>
    <t>C-169, C-168</t>
  </si>
  <si>
    <t>MH-5605</t>
  </si>
  <si>
    <t>C-215, C-168</t>
  </si>
  <si>
    <t>MH-5606</t>
  </si>
  <si>
    <t>C-447, C-215</t>
  </si>
  <si>
    <t>1839.300mm</t>
  </si>
  <si>
    <t>MH-5607</t>
  </si>
  <si>
    <t>C-727, C-447</t>
  </si>
  <si>
    <t>MH-5608</t>
  </si>
  <si>
    <t>C-727, C-585</t>
  </si>
  <si>
    <t>1833.828mm</t>
  </si>
  <si>
    <t>MH-5609</t>
  </si>
  <si>
    <t>C-845, C-715, C-585</t>
  </si>
  <si>
    <t>0+138.00</t>
  </si>
  <si>
    <t>3244.040mm</t>
  </si>
  <si>
    <t>MH-5614</t>
  </si>
  <si>
    <t>C-213, C-11</t>
  </si>
  <si>
    <t>1863.995mm</t>
  </si>
  <si>
    <t>MH-5615</t>
  </si>
  <si>
    <t>C-445, C-213</t>
  </si>
  <si>
    <t>1761.995mm</t>
  </si>
  <si>
    <t>MH-5616</t>
  </si>
  <si>
    <t>C-445, C-96</t>
  </si>
  <si>
    <t>1753.995mm</t>
  </si>
  <si>
    <t>MH-5617</t>
  </si>
  <si>
    <t>C-683, C-15</t>
  </si>
  <si>
    <t>1862.627mm</t>
  </si>
  <si>
    <t>MH-5618</t>
  </si>
  <si>
    <t>C-799, C-683</t>
  </si>
  <si>
    <t>1763.929mm</t>
  </si>
  <si>
    <t>MH-5619</t>
  </si>
  <si>
    <t>C-933, C-799</t>
  </si>
  <si>
    <t>0+319.63</t>
  </si>
  <si>
    <t>1752.904mm</t>
  </si>
  <si>
    <t>MH-5620</t>
  </si>
  <si>
    <t>C-1016, C-16</t>
  </si>
  <si>
    <t>MH-5621</t>
  </si>
  <si>
    <t>C-1016, C-1015</t>
  </si>
  <si>
    <t>MH-5622</t>
  </si>
  <si>
    <t>C-1015, C-679</t>
  </si>
  <si>
    <t>1764.232mm</t>
  </si>
  <si>
    <t>MH-5623</t>
  </si>
  <si>
    <t>C-349, C-1096</t>
  </si>
  <si>
    <t>0+390.46</t>
  </si>
  <si>
    <t>3848.412mm</t>
  </si>
  <si>
    <t>MH-5625</t>
  </si>
  <si>
    <t>C-782, C-349</t>
  </si>
  <si>
    <t>0+366.97</t>
  </si>
  <si>
    <t>3742.152mm</t>
  </si>
  <si>
    <t>MH-5626</t>
  </si>
  <si>
    <t>C-938, C-782</t>
  </si>
  <si>
    <t>0+349.18</t>
  </si>
  <si>
    <t>3724.181mm</t>
  </si>
  <si>
    <t>MH-5627</t>
  </si>
  <si>
    <t>C-938, C-850</t>
  </si>
  <si>
    <t>0+327.29</t>
  </si>
  <si>
    <t>3562.152mm</t>
  </si>
  <si>
    <t>MH-5629</t>
  </si>
  <si>
    <t>C-850, C-684</t>
  </si>
  <si>
    <t>0+305.54</t>
  </si>
  <si>
    <t>3462.623mm</t>
  </si>
  <si>
    <t>MH-5630</t>
  </si>
  <si>
    <t>C-681, C-14</t>
  </si>
  <si>
    <t>1864.424mm</t>
  </si>
  <si>
    <t>MH-5631</t>
  </si>
  <si>
    <t>C-776, C-681</t>
  </si>
  <si>
    <t>1756.781mm</t>
  </si>
  <si>
    <t>MH-5632</t>
  </si>
  <si>
    <t>C-811, C-776</t>
  </si>
  <si>
    <t>1754.138mm</t>
  </si>
  <si>
    <t>MH-5633</t>
  </si>
  <si>
    <t>C-892, C-684</t>
  </si>
  <si>
    <t>0+285.02</t>
  </si>
  <si>
    <t>3369.860mm</t>
  </si>
  <si>
    <t>MH-5634</t>
  </si>
  <si>
    <t>C-680, C-13</t>
  </si>
  <si>
    <t>MH-5635</t>
  </si>
  <si>
    <t>C-777, C-680</t>
  </si>
  <si>
    <t>MH-5636</t>
  </si>
  <si>
    <t>C-812, C-777</t>
  </si>
  <si>
    <t>MH-5637</t>
  </si>
  <si>
    <t>C-892, C-130</t>
  </si>
  <si>
    <t>0+265.45</t>
  </si>
  <si>
    <t>3280.318mm</t>
  </si>
  <si>
    <t>MH-5639</t>
  </si>
  <si>
    <t>C-549, C-130</t>
  </si>
  <si>
    <t>0+245.24</t>
  </si>
  <si>
    <t>3189.318mm</t>
  </si>
  <si>
    <t>MH-5640</t>
  </si>
  <si>
    <t>C-214, C-12</t>
  </si>
  <si>
    <t>MH-5641</t>
  </si>
  <si>
    <t>C-446, C-214</t>
  </si>
  <si>
    <t>MH-5642</t>
  </si>
  <si>
    <t>C-446, C-98</t>
  </si>
  <si>
    <t>MH-5643</t>
  </si>
  <si>
    <t>C-886, C-549</t>
  </si>
  <si>
    <t>0+224.05</t>
  </si>
  <si>
    <t>3146.982mm</t>
  </si>
  <si>
    <t>MH-5644</t>
  </si>
  <si>
    <t>C-934, C-886</t>
  </si>
  <si>
    <t>3186.022mm</t>
  </si>
  <si>
    <t>MH-5645</t>
  </si>
  <si>
    <t>C-934, C-125</t>
  </si>
  <si>
    <t>0+183.78</t>
  </si>
  <si>
    <t>3207.265mm</t>
  </si>
  <si>
    <t>MH-5647</t>
  </si>
  <si>
    <t>C-670, C-10</t>
  </si>
  <si>
    <t>1864.363mm</t>
  </si>
  <si>
    <t>MH-5648</t>
  </si>
  <si>
    <t>C-673, C-670</t>
  </si>
  <si>
    <t>1834.409mm</t>
  </si>
  <si>
    <t>MH-5649</t>
  </si>
  <si>
    <t>C-673, C-671</t>
  </si>
  <si>
    <t>1804.455mm</t>
  </si>
  <si>
    <t>MH-5650</t>
  </si>
  <si>
    <t>C-671, C-619</t>
  </si>
  <si>
    <t>1880.501mm</t>
  </si>
  <si>
    <t>MH-5651</t>
  </si>
  <si>
    <t>C-720, C-619, C-63</t>
  </si>
  <si>
    <t>4103.420mm</t>
  </si>
  <si>
    <t>MH-5652</t>
  </si>
  <si>
    <t>C-669, C-9</t>
  </si>
  <si>
    <t>1871.363mm</t>
  </si>
  <si>
    <t>MH-5653</t>
  </si>
  <si>
    <t>C-672, C-669</t>
  </si>
  <si>
    <t>1866.409mm</t>
  </si>
  <si>
    <t>MH-5654</t>
  </si>
  <si>
    <t>C-672, C-627</t>
  </si>
  <si>
    <t>1855.455mm</t>
  </si>
  <si>
    <t>MH-5655</t>
  </si>
  <si>
    <t>C-627, C-103</t>
  </si>
  <si>
    <t>1899.501mm</t>
  </si>
  <si>
    <t>MH-5656</t>
  </si>
  <si>
    <t>C-833, C-720, C-103</t>
  </si>
  <si>
    <t>4090.391mm</t>
  </si>
  <si>
    <t>MH-6191</t>
  </si>
  <si>
    <t>C-737, C-787</t>
  </si>
  <si>
    <t>0+040.01</t>
  </si>
  <si>
    <t>2146.572mm</t>
  </si>
  <si>
    <t>MH-6192</t>
  </si>
  <si>
    <t>C-787, C-926</t>
  </si>
  <si>
    <t>0+060.14</t>
  </si>
  <si>
    <t>2345.938mm</t>
  </si>
  <si>
    <t>MH-6193</t>
  </si>
  <si>
    <t>C-926, C-1019</t>
  </si>
  <si>
    <t>2396.663mm</t>
  </si>
  <si>
    <t>MH-6194</t>
  </si>
  <si>
    <t>C-955, C-1019</t>
  </si>
  <si>
    <t>2284.690mm</t>
  </si>
  <si>
    <t>MH-6195</t>
  </si>
  <si>
    <t>C-846, C-955</t>
  </si>
  <si>
    <t>0+120.44</t>
  </si>
  <si>
    <t>1868.842mm</t>
  </si>
  <si>
    <t>MH-6196</t>
  </si>
  <si>
    <t>C-846, C-911</t>
  </si>
  <si>
    <t>1907.386mm</t>
  </si>
  <si>
    <t>MH-6197</t>
  </si>
  <si>
    <t>C-911, C-967</t>
  </si>
  <si>
    <t>1924.231mm</t>
  </si>
  <si>
    <t>MH-6198</t>
  </si>
  <si>
    <t>C-583, C-967</t>
  </si>
  <si>
    <t>1943.029mm</t>
  </si>
  <si>
    <t>MH- (5197)</t>
  </si>
  <si>
    <t>C-583, C-898, C-943</t>
  </si>
  <si>
    <t>0+192.29</t>
  </si>
  <si>
    <t>1926.182mm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</si>
  <si>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</si>
  <si>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</si>
  <si>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</si>
  <si>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</si>
  <si>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</si>
  <si>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</si>
  <si>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</si>
  <si>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</si>
  <si>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</si>
  <si>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</si>
  <si>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</si>
  <si>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</si>
  <si>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</si>
  <si>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</si>
  <si>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</si>
  <si>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</si>
  <si>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</si>
  <si>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</si>
  <si>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</si>
  <si>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</si>
  <si>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</si>
  <si>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</si>
  <si>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</si>
  <si>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</si>
  <si>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</si>
  <si>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</si>
  <si>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</si>
  <si>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</si>
  <si>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</si>
  <si>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</si>
  <si>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</si>
  <si>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</si>
  <si>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</si>
  <si>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</si>
  <si>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</si>
  <si>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</si>
  <si>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</si>
  <si>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450 x 450 mm Concret [...]</t>
  </si>
  <si>
    <t>STORM</t>
  </si>
  <si>
    <t>450.000mm</t>
  </si>
  <si>
    <t>125.000mm</t>
  </si>
  <si>
    <t>89° 59' 59.999"</t>
  </si>
  <si>
    <t>Start to End</t>
  </si>
  <si>
    <t>Straight</t>
  </si>
  <si>
    <t>Pipe</t>
  </si>
  <si>
    <t>450x450</t>
  </si>
  <si>
    <t>Rectangular</t>
  </si>
  <si>
    <t>89° 59' 59.998"</t>
  </si>
  <si>
    <t>C-3</t>
  </si>
  <si>
    <t>C-4</t>
  </si>
  <si>
    <t>C-5</t>
  </si>
  <si>
    <t>C-6</t>
  </si>
  <si>
    <t>C-7</t>
  </si>
  <si>
    <t>179° 59' 60.000"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</si>
  <si>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</si>
  <si>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</si>
  <si>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</si>
  <si>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</si>
  <si>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</si>
  <si>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</si>
  <si>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</si>
  <si>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</si>
  <si>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</si>
  <si>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</si>
  <si>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</si>
  <si>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750 x 900 mm Concret [...]</t>
  </si>
  <si>
    <t>900.000mm</t>
  </si>
  <si>
    <t>150.000mm</t>
  </si>
  <si>
    <t>89° 59' 59.979"</t>
  </si>
  <si>
    <t>750x900</t>
  </si>
  <si>
    <t>C-19</t>
  </si>
  <si>
    <t>C-20</t>
  </si>
  <si>
    <t>750 x 450 mm Concret [...]</t>
  </si>
  <si>
    <t>-0+012.13</t>
  </si>
  <si>
    <t>750x450</t>
  </si>
  <si>
    <t>C-21</t>
  </si>
  <si>
    <t>900 x 1,050 mm Concr [...]</t>
  </si>
  <si>
    <t>1050.000mm</t>
  </si>
  <si>
    <t>175.000mm</t>
  </si>
  <si>
    <t>900x1,050</t>
  </si>
  <si>
    <t>C-22</t>
  </si>
  <si>
    <t>750 x 600 mm Concret [...]</t>
  </si>
  <si>
    <t>359° 53' 22.083"</t>
  </si>
  <si>
    <t>750x600</t>
  </si>
  <si>
    <t>C-23</t>
  </si>
  <si>
    <t>0+276.15</t>
  </si>
  <si>
    <t>C-24</t>
  </si>
  <si>
    <t>C-25</t>
  </si>
  <si>
    <t>C-26</t>
  </si>
  <si>
    <t>C-27</t>
  </si>
  <si>
    <t>C-28</t>
  </si>
  <si>
    <t>0+264.17</t>
  </si>
  <si>
    <t>C-29</t>
  </si>
  <si>
    <t>0+472.95</t>
  </si>
  <si>
    <t>C-30</t>
  </si>
  <si>
    <t>1,050 x 900 mm Concr [...]</t>
  </si>
  <si>
    <t>0+225.75</t>
  </si>
  <si>
    <t>89° 59' 42.597"</t>
  </si>
  <si>
    <t>1,050x900</t>
  </si>
  <si>
    <t>C-31</t>
  </si>
  <si>
    <t>C-32</t>
  </si>
  <si>
    <t>C-33</t>
  </si>
  <si>
    <t>C-34</t>
  </si>
  <si>
    <t>600 x 750 mm Concret [...]</t>
  </si>
  <si>
    <t>600x750</t>
  </si>
  <si>
    <t>C-35</t>
  </si>
  <si>
    <t>-0+005.66</t>
  </si>
  <si>
    <t>C-36</t>
  </si>
  <si>
    <t>C-37</t>
  </si>
  <si>
    <t>C-38</t>
  </si>
  <si>
    <t>C-39</t>
  </si>
  <si>
    <t>600 x 450 mm Concret [...]</t>
  </si>
  <si>
    <t>600x450</t>
  </si>
  <si>
    <t>C-41</t>
  </si>
  <si>
    <t>-0+000.02</t>
  </si>
  <si>
    <t>-0+011.95</t>
  </si>
  <si>
    <t>C-42</t>
  </si>
  <si>
    <t>-0+004.70</t>
  </si>
  <si>
    <t>C-43</t>
  </si>
  <si>
    <t>C-44</t>
  </si>
  <si>
    <t>C-45</t>
  </si>
  <si>
    <t>359° 59' 60.000"</t>
  </si>
  <si>
    <t>C-46</t>
  </si>
  <si>
    <t>C-47</t>
  </si>
  <si>
    <t>0+358.10</t>
  </si>
  <si>
    <t>C-48</t>
  </si>
  <si>
    <t>C-49</t>
  </si>
  <si>
    <t>C-50</t>
  </si>
  <si>
    <t>C-52</t>
  </si>
  <si>
    <t>C-53</t>
  </si>
  <si>
    <t>0+107.49</t>
  </si>
  <si>
    <t>179° 59' 59.975"</t>
  </si>
  <si>
    <t>C-54</t>
  </si>
  <si>
    <t>C-55</t>
  </si>
  <si>
    <t>0+122.28</t>
  </si>
  <si>
    <t>C-56</t>
  </si>
  <si>
    <t>C-57</t>
  </si>
  <si>
    <t>C-58</t>
  </si>
  <si>
    <t>C-59</t>
  </si>
  <si>
    <t>C-60</t>
  </si>
  <si>
    <t>C-61</t>
  </si>
  <si>
    <t>C-62</t>
  </si>
  <si>
    <t>0+463.25</t>
  </si>
  <si>
    <t>C-63</t>
  </si>
  <si>
    <t>1,350 x 1,500 mm Con [...]</t>
  </si>
  <si>
    <t>1500.000mm</t>
  </si>
  <si>
    <t>225.000mm</t>
  </si>
  <si>
    <t>89° 59' 50.437"</t>
  </si>
  <si>
    <t>1,350x1,500</t>
  </si>
  <si>
    <t>C-64</t>
  </si>
  <si>
    <t>C-65</t>
  </si>
  <si>
    <t>C-66</t>
  </si>
  <si>
    <t>600 x 600 mm Concret [...]</t>
  </si>
  <si>
    <t>89° 32' 2.555"</t>
  </si>
  <si>
    <t>600x600</t>
  </si>
  <si>
    <t>C-67</t>
  </si>
  <si>
    <t>0+358.33</t>
  </si>
  <si>
    <t>C-68</t>
  </si>
  <si>
    <t>900 x 750 mm Concret [...]</t>
  </si>
  <si>
    <t>179° 59' 59.990"</t>
  </si>
  <si>
    <t>900x750</t>
  </si>
  <si>
    <t>C-69</t>
  </si>
  <si>
    <t>C-70</t>
  </si>
  <si>
    <t>750 x 750 mm Concret [...]</t>
  </si>
  <si>
    <t>750x750</t>
  </si>
  <si>
    <t>C-71</t>
  </si>
  <si>
    <t>C-72</t>
  </si>
  <si>
    <t>C-73</t>
  </si>
  <si>
    <t>C-74</t>
  </si>
  <si>
    <t>C-75</t>
  </si>
  <si>
    <t>C-76</t>
  </si>
  <si>
    <t>0+122.34</t>
  </si>
  <si>
    <t>179° 58' 38.113"</t>
  </si>
  <si>
    <t>C-77</t>
  </si>
  <si>
    <t>C-78</t>
  </si>
  <si>
    <t>C-79</t>
  </si>
  <si>
    <t>0+038.16</t>
  </si>
  <si>
    <t>89° 59' 59.980"</t>
  </si>
  <si>
    <t>C-80</t>
  </si>
  <si>
    <t>C-81</t>
  </si>
  <si>
    <t>C-82</t>
  </si>
  <si>
    <t>C-83</t>
  </si>
  <si>
    <t>90° 0' 23.937"</t>
  </si>
  <si>
    <t>C-84</t>
  </si>
  <si>
    <t>C-85</t>
  </si>
  <si>
    <t>C-86</t>
  </si>
  <si>
    <t>0+269.47</t>
  </si>
  <si>
    <t>C-87</t>
  </si>
  <si>
    <t>C-88</t>
  </si>
  <si>
    <t>C-89</t>
  </si>
  <si>
    <t>0+197.07</t>
  </si>
  <si>
    <t>C-90</t>
  </si>
  <si>
    <t>C-91</t>
  </si>
  <si>
    <t>C-93</t>
  </si>
  <si>
    <t>C-95</t>
  </si>
  <si>
    <t>C-97</t>
  </si>
  <si>
    <t>C-99</t>
  </si>
  <si>
    <t>C-100</t>
  </si>
  <si>
    <t>0+117.19</t>
  </si>
  <si>
    <t>C-102</t>
  </si>
  <si>
    <t>0+009.38</t>
  </si>
  <si>
    <t>C-103</t>
  </si>
  <si>
    <t>0+147.93</t>
  </si>
  <si>
    <t>C-104</t>
  </si>
  <si>
    <t>0+103.99</t>
  </si>
  <si>
    <t>0+094.29</t>
  </si>
  <si>
    <t>C-105</t>
  </si>
  <si>
    <t>0+474.26</t>
  </si>
  <si>
    <t>0+464.56</t>
  </si>
  <si>
    <t>C-106</t>
  </si>
  <si>
    <t>0+282.74</t>
  </si>
  <si>
    <t>0+273.04</t>
  </si>
  <si>
    <t>C-107</t>
  </si>
  <si>
    <t>900 x 600 mm Concret [...]</t>
  </si>
  <si>
    <t>900x600</t>
  </si>
  <si>
    <t>C-108</t>
  </si>
  <si>
    <t>90° 13' 45.716"</t>
  </si>
  <si>
    <t>C-109</t>
  </si>
  <si>
    <t>C-110</t>
  </si>
  <si>
    <t>-0+004.85</t>
  </si>
  <si>
    <t>0° 0' 0.003"</t>
  </si>
  <si>
    <t>C-111</t>
  </si>
  <si>
    <t>0+103.98</t>
  </si>
  <si>
    <t>0+094.28</t>
  </si>
  <si>
    <t>C-112</t>
  </si>
  <si>
    <t>0+103.56</t>
  </si>
  <si>
    <t>C-113</t>
  </si>
  <si>
    <t>C-114</t>
  </si>
  <si>
    <t>C-115</t>
  </si>
  <si>
    <t>C-116</t>
  </si>
  <si>
    <t>C-117</t>
  </si>
  <si>
    <t>0+655.51</t>
  </si>
  <si>
    <t>C-118</t>
  </si>
  <si>
    <t>0+107.56</t>
  </si>
  <si>
    <t>C-119</t>
  </si>
  <si>
    <t>0+107.64</t>
  </si>
  <si>
    <t>C-120</t>
  </si>
  <si>
    <t>0+086.30</t>
  </si>
  <si>
    <t>C-121</t>
  </si>
  <si>
    <t>C-122</t>
  </si>
  <si>
    <t>0+107.74</t>
  </si>
  <si>
    <t>C-123</t>
  </si>
  <si>
    <t>C-124</t>
  </si>
  <si>
    <t>359° 59' 48.571"</t>
  </si>
  <si>
    <t>C-125</t>
  </si>
  <si>
    <t>90° 0' 35.272"</t>
  </si>
  <si>
    <t>C-126</t>
  </si>
  <si>
    <t>89° 46' 27.986"</t>
  </si>
  <si>
    <t>C-127</t>
  </si>
  <si>
    <t>0+086.55</t>
  </si>
  <si>
    <t>0° 0' 0.008"</t>
  </si>
  <si>
    <t>C-129</t>
  </si>
  <si>
    <t>C-130</t>
  </si>
  <si>
    <t>90° 1' 40.079"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</si>
  <si>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</si>
  <si>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</si>
  <si>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</si>
  <si>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</si>
  <si>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</si>
  <si>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</si>
  <si>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</si>
  <si>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</si>
  <si>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</si>
  <si>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</si>
  <si>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</si>
  <si>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</si>
  <si>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</si>
  <si>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</si>
  <si>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</si>
  <si>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</si>
  <si>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</si>
  <si>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</si>
  <si>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</si>
  <si>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</si>
  <si>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</si>
  <si>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</si>
  <si>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</si>
  <si>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</si>
  <si>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</si>
  <si>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</si>
  <si>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</si>
  <si>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</si>
  <si>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</si>
  <si>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</si>
  <si>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</si>
  <si>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</si>
  <si>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</si>
  <si>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</si>
  <si>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</si>
  <si>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</si>
  <si>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</si>
  <si>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</si>
  <si>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</si>
  <si>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</si>
  <si>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</si>
  <si>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</si>
  <si>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</si>
  <si>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</si>
  <si>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</si>
  <si>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</si>
  <si>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</si>
  <si>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</si>
  <si>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</si>
  <si>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</si>
  <si>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</si>
  <si>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</si>
  <si>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</si>
  <si>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</si>
  <si>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</si>
  <si>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</si>
  <si>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</si>
  <si>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</si>
  <si>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</si>
  <si>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</si>
  <si>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</si>
  <si>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</si>
  <si>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</si>
  <si>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</si>
  <si>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</si>
  <si>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</si>
  <si>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</si>
  <si>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</si>
  <si>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</si>
  <si>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</si>
  <si>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</si>
  <si>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</si>
  <si>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</si>
  <si>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</si>
  <si>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</si>
  <si>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</si>
  <si>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</si>
  <si>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</si>
  <si>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</si>
  <si>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</si>
  <si>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</si>
  <si>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</si>
  <si>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89° 59' 35.780"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</si>
  <si>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</si>
  <si>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</si>
  <si>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</si>
  <si>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</si>
  <si>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</si>
  <si>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</si>
  <si>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</si>
  <si>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</si>
  <si>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</si>
  <si>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</si>
  <si>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</si>
  <si>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</si>
  <si>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C-230</t>
  </si>
  <si>
    <t>C-231</t>
  </si>
  <si>
    <t>0+403.23</t>
  </si>
  <si>
    <t>C-234</t>
  </si>
  <si>
    <t>C-235</t>
  </si>
  <si>
    <t>C-236</t>
  </si>
  <si>
    <t>C-237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</si>
  <si>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</si>
  <si>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</si>
  <si>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</si>
  <si>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</si>
  <si>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</si>
  <si>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</si>
  <si>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</si>
  <si>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</si>
  <si>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C-248</t>
  </si>
  <si>
    <t>C-249</t>
  </si>
  <si>
    <t>C-250</t>
  </si>
  <si>
    <t>C-251</t>
  </si>
  <si>
    <t>C-252</t>
  </si>
  <si>
    <t>C-253</t>
  </si>
  <si>
    <t>C-254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</si>
  <si>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</si>
  <si>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</si>
  <si>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</si>
  <si>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</si>
  <si>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</si>
  <si>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</si>
  <si>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</si>
  <si>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</si>
  <si>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</si>
  <si>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</si>
  <si>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</si>
  <si>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</si>
  <si>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</si>
  <si>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</si>
  <si>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</si>
  <si>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</si>
  <si>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</si>
  <si>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</si>
  <si>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</si>
  <si>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</si>
  <si>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</si>
  <si>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</si>
  <si>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</si>
  <si>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</si>
  <si>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</si>
  <si>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C-283</t>
  </si>
  <si>
    <t>C-285</t>
  </si>
  <si>
    <t>C-286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</si>
  <si>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</si>
  <si>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</si>
  <si>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</si>
  <si>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</si>
  <si>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</si>
  <si>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</si>
  <si>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</si>
  <si>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</si>
  <si>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</si>
  <si>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</si>
  <si>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</si>
  <si>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</si>
  <si>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</si>
  <si>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</si>
  <si>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</si>
  <si>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359° 33' 5.734"</t>
  </si>
  <si>
    <t>C-303</t>
  </si>
  <si>
    <t>C-304</t>
  </si>
  <si>
    <t>C-305</t>
  </si>
  <si>
    <t>C-306</t>
  </si>
  <si>
    <t>C-307</t>
  </si>
  <si>
    <t>C-308</t>
  </si>
  <si>
    <t>C-309</t>
  </si>
  <si>
    <t>C-311</t>
  </si>
  <si>
    <t>C-312</t>
  </si>
  <si>
    <t>-0+004.50</t>
  </si>
  <si>
    <t>C-313</t>
  </si>
  <si>
    <t>0+308.62</t>
  </si>
  <si>
    <t>C-314</t>
  </si>
  <si>
    <t>C-315</t>
  </si>
  <si>
    <t>C-316</t>
  </si>
  <si>
    <t>C-317</t>
  </si>
  <si>
    <t>C-318</t>
  </si>
  <si>
    <t>C-319</t>
  </si>
  <si>
    <t>0+040.05</t>
  </si>
  <si>
    <t>0+020.05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</si>
  <si>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</si>
  <si>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</si>
  <si>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</si>
  <si>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</si>
  <si>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</si>
  <si>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</si>
  <si>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</si>
  <si>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</si>
  <si>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</si>
  <si>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</si>
  <si>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</si>
  <si>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</si>
  <si>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</si>
  <si>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</si>
  <si>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</si>
  <si>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</si>
  <si>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</si>
  <si>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</si>
  <si>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</si>
  <si>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</si>
  <si>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</si>
  <si>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</si>
  <si>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</si>
  <si>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</si>
  <si>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</si>
  <si>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</si>
  <si>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</si>
  <si>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</si>
  <si>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</si>
  <si>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</si>
  <si>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89° 59' 19.807"</t>
  </si>
  <si>
    <t>C-352</t>
  </si>
  <si>
    <t>89° 59' 46.455"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</si>
  <si>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</si>
  <si>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</si>
  <si>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</si>
  <si>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</si>
  <si>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</si>
  <si>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</si>
  <si>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</si>
  <si>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</si>
  <si>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C-369</t>
  </si>
  <si>
    <t>C-370</t>
  </si>
  <si>
    <t>C-371</t>
  </si>
  <si>
    <t>C-372</t>
  </si>
  <si>
    <t>C-373</t>
  </si>
  <si>
    <t>C-374</t>
  </si>
  <si>
    <t>C-377</t>
  </si>
  <si>
    <t>C-378</t>
  </si>
  <si>
    <t>C-383</t>
  </si>
  <si>
    <t>C-386</t>
  </si>
  <si>
    <t>C-387</t>
  </si>
  <si>
    <t>C-388</t>
  </si>
  <si>
    <t>C-389</t>
  </si>
  <si>
    <t>C-391</t>
  </si>
  <si>
    <t>C-393</t>
  </si>
  <si>
    <t>C-396</t>
  </si>
  <si>
    <t>C-400</t>
  </si>
  <si>
    <t>90° 0' 23.727"</t>
  </si>
  <si>
    <t>C-401</t>
  </si>
  <si>
    <t>C-402</t>
  </si>
  <si>
    <t>C-403</t>
  </si>
  <si>
    <t>C-404</t>
  </si>
  <si>
    <t>C-405</t>
  </si>
  <si>
    <t>359° 6' 50.592"</t>
  </si>
  <si>
    <t>C-406</t>
  </si>
  <si>
    <t>C-407</t>
  </si>
  <si>
    <t>C-408</t>
  </si>
  <si>
    <t>900 x 900 mm Concret [...]</t>
  </si>
  <si>
    <t>0+652.51</t>
  </si>
  <si>
    <t>900x900</t>
  </si>
  <si>
    <t>C-409</t>
  </si>
  <si>
    <t>C-410</t>
  </si>
  <si>
    <t>C-411</t>
  </si>
  <si>
    <t>C-413</t>
  </si>
  <si>
    <t>89° 51' 44.545"</t>
  </si>
  <si>
    <t>C-414</t>
  </si>
  <si>
    <t>C-415</t>
  </si>
  <si>
    <t>C-416</t>
  </si>
  <si>
    <t>C-417</t>
  </si>
  <si>
    <t>0+122.81</t>
  </si>
  <si>
    <t>C-418</t>
  </si>
  <si>
    <t>C-419</t>
  </si>
  <si>
    <t>0+897.34</t>
  </si>
  <si>
    <t>0+908.04</t>
  </si>
  <si>
    <t>C-420</t>
  </si>
  <si>
    <t>-0+004.39</t>
  </si>
  <si>
    <t>-0+030.17</t>
  </si>
  <si>
    <t>C-421</t>
  </si>
  <si>
    <t>C-422</t>
  </si>
  <si>
    <t>0+338.59</t>
  </si>
  <si>
    <t>0+349.12</t>
  </si>
  <si>
    <t>C-423</t>
  </si>
  <si>
    <t>C-424</t>
  </si>
  <si>
    <t>C-425</t>
  </si>
  <si>
    <t>C-426</t>
  </si>
  <si>
    <t>179° 40' 30.482"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</si>
  <si>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</si>
  <si>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</si>
  <si>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</si>
  <si>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</si>
  <si>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</si>
  <si>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</si>
  <si>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</si>
  <si>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</si>
  <si>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</si>
  <si>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</si>
  <si>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</si>
  <si>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</si>
  <si>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</si>
  <si>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</si>
  <si>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</si>
  <si>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</si>
  <si>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</si>
  <si>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</si>
  <si>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</si>
  <si>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</si>
  <si>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</si>
  <si>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</si>
  <si>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</si>
  <si>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</si>
  <si>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</si>
  <si>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</si>
  <si>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</si>
  <si>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</si>
  <si>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</si>
  <si>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</si>
  <si>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</si>
  <si>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</si>
  <si>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</si>
  <si>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</si>
  <si>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</si>
  <si>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</si>
  <si>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</si>
  <si>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</si>
  <si>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</si>
  <si>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</si>
  <si>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0+569.65</t>
  </si>
  <si>
    <t>C-472</t>
  </si>
  <si>
    <t>C-473</t>
  </si>
  <si>
    <t>C-474</t>
  </si>
  <si>
    <t>89° 59' 43.866"</t>
  </si>
  <si>
    <t>C-475</t>
  </si>
  <si>
    <t>C-476</t>
  </si>
  <si>
    <t>C-477</t>
  </si>
  <si>
    <t>90° 0' 15.748"</t>
  </si>
  <si>
    <t>C-478</t>
  </si>
  <si>
    <t>C-479</t>
  </si>
  <si>
    <t>C-480</t>
  </si>
  <si>
    <t>C-481</t>
  </si>
  <si>
    <t>0+005.32</t>
  </si>
  <si>
    <t>C-482</t>
  </si>
  <si>
    <t>900 x 1,200 mm Concr [...]</t>
  </si>
  <si>
    <t>0+062.48</t>
  </si>
  <si>
    <t>0+048.13</t>
  </si>
  <si>
    <t>45° 0' 0.382"</t>
  </si>
  <si>
    <t>900x1,200</t>
  </si>
  <si>
    <t>C-483</t>
  </si>
  <si>
    <t>C-485</t>
  </si>
  <si>
    <t>C-486</t>
  </si>
  <si>
    <t>C-487</t>
  </si>
  <si>
    <t>C-488</t>
  </si>
  <si>
    <t>C-489</t>
  </si>
  <si>
    <t>C-490</t>
  </si>
  <si>
    <t>C-491</t>
  </si>
  <si>
    <t>90° 22' 22.268"</t>
  </si>
  <si>
    <t>C-492</t>
  </si>
  <si>
    <t>C-493</t>
  </si>
  <si>
    <t>C-494</t>
  </si>
  <si>
    <t>C-495</t>
  </si>
  <si>
    <t>C-496</t>
  </si>
  <si>
    <t>C-497</t>
  </si>
  <si>
    <t>0+004.90</t>
  </si>
  <si>
    <t>C-498</t>
  </si>
  <si>
    <t>C-499</t>
  </si>
  <si>
    <t>0+100.26</t>
  </si>
  <si>
    <t>0+111.01</t>
  </si>
  <si>
    <t>C-500</t>
  </si>
  <si>
    <t>C-501</t>
  </si>
  <si>
    <t>C-502</t>
  </si>
  <si>
    <t>C-503</t>
  </si>
  <si>
    <t>C-504</t>
  </si>
  <si>
    <t>C-505</t>
  </si>
  <si>
    <t>C-506</t>
  </si>
  <si>
    <t>C-507</t>
  </si>
  <si>
    <t>90° 0' 5.119"</t>
  </si>
  <si>
    <t>C-508</t>
  </si>
  <si>
    <t>C-509</t>
  </si>
  <si>
    <t>1+058.19</t>
  </si>
  <si>
    <t>C-512</t>
  </si>
  <si>
    <t>C-513</t>
  </si>
  <si>
    <t>C-514</t>
  </si>
  <si>
    <t>0+334.80</t>
  </si>
  <si>
    <t>89° 59' 12.626"</t>
  </si>
  <si>
    <t>C-515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</si>
  <si>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</si>
  <si>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</si>
  <si>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</si>
  <si>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</si>
  <si>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</si>
  <si>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</si>
  <si>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</si>
  <si>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</si>
  <si>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</si>
  <si>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</si>
  <si>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</si>
  <si>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</si>
  <si>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</si>
  <si>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</si>
  <si>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</si>
  <si>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C-531</t>
  </si>
  <si>
    <t>0+308.67</t>
  </si>
  <si>
    <t>C-532</t>
  </si>
  <si>
    <t>C-533</t>
  </si>
  <si>
    <t>0+176.35</t>
  </si>
  <si>
    <t>C-534</t>
  </si>
  <si>
    <t>C-535</t>
  </si>
  <si>
    <t>C-536</t>
  </si>
  <si>
    <t>C-537</t>
  </si>
  <si>
    <t>C-538</t>
  </si>
  <si>
    <t>C-539</t>
  </si>
  <si>
    <t>0+111.86</t>
  </si>
  <si>
    <t>181° 5' 20.901"</t>
  </si>
  <si>
    <t>C-540</t>
  </si>
  <si>
    <t>C-541</t>
  </si>
  <si>
    <t>C-542</t>
  </si>
  <si>
    <t>C-543</t>
  </si>
  <si>
    <t>C-544</t>
  </si>
  <si>
    <t>89° 57' 26.058"</t>
  </si>
  <si>
    <t>C-545</t>
  </si>
  <si>
    <t>C-546</t>
  </si>
  <si>
    <t>C-547</t>
  </si>
  <si>
    <t>0+004.74</t>
  </si>
  <si>
    <t>C-548</t>
  </si>
  <si>
    <t>C-549</t>
  </si>
  <si>
    <t>89° 58' 2.529"</t>
  </si>
  <si>
    <t>C-550</t>
  </si>
  <si>
    <t>C-551</t>
  </si>
  <si>
    <t>0+077.06</t>
  </si>
  <si>
    <t>C-552</t>
  </si>
  <si>
    <t>C-553</t>
  </si>
  <si>
    <t>0+323.07</t>
  </si>
  <si>
    <t>C-554</t>
  </si>
  <si>
    <t>0+323.19</t>
  </si>
  <si>
    <t>C-555</t>
  </si>
  <si>
    <t>C-557</t>
  </si>
  <si>
    <t>0+004.62</t>
  </si>
  <si>
    <t>C-558</t>
  </si>
  <si>
    <t>C-559</t>
  </si>
  <si>
    <t>C-560</t>
  </si>
  <si>
    <t>0+004.66</t>
  </si>
  <si>
    <t>C-561</t>
  </si>
  <si>
    <t>C-562</t>
  </si>
  <si>
    <t>C-563</t>
  </si>
  <si>
    <t>0+004.77</t>
  </si>
  <si>
    <t>C-564</t>
  </si>
  <si>
    <t>C-565</t>
  </si>
  <si>
    <t>C-566</t>
  </si>
  <si>
    <t>C-567</t>
  </si>
  <si>
    <t>0+655.28</t>
  </si>
  <si>
    <t>C-568</t>
  </si>
  <si>
    <t>C-569</t>
  </si>
  <si>
    <t>C-570</t>
  </si>
  <si>
    <t>C-571</t>
  </si>
  <si>
    <t>0+111.96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</si>
  <si>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</si>
  <si>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</si>
  <si>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</si>
  <si>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</si>
  <si>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</si>
  <si>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</si>
  <si>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</si>
  <si>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</si>
  <si>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</si>
  <si>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</si>
  <si>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</si>
  <si>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</si>
  <si>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0+186.05</t>
  </si>
  <si>
    <t>C-584</t>
  </si>
  <si>
    <t>0+166.58</t>
  </si>
  <si>
    <t>C-585</t>
  </si>
  <si>
    <t>0+166.73</t>
  </si>
  <si>
    <t>C-586</t>
  </si>
  <si>
    <t>0+525.05</t>
  </si>
  <si>
    <t>C-587</t>
  </si>
  <si>
    <t>C-588</t>
  </si>
  <si>
    <t>C-589</t>
  </si>
  <si>
    <t>C-590</t>
  </si>
  <si>
    <t>C-592</t>
  </si>
  <si>
    <t>C-593</t>
  </si>
  <si>
    <t>C-594</t>
  </si>
  <si>
    <t>C-595</t>
  </si>
  <si>
    <t>C-597</t>
  </si>
  <si>
    <t>C-598</t>
  </si>
  <si>
    <t>0+341.68</t>
  </si>
  <si>
    <t>C-599</t>
  </si>
  <si>
    <t>C-600</t>
  </si>
  <si>
    <t>C-601</t>
  </si>
  <si>
    <t>-0+029.16</t>
  </si>
  <si>
    <t>C-602</t>
  </si>
  <si>
    <t>C-603</t>
  </si>
  <si>
    <t>C-604</t>
  </si>
  <si>
    <t>C-605</t>
  </si>
  <si>
    <t>0° 0' 0.009"</t>
  </si>
  <si>
    <t>C-606</t>
  </si>
  <si>
    <t>C-607</t>
  </si>
  <si>
    <t>C-608</t>
  </si>
  <si>
    <t>C-610</t>
  </si>
  <si>
    <t>0+661.17</t>
  </si>
  <si>
    <t>C-613</t>
  </si>
  <si>
    <t>C-614</t>
  </si>
  <si>
    <t>90° 0' 16.727"</t>
  </si>
  <si>
    <t>C-615</t>
  </si>
  <si>
    <t>C-616</t>
  </si>
  <si>
    <t>0+185.97</t>
  </si>
  <si>
    <t>C-617</t>
  </si>
  <si>
    <t>0+005.47</t>
  </si>
  <si>
    <t>C-618</t>
  </si>
  <si>
    <t>0+196.85</t>
  </si>
  <si>
    <t>C-619</t>
  </si>
  <si>
    <t>0+147.71</t>
  </si>
  <si>
    <t>C-620</t>
  </si>
  <si>
    <t>0+264.02</t>
  </si>
  <si>
    <t>C-621</t>
  </si>
  <si>
    <t>C-622</t>
  </si>
  <si>
    <t>C-623</t>
  </si>
  <si>
    <t>0+009.48</t>
  </si>
  <si>
    <t>C-624</t>
  </si>
  <si>
    <t>0+009.34</t>
  </si>
  <si>
    <t>C-625</t>
  </si>
  <si>
    <t>C-627</t>
  </si>
  <si>
    <t>C-628</t>
  </si>
  <si>
    <t>C-629</t>
  </si>
  <si>
    <t>C-630</t>
  </si>
  <si>
    <t>C-631</t>
  </si>
  <si>
    <t>C-632</t>
  </si>
  <si>
    <t>C-633</t>
  </si>
  <si>
    <t>C-634</t>
  </si>
  <si>
    <t>C-637</t>
  </si>
  <si>
    <t>C-638</t>
  </si>
  <si>
    <t>C-639</t>
  </si>
  <si>
    <t>C-640</t>
  </si>
  <si>
    <t>0+122.71</t>
  </si>
  <si>
    <t>270° 0' 0.000"</t>
  </si>
  <si>
    <t>C-642</t>
  </si>
  <si>
    <t>C-643</t>
  </si>
  <si>
    <t>C-644</t>
  </si>
  <si>
    <t>C-645</t>
  </si>
  <si>
    <t>C-646</t>
  </si>
  <si>
    <t>C-647</t>
  </si>
  <si>
    <t>C-648</t>
  </si>
  <si>
    <t>C-649</t>
  </si>
  <si>
    <t>C-650</t>
  </si>
  <si>
    <t>180° 17' 11.315"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</si>
  <si>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</si>
  <si>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</si>
  <si>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</si>
  <si>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</si>
  <si>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</si>
  <si>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</si>
  <si>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</si>
  <si>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</si>
  <si>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C-661</t>
  </si>
  <si>
    <t>C-662</t>
  </si>
  <si>
    <t>C-663</t>
  </si>
  <si>
    <t>C-664</t>
  </si>
  <si>
    <t>C-665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</si>
  <si>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</si>
  <si>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</si>
  <si>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</si>
  <si>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</si>
  <si>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</si>
  <si>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</si>
  <si>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</si>
  <si>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</si>
  <si>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</si>
  <si>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</si>
  <si>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</si>
  <si>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</si>
  <si>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C-680</t>
  </si>
  <si>
    <t>C-681</t>
  </si>
  <si>
    <t>C-682</t>
  </si>
  <si>
    <t>C-683</t>
  </si>
  <si>
    <t>C-684</t>
  </si>
  <si>
    <t>89° 59' 40.022"</t>
  </si>
  <si>
    <t>C-687</t>
  </si>
  <si>
    <t>C-688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</si>
  <si>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</si>
  <si>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</si>
  <si>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</si>
  <si>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</si>
  <si>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</si>
  <si>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</si>
  <si>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</si>
  <si>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</si>
  <si>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</si>
  <si>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</si>
  <si>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</si>
  <si>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</si>
  <si>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</si>
  <si>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</si>
  <si>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</si>
  <si>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C-706</t>
  </si>
  <si>
    <t>C-707</t>
  </si>
  <si>
    <t>C-708</t>
  </si>
  <si>
    <t>C-709</t>
  </si>
  <si>
    <t>C-710</t>
  </si>
  <si>
    <t>C-711</t>
  </si>
  <si>
    <t>C-714</t>
  </si>
  <si>
    <t>C-715</t>
  </si>
  <si>
    <t>89° 58' 58.044"</t>
  </si>
  <si>
    <t>C-717</t>
  </si>
  <si>
    <t>C-718</t>
  </si>
  <si>
    <t>C-719</t>
  </si>
  <si>
    <t>C-720</t>
  </si>
  <si>
    <t>90° 6' 24.567"</t>
  </si>
  <si>
    <t>C-721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</si>
  <si>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</si>
  <si>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</si>
  <si>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</si>
  <si>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</si>
  <si>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</si>
  <si>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</si>
  <si>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</si>
  <si>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</si>
  <si>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</si>
  <si>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</si>
  <si>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</si>
  <si>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</si>
  <si>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</si>
  <si>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</si>
  <si>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</si>
  <si>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</si>
  <si>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</si>
  <si>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</si>
  <si>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</si>
  <si>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</si>
  <si>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</si>
  <si>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</si>
  <si>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C-746</t>
  </si>
  <si>
    <t>C-747</t>
  </si>
  <si>
    <t>C-748</t>
  </si>
  <si>
    <t>0+060.05</t>
  </si>
  <si>
    <t>C-750</t>
  </si>
  <si>
    <t>0+266.45</t>
  </si>
  <si>
    <t>C-751</t>
  </si>
  <si>
    <t>-0+006.23</t>
  </si>
  <si>
    <t>5° 56' 31.581"</t>
  </si>
  <si>
    <t>C-752</t>
  </si>
  <si>
    <t>C-753</t>
  </si>
  <si>
    <t>C-754</t>
  </si>
  <si>
    <t>C-758</t>
  </si>
  <si>
    <t>C-759</t>
  </si>
  <si>
    <t>90° 0' 15.657"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</si>
  <si>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</si>
  <si>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</si>
  <si>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</si>
  <si>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</si>
  <si>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</si>
  <si>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</si>
  <si>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</si>
  <si>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</si>
  <si>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</si>
  <si>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C-769</t>
  </si>
  <si>
    <t>0+191.82</t>
  </si>
  <si>
    <t>C-770</t>
  </si>
  <si>
    <t>C-771</t>
  </si>
  <si>
    <t>C-772</t>
  </si>
  <si>
    <t>C-774</t>
  </si>
  <si>
    <t>C-775</t>
  </si>
  <si>
    <t>C-776</t>
  </si>
  <si>
    <t>C-777</t>
  </si>
  <si>
    <t>C-780</t>
  </si>
  <si>
    <t>0+264.10</t>
  </si>
  <si>
    <t>C-781</t>
  </si>
  <si>
    <t>C-782</t>
  </si>
  <si>
    <t>89° 59' 57.708"</t>
  </si>
  <si>
    <t>C-783</t>
  </si>
  <si>
    <t>0+331.92</t>
  </si>
  <si>
    <t>C-784</t>
  </si>
  <si>
    <t>C-785</t>
  </si>
  <si>
    <t>C-786</t>
  </si>
  <si>
    <t>C-787</t>
  </si>
  <si>
    <t>C-789</t>
  </si>
  <si>
    <t>C-790</t>
  </si>
  <si>
    <t>0+005.33</t>
  </si>
  <si>
    <t>180° 6' 19.827"</t>
  </si>
  <si>
    <t>C-791</t>
  </si>
  <si>
    <t>C-792</t>
  </si>
  <si>
    <t>C-793</t>
  </si>
  <si>
    <t>C-795</t>
  </si>
  <si>
    <t>C-796</t>
  </si>
  <si>
    <t>C-797</t>
  </si>
  <si>
    <t>C-798</t>
  </si>
  <si>
    <t>C-799</t>
  </si>
  <si>
    <t>C-801</t>
  </si>
  <si>
    <t>C-803</t>
  </si>
  <si>
    <t>C-804</t>
  </si>
  <si>
    <t>C-805</t>
  </si>
  <si>
    <t>C-807</t>
  </si>
  <si>
    <t>C-808</t>
  </si>
  <si>
    <t>C-809</t>
  </si>
  <si>
    <t>C-810</t>
  </si>
  <si>
    <t>C-813</t>
  </si>
  <si>
    <t>C-814</t>
  </si>
  <si>
    <t>-0+004.61</t>
  </si>
  <si>
    <t>C-815</t>
  </si>
  <si>
    <t>C-816</t>
  </si>
  <si>
    <t>0+111.11</t>
  </si>
  <si>
    <t>C-817</t>
  </si>
  <si>
    <t>C-818</t>
  </si>
  <si>
    <t>0+670.18</t>
  </si>
  <si>
    <t>C-819</t>
  </si>
  <si>
    <t>0+154.45</t>
  </si>
  <si>
    <t>90° 55' 44.542"</t>
  </si>
  <si>
    <t>C-820</t>
  </si>
  <si>
    <t>C-821</t>
  </si>
  <si>
    <t>C-822</t>
  </si>
  <si>
    <t>0.6 X 0.6</t>
  </si>
  <si>
    <t>-0+012.03</t>
  </si>
  <si>
    <t>C-823</t>
  </si>
  <si>
    <t>C-824</t>
  </si>
  <si>
    <t>C-825</t>
  </si>
  <si>
    <t>90° 15' 41.759"</t>
  </si>
  <si>
    <t>C-827</t>
  </si>
  <si>
    <t>C-830</t>
  </si>
  <si>
    <t>1,050 x 1,500 mm Con [...]</t>
  </si>
  <si>
    <t>0+486.95</t>
  </si>
  <si>
    <t>1,050x1,500</t>
  </si>
  <si>
    <t>C-831</t>
  </si>
  <si>
    <t>C-832</t>
  </si>
  <si>
    <t>C-833</t>
  </si>
  <si>
    <t>0+104.34</t>
  </si>
  <si>
    <t>90° 1' 11.926"</t>
  </si>
  <si>
    <t>C-834</t>
  </si>
  <si>
    <t>C-835</t>
  </si>
  <si>
    <t>0+114.42</t>
  </si>
  <si>
    <t>C-836</t>
  </si>
  <si>
    <t>0+115.79</t>
  </si>
  <si>
    <t>C-837</t>
  </si>
  <si>
    <t>0+721.91</t>
  </si>
  <si>
    <t>C-839</t>
  </si>
  <si>
    <t>0+029.62</t>
  </si>
  <si>
    <t>89° 29' 29.718"</t>
  </si>
  <si>
    <t>C-840</t>
  </si>
  <si>
    <t>0+015.30</t>
  </si>
  <si>
    <t>0+000.80</t>
  </si>
  <si>
    <t>135° 4' 37.260"</t>
  </si>
  <si>
    <t>C-842</t>
  </si>
  <si>
    <t>C-843</t>
  </si>
  <si>
    <t>0+110.91</t>
  </si>
  <si>
    <t>179° 50' 32.814"</t>
  </si>
  <si>
    <t>C-844</t>
  </si>
  <si>
    <t>180° 20' 34.699"</t>
  </si>
  <si>
    <t>C-845</t>
  </si>
  <si>
    <t>0+103.60</t>
  </si>
  <si>
    <t>90° 0' 0.811"</t>
  </si>
  <si>
    <t>C-846</t>
  </si>
  <si>
    <t>C-847</t>
  </si>
  <si>
    <t>C-848</t>
  </si>
  <si>
    <t>C-849</t>
  </si>
  <si>
    <t>90° 5' 20.781"</t>
  </si>
  <si>
    <t>C-850</t>
  </si>
  <si>
    <t>90° 0' 3.455"</t>
  </si>
  <si>
    <t>C-851</t>
  </si>
  <si>
    <t>C-852</t>
  </si>
  <si>
    <t>C-853</t>
  </si>
  <si>
    <t>89° 59' 56.167"</t>
  </si>
  <si>
    <t>C-854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</si>
  <si>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</si>
  <si>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</si>
  <si>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</si>
  <si>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</si>
  <si>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</si>
  <si>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</si>
  <si>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</si>
  <si>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</si>
  <si>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0+372.70</t>
  </si>
  <si>
    <t>C-863</t>
  </si>
  <si>
    <t>1+068.94</t>
  </si>
  <si>
    <t>C-864</t>
  </si>
  <si>
    <t>C-865</t>
  </si>
  <si>
    <t>C-866</t>
  </si>
  <si>
    <t>C-867</t>
  </si>
  <si>
    <t>C-868</t>
  </si>
  <si>
    <t>0+659.08</t>
  </si>
  <si>
    <t>C-869</t>
  </si>
  <si>
    <t>-0+028.70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</si>
  <si>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</si>
  <si>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</si>
  <si>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</si>
  <si>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</si>
  <si>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</si>
  <si>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</si>
  <si>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</si>
  <si>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</si>
  <si>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</si>
  <si>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</si>
  <si>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</si>
  <si>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</si>
  <si>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</si>
  <si>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</si>
  <si>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C-885</t>
  </si>
  <si>
    <t>C-886</t>
  </si>
  <si>
    <t>89° 58' 48.006"</t>
  </si>
  <si>
    <t>C-887</t>
  </si>
  <si>
    <t>1+182.72</t>
  </si>
  <si>
    <t>180° 15' 21.564"</t>
  </si>
  <si>
    <t>C-888</t>
  </si>
  <si>
    <t>-0+004.77</t>
  </si>
  <si>
    <t>C-889</t>
  </si>
  <si>
    <t>C-890</t>
  </si>
  <si>
    <t>C-891</t>
  </si>
  <si>
    <t>C-892</t>
  </si>
  <si>
    <t>90° 0' 49.222"</t>
  </si>
  <si>
    <t>C-893</t>
  </si>
  <si>
    <t>C-894</t>
  </si>
  <si>
    <t>C-895</t>
  </si>
  <si>
    <t>C-896</t>
  </si>
  <si>
    <t>C-898</t>
  </si>
  <si>
    <t>C-899</t>
  </si>
  <si>
    <t>0+385.80</t>
  </si>
  <si>
    <t>90° 0' 1.298"</t>
  </si>
  <si>
    <t>C-900</t>
  </si>
  <si>
    <t>C-901</t>
  </si>
  <si>
    <t>C-902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</si>
  <si>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</si>
  <si>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</si>
  <si>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</si>
  <si>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</si>
  <si>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</si>
  <si>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</si>
  <si>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</si>
  <si>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</si>
  <si>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</si>
  <si>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</si>
  <si>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</si>
  <si>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</si>
  <si>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</si>
  <si>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</si>
  <si>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</si>
  <si>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</si>
  <si>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C-919</t>
  </si>
  <si>
    <t>C-920</t>
  </si>
  <si>
    <t>C-921</t>
  </si>
  <si>
    <t>C-922</t>
  </si>
  <si>
    <t>89° 34' 51.649"</t>
  </si>
  <si>
    <t>C-923</t>
  </si>
  <si>
    <t>90° 0' 0.097"</t>
  </si>
  <si>
    <t>C-924</t>
  </si>
  <si>
    <t>C-925</t>
  </si>
  <si>
    <t>-0+020.00</t>
  </si>
  <si>
    <t>C-926</t>
  </si>
  <si>
    <t>C-927</t>
  </si>
  <si>
    <t>C-928</t>
  </si>
  <si>
    <t>1+182.67</t>
  </si>
  <si>
    <t>180° 0' 50.660"</t>
  </si>
  <si>
    <t>C-929</t>
  </si>
  <si>
    <t>C-930</t>
  </si>
  <si>
    <t>C-931</t>
  </si>
  <si>
    <t>C-932</t>
  </si>
  <si>
    <t>C-934</t>
  </si>
  <si>
    <t>89° 59' 28.802"</t>
  </si>
  <si>
    <t>C-935</t>
  </si>
  <si>
    <t>C-936</t>
  </si>
  <si>
    <t>C-937</t>
  </si>
  <si>
    <t>C-938</t>
  </si>
  <si>
    <t>90° 0' 31.274"</t>
  </si>
  <si>
    <t>C-939</t>
  </si>
  <si>
    <t>C-940</t>
  </si>
  <si>
    <t>C-941</t>
  </si>
  <si>
    <t>C-942</t>
  </si>
  <si>
    <t>-0+001.32</t>
  </si>
  <si>
    <t>-0+030.27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</si>
  <si>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</si>
  <si>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</si>
  <si>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</si>
  <si>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</si>
  <si>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</si>
  <si>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</si>
  <si>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</si>
  <si>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</si>
  <si>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</si>
  <si>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-0+028.90</t>
  </si>
  <si>
    <t>C-952</t>
  </si>
  <si>
    <t>C-953</t>
  </si>
  <si>
    <t>90° 12' 25.530"</t>
  </si>
  <si>
    <t>C-954</t>
  </si>
  <si>
    <t>C-955</t>
  </si>
  <si>
    <t>C-956</t>
  </si>
  <si>
    <t>C-957</t>
  </si>
  <si>
    <t>-0+004.57</t>
  </si>
  <si>
    <t>C-958</t>
  </si>
  <si>
    <t>C-959</t>
  </si>
  <si>
    <t>C-960</t>
  </si>
  <si>
    <t>134° 59' 60.000"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</si>
  <si>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</si>
  <si>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</si>
  <si>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</si>
  <si>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</si>
  <si>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</si>
  <si>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</si>
  <si>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</si>
  <si>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</si>
  <si>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</si>
  <si>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</si>
  <si>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</si>
  <si>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</si>
  <si>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</si>
  <si>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</si>
  <si>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</si>
  <si>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</si>
  <si>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</si>
  <si>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</si>
  <si>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</si>
  <si>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</si>
  <si>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</si>
  <si>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</si>
  <si>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</si>
  <si>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</si>
  <si>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</si>
  <si>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</si>
  <si>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</si>
  <si>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</si>
  <si>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</si>
  <si>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</si>
  <si>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</si>
  <si>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</si>
  <si>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</si>
  <si>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</si>
  <si>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</si>
  <si>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</si>
  <si>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</si>
  <si>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</si>
  <si>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</si>
  <si>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</si>
  <si>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</si>
  <si>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</si>
  <si>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</si>
  <si>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</si>
  <si>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</si>
  <si>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</si>
  <si>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</si>
  <si>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</si>
  <si>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</si>
  <si>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</si>
  <si>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</si>
  <si>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</si>
  <si>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</si>
  <si>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</si>
  <si>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</si>
  <si>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</si>
  <si>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</si>
  <si>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</si>
  <si>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</si>
  <si>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</si>
  <si>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</si>
  <si>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</si>
  <si>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</si>
  <si>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</si>
  <si>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</si>
  <si>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</si>
  <si>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</si>
  <si>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</si>
  <si>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</si>
  <si>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</si>
  <si>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</si>
  <si>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</si>
  <si>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</si>
  <si>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</si>
  <si>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</si>
  <si>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</si>
  <si>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</si>
  <si>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</si>
  <si>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</si>
  <si>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</si>
  <si>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</si>
  <si>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</si>
  <si>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</si>
  <si>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</si>
  <si>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</si>
  <si>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</si>
  <si>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</si>
  <si>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</si>
  <si>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</si>
  <si>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</si>
  <si>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</si>
  <si>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</si>
  <si>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</si>
  <si>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</si>
  <si>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</si>
  <si>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</si>
  <si>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</si>
  <si>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0+265.39</t>
  </si>
  <si>
    <t>C-1060</t>
  </si>
  <si>
    <t>C-1062</t>
  </si>
  <si>
    <t>0+265.15</t>
  </si>
  <si>
    <t>C-1063</t>
  </si>
  <si>
    <t>0+100.16</t>
  </si>
  <si>
    <t>180° 48' 48.315"</t>
  </si>
  <si>
    <t>C-1064</t>
  </si>
  <si>
    <t>C-1065</t>
  </si>
  <si>
    <t>C-1066</t>
  </si>
  <si>
    <t>C-1067</t>
  </si>
  <si>
    <t>C-1068</t>
  </si>
  <si>
    <t>C-1070</t>
  </si>
  <si>
    <t>C-1071</t>
  </si>
  <si>
    <t>C-1072</t>
  </si>
  <si>
    <t>C-1073</t>
  </si>
  <si>
    <t>C-1074</t>
  </si>
  <si>
    <t>C-1075</t>
  </si>
  <si>
    <t>PP B5 CROSSING</t>
  </si>
  <si>
    <t>0+011.17</t>
  </si>
  <si>
    <t>0+000.58</t>
  </si>
  <si>
    <t>C-1076</t>
  </si>
  <si>
    <t>C-1077</t>
  </si>
  <si>
    <t>C-1078</t>
  </si>
  <si>
    <t>C-1079</t>
  </si>
  <si>
    <t>0° 27' 12.669"</t>
  </si>
  <si>
    <t>C-1080</t>
  </si>
  <si>
    <t>TR C26 CROSSING</t>
  </si>
  <si>
    <t>0+010.05</t>
  </si>
  <si>
    <t>0+000.42</t>
  </si>
  <si>
    <t>89° 52' 25.123"</t>
  </si>
  <si>
    <t>C-1081</t>
  </si>
  <si>
    <t>TR C25 CROSSING</t>
  </si>
  <si>
    <t>0+000.35</t>
  </si>
  <si>
    <t>C-1082</t>
  </si>
  <si>
    <t>C-1083</t>
  </si>
  <si>
    <t>0+273.57</t>
  </si>
  <si>
    <t>C-1084</t>
  </si>
  <si>
    <t>89° 59' 59.809"</t>
  </si>
  <si>
    <t>C-1085</t>
  </si>
  <si>
    <t>C-1086</t>
  </si>
  <si>
    <t>C-1087</t>
  </si>
  <si>
    <t>C-1088</t>
  </si>
  <si>
    <t>TR C31 CROSSING</t>
  </si>
  <si>
    <t>0+009.90</t>
  </si>
  <si>
    <t>89° 3' 56.257"</t>
  </si>
  <si>
    <t>C-1089</t>
  </si>
  <si>
    <t>C-1090</t>
  </si>
  <si>
    <t>TR C30 CROSSING</t>
  </si>
  <si>
    <t>0+009.98</t>
  </si>
  <si>
    <t>89° 26' 50.667"</t>
  </si>
  <si>
    <t>C-1091</t>
  </si>
  <si>
    <t>TR C29 CROSSING</t>
  </si>
  <si>
    <t>89° 55' 29.972"</t>
  </si>
  <si>
    <t>C-1092</t>
  </si>
  <si>
    <t>TR C28 CROSSING</t>
  </si>
  <si>
    <t>0+009.81</t>
  </si>
  <si>
    <t>0+000.53</t>
  </si>
  <si>
    <t>90° 31' 29.288"</t>
  </si>
  <si>
    <t>C-1093</t>
  </si>
  <si>
    <t>TR C27 CROSSING</t>
  </si>
  <si>
    <t>C-1095</t>
  </si>
  <si>
    <t>C-1096</t>
  </si>
  <si>
    <t>0+390.47</t>
  </si>
  <si>
    <t>C-1098</t>
  </si>
  <si>
    <t>C-1099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</si>
</sst>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A686-E90C-496F-92A8-F57E18E0A8E2}">
  <dimension ref="A1:AV1093"/>
  <sheetViews>
    <sheetView workbookViewId="0">
      <selection activeCell="C20" sqref="C20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9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8.5703125" bestFit="1" customWidth="1"/>
    <col min="14" max="14" width="8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440134.59769999998</v>
      </c>
      <c r="E2">
        <v>1827384.4486</v>
      </c>
      <c r="F2">
        <v>32.969000000000001</v>
      </c>
      <c r="G2" t="s">
        <v>51</v>
      </c>
      <c r="H2" t="s">
        <v>52</v>
      </c>
      <c r="I2">
        <v>32.969000000000001</v>
      </c>
      <c r="J2" t="s">
        <v>53</v>
      </c>
      <c r="K2">
        <v>0</v>
      </c>
      <c r="L2" t="s">
        <v>54</v>
      </c>
      <c r="M2" s="1" t="s">
        <v>55</v>
      </c>
      <c r="N2">
        <v>-7.4999999999999997E-2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1.4875</v>
      </c>
      <c r="V2" t="s">
        <v>62</v>
      </c>
      <c r="W2">
        <v>0</v>
      </c>
      <c r="X2">
        <v>31.481999999999999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73</v>
      </c>
      <c r="C3" t="s">
        <v>50</v>
      </c>
      <c r="D3">
        <v>439938.72519999999</v>
      </c>
      <c r="E3">
        <v>1827411.4247999999</v>
      </c>
      <c r="F3">
        <v>34.223999999999997</v>
      </c>
      <c r="G3" t="s">
        <v>74</v>
      </c>
      <c r="H3" t="s">
        <v>52</v>
      </c>
      <c r="I3">
        <v>34.223999999999997</v>
      </c>
      <c r="J3" t="s">
        <v>53</v>
      </c>
      <c r="K3">
        <v>0</v>
      </c>
      <c r="L3" t="s">
        <v>75</v>
      </c>
      <c r="M3" t="s">
        <v>76</v>
      </c>
      <c r="N3">
        <v>-1.2999999999999999E-3</v>
      </c>
      <c r="O3" t="s">
        <v>56</v>
      </c>
      <c r="P3" t="s">
        <v>57</v>
      </c>
      <c r="Q3" t="s">
        <v>59</v>
      </c>
      <c r="R3" t="s">
        <v>58</v>
      </c>
      <c r="S3" t="s">
        <v>77</v>
      </c>
      <c r="T3" t="s">
        <v>61</v>
      </c>
      <c r="U3">
        <v>1.5310999999999999</v>
      </c>
      <c r="V3" t="s">
        <v>62</v>
      </c>
      <c r="W3">
        <v>0</v>
      </c>
      <c r="X3">
        <v>32.692999999999998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68</v>
      </c>
      <c r="AG3" t="s">
        <v>65</v>
      </c>
      <c r="AH3" t="s">
        <v>65</v>
      </c>
      <c r="AI3" t="s">
        <v>67</v>
      </c>
      <c r="AK3" t="s">
        <v>66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73</v>
      </c>
      <c r="AT3" t="s">
        <v>71</v>
      </c>
      <c r="AU3">
        <v>0</v>
      </c>
      <c r="AV3">
        <v>0</v>
      </c>
    </row>
    <row r="4" spans="1:48" x14ac:dyDescent="0.25">
      <c r="A4" t="s">
        <v>78</v>
      </c>
      <c r="B4" t="s">
        <v>49</v>
      </c>
      <c r="C4" t="s">
        <v>50</v>
      </c>
      <c r="D4">
        <v>440442.48910000001</v>
      </c>
      <c r="E4">
        <v>1827425.0486000001</v>
      </c>
      <c r="F4">
        <v>30.873999999999999</v>
      </c>
      <c r="G4" t="s">
        <v>79</v>
      </c>
      <c r="H4" t="s">
        <v>52</v>
      </c>
      <c r="I4">
        <v>30.873999999999999</v>
      </c>
      <c r="J4" t="s">
        <v>53</v>
      </c>
      <c r="K4">
        <v>0</v>
      </c>
      <c r="L4" t="s">
        <v>80</v>
      </c>
      <c r="M4" t="s">
        <v>81</v>
      </c>
      <c r="N4">
        <v>-0.1749</v>
      </c>
      <c r="O4" t="s">
        <v>56</v>
      </c>
      <c r="P4" t="s">
        <v>57</v>
      </c>
      <c r="Q4" t="s">
        <v>58</v>
      </c>
      <c r="R4" t="s">
        <v>59</v>
      </c>
      <c r="S4" t="s">
        <v>82</v>
      </c>
      <c r="T4" t="s">
        <v>61</v>
      </c>
      <c r="U4">
        <v>1.6901999999999999</v>
      </c>
      <c r="V4" t="s">
        <v>62</v>
      </c>
      <c r="W4">
        <v>0</v>
      </c>
      <c r="X4">
        <v>29.184000000000001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83</v>
      </c>
      <c r="B5" t="s">
        <v>49</v>
      </c>
      <c r="C5" t="s">
        <v>50</v>
      </c>
      <c r="D5">
        <v>440442.78629999998</v>
      </c>
      <c r="E5">
        <v>1827415.6486</v>
      </c>
      <c r="F5">
        <v>30.872</v>
      </c>
      <c r="G5" t="s">
        <v>84</v>
      </c>
      <c r="H5" t="s">
        <v>52</v>
      </c>
      <c r="I5">
        <v>30.872</v>
      </c>
      <c r="J5" t="s">
        <v>53</v>
      </c>
      <c r="K5">
        <v>0</v>
      </c>
      <c r="L5" t="s">
        <v>85</v>
      </c>
      <c r="M5" t="s">
        <v>86</v>
      </c>
      <c r="N5">
        <v>5.8099999999999999E-2</v>
      </c>
      <c r="O5" t="s">
        <v>56</v>
      </c>
      <c r="P5" t="s">
        <v>57</v>
      </c>
      <c r="Q5" t="s">
        <v>58</v>
      </c>
      <c r="R5" t="s">
        <v>59</v>
      </c>
      <c r="S5" t="s">
        <v>87</v>
      </c>
      <c r="T5" t="s">
        <v>61</v>
      </c>
      <c r="U5">
        <v>1.4823</v>
      </c>
      <c r="V5" t="s">
        <v>62</v>
      </c>
      <c r="W5">
        <v>0</v>
      </c>
      <c r="X5">
        <v>29.39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88</v>
      </c>
      <c r="B6" t="s">
        <v>49</v>
      </c>
      <c r="C6" t="s">
        <v>50</v>
      </c>
      <c r="D6">
        <v>440104.1801</v>
      </c>
      <c r="E6">
        <v>1827425.0486000001</v>
      </c>
      <c r="F6">
        <v>33.029000000000003</v>
      </c>
      <c r="G6" t="s">
        <v>89</v>
      </c>
      <c r="H6" t="s">
        <v>52</v>
      </c>
      <c r="I6">
        <v>33.029000000000003</v>
      </c>
      <c r="J6" t="s">
        <v>53</v>
      </c>
      <c r="K6">
        <v>0</v>
      </c>
      <c r="L6" t="s">
        <v>80</v>
      </c>
      <c r="M6" t="s">
        <v>90</v>
      </c>
      <c r="N6">
        <v>-6.4199999999999993E-2</v>
      </c>
      <c r="O6" t="s">
        <v>56</v>
      </c>
      <c r="P6" t="s">
        <v>57</v>
      </c>
      <c r="Q6" t="s">
        <v>58</v>
      </c>
      <c r="R6" t="s">
        <v>59</v>
      </c>
      <c r="S6" t="s">
        <v>91</v>
      </c>
      <c r="T6" t="s">
        <v>61</v>
      </c>
      <c r="U6">
        <v>1.6958</v>
      </c>
      <c r="V6" t="s">
        <v>62</v>
      </c>
      <c r="W6">
        <v>0</v>
      </c>
      <c r="X6">
        <v>31.332999999999998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92</v>
      </c>
      <c r="B7" t="s">
        <v>49</v>
      </c>
      <c r="C7" t="s">
        <v>50</v>
      </c>
      <c r="D7">
        <v>440104.20980000001</v>
      </c>
      <c r="E7">
        <v>1827415.6486</v>
      </c>
      <c r="F7">
        <v>33.029000000000003</v>
      </c>
      <c r="G7" t="s">
        <v>93</v>
      </c>
      <c r="H7" t="s">
        <v>52</v>
      </c>
      <c r="I7">
        <v>33.029000000000003</v>
      </c>
      <c r="J7" t="s">
        <v>53</v>
      </c>
      <c r="K7">
        <v>0</v>
      </c>
      <c r="L7" t="s">
        <v>85</v>
      </c>
      <c r="M7" t="s">
        <v>94</v>
      </c>
      <c r="N7">
        <v>2.1299999999999999E-2</v>
      </c>
      <c r="O7" t="s">
        <v>56</v>
      </c>
      <c r="P7" t="s">
        <v>57</v>
      </c>
      <c r="Q7" t="s">
        <v>58</v>
      </c>
      <c r="R7" t="s">
        <v>59</v>
      </c>
      <c r="S7" t="s">
        <v>95</v>
      </c>
      <c r="T7" t="s">
        <v>61</v>
      </c>
      <c r="U7">
        <v>1.4865999999999999</v>
      </c>
      <c r="V7" t="s">
        <v>62</v>
      </c>
      <c r="W7">
        <v>0</v>
      </c>
      <c r="X7">
        <v>31.542000000000002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96</v>
      </c>
      <c r="B8" t="s">
        <v>49</v>
      </c>
      <c r="C8" t="s">
        <v>50</v>
      </c>
      <c r="D8">
        <v>440302.11979999999</v>
      </c>
      <c r="E8">
        <v>1827425.0486000001</v>
      </c>
      <c r="F8">
        <v>31.768000000000001</v>
      </c>
      <c r="G8" t="s">
        <v>97</v>
      </c>
      <c r="H8" t="s">
        <v>52</v>
      </c>
      <c r="I8">
        <v>31.768000000000001</v>
      </c>
      <c r="J8" t="s">
        <v>53</v>
      </c>
      <c r="K8">
        <v>0</v>
      </c>
      <c r="L8" t="s">
        <v>80</v>
      </c>
      <c r="M8" t="s">
        <v>98</v>
      </c>
      <c r="N8">
        <v>-0.129</v>
      </c>
      <c r="O8" t="s">
        <v>56</v>
      </c>
      <c r="P8" t="s">
        <v>57</v>
      </c>
      <c r="Q8" t="s">
        <v>58</v>
      </c>
      <c r="R8" t="s">
        <v>59</v>
      </c>
      <c r="S8" t="s">
        <v>99</v>
      </c>
      <c r="T8" t="s">
        <v>61</v>
      </c>
      <c r="U8">
        <v>1.6912</v>
      </c>
      <c r="V8" t="s">
        <v>62</v>
      </c>
      <c r="W8">
        <v>0</v>
      </c>
      <c r="X8">
        <v>30.077000000000002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440302.00839999999</v>
      </c>
      <c r="E9">
        <v>1827415.6486</v>
      </c>
      <c r="F9">
        <v>31.768999999999998</v>
      </c>
      <c r="G9" t="s">
        <v>101</v>
      </c>
      <c r="H9" t="s">
        <v>52</v>
      </c>
      <c r="I9">
        <v>31.768999999999998</v>
      </c>
      <c r="J9" t="s">
        <v>53</v>
      </c>
      <c r="K9">
        <v>0</v>
      </c>
      <c r="L9" t="s">
        <v>85</v>
      </c>
      <c r="M9" t="s">
        <v>102</v>
      </c>
      <c r="N9">
        <v>4.2799999999999998E-2</v>
      </c>
      <c r="O9" t="s">
        <v>56</v>
      </c>
      <c r="P9" t="s">
        <v>57</v>
      </c>
      <c r="Q9" t="s">
        <v>58</v>
      </c>
      <c r="R9" t="s">
        <v>59</v>
      </c>
      <c r="S9" t="s">
        <v>103</v>
      </c>
      <c r="T9" t="s">
        <v>61</v>
      </c>
      <c r="U9">
        <v>1.4839</v>
      </c>
      <c r="V9" t="s">
        <v>62</v>
      </c>
      <c r="W9">
        <v>0</v>
      </c>
      <c r="X9">
        <v>30.285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104</v>
      </c>
      <c r="B10" t="s">
        <v>105</v>
      </c>
      <c r="C10" t="s">
        <v>50</v>
      </c>
      <c r="D10">
        <v>440398.2501</v>
      </c>
      <c r="E10">
        <v>1827434.4476999999</v>
      </c>
      <c r="F10">
        <v>31.140999999999998</v>
      </c>
      <c r="G10" t="s">
        <v>106</v>
      </c>
      <c r="H10" t="s">
        <v>52</v>
      </c>
      <c r="I10">
        <v>31.140999999999998</v>
      </c>
      <c r="J10" t="s">
        <v>53</v>
      </c>
      <c r="K10">
        <v>0</v>
      </c>
      <c r="L10" t="s">
        <v>107</v>
      </c>
      <c r="M10" t="s">
        <v>108</v>
      </c>
      <c r="N10">
        <v>0.2248</v>
      </c>
      <c r="O10" t="s">
        <v>56</v>
      </c>
      <c r="P10" t="s">
        <v>57</v>
      </c>
      <c r="Q10" t="s">
        <v>59</v>
      </c>
      <c r="R10" t="s">
        <v>109</v>
      </c>
      <c r="S10" t="s">
        <v>110</v>
      </c>
      <c r="T10" t="s">
        <v>61</v>
      </c>
      <c r="U10">
        <v>1.6012999999999999</v>
      </c>
      <c r="V10" t="s">
        <v>62</v>
      </c>
      <c r="W10">
        <v>0</v>
      </c>
      <c r="X10">
        <v>29.54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111</v>
      </c>
      <c r="AG10" t="s">
        <v>65</v>
      </c>
      <c r="AH10" t="s">
        <v>65</v>
      </c>
      <c r="AI10" t="s">
        <v>67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105</v>
      </c>
      <c r="AT10" t="s">
        <v>71</v>
      </c>
      <c r="AU10">
        <v>0</v>
      </c>
      <c r="AV10">
        <v>0</v>
      </c>
    </row>
    <row r="11" spans="1:48" x14ac:dyDescent="0.25">
      <c r="A11" t="s">
        <v>112</v>
      </c>
      <c r="B11" t="s">
        <v>49</v>
      </c>
      <c r="C11" t="s">
        <v>50</v>
      </c>
      <c r="D11">
        <v>440595.03320000001</v>
      </c>
      <c r="E11">
        <v>1827384.4486</v>
      </c>
      <c r="F11">
        <v>30.166</v>
      </c>
      <c r="G11" t="s">
        <v>113</v>
      </c>
      <c r="H11" t="s">
        <v>52</v>
      </c>
      <c r="I11">
        <v>30.166</v>
      </c>
      <c r="J11" t="s">
        <v>53</v>
      </c>
      <c r="K11">
        <v>0</v>
      </c>
      <c r="L11" t="s">
        <v>54</v>
      </c>
      <c r="M11">
        <f>0+4.61</f>
        <v>4.6100000000000003</v>
      </c>
      <c r="N11">
        <v>-7.4999999999999997E-2</v>
      </c>
      <c r="O11" t="s">
        <v>56</v>
      </c>
      <c r="P11" t="s">
        <v>57</v>
      </c>
      <c r="Q11" t="s">
        <v>58</v>
      </c>
      <c r="R11" t="s">
        <v>59</v>
      </c>
      <c r="S11" t="s">
        <v>114</v>
      </c>
      <c r="T11" t="s">
        <v>61</v>
      </c>
      <c r="U11">
        <v>2.3721000000000001</v>
      </c>
      <c r="V11" t="s">
        <v>62</v>
      </c>
      <c r="W11">
        <v>0</v>
      </c>
      <c r="X11">
        <v>27.794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115</v>
      </c>
      <c r="B12" t="s">
        <v>105</v>
      </c>
      <c r="C12" t="s">
        <v>50</v>
      </c>
      <c r="D12">
        <v>440387.60009999998</v>
      </c>
      <c r="E12">
        <v>1827510.1510000001</v>
      </c>
      <c r="F12">
        <v>30.757000000000001</v>
      </c>
      <c r="G12" t="s">
        <v>116</v>
      </c>
      <c r="H12" t="s">
        <v>52</v>
      </c>
      <c r="I12">
        <v>30.757000000000001</v>
      </c>
      <c r="J12" t="s">
        <v>53</v>
      </c>
      <c r="K12">
        <v>0</v>
      </c>
      <c r="L12" t="s">
        <v>117</v>
      </c>
      <c r="M12" t="s">
        <v>118</v>
      </c>
      <c r="N12">
        <v>-0.18859999999999999</v>
      </c>
      <c r="O12" t="s">
        <v>56</v>
      </c>
      <c r="P12" t="s">
        <v>57</v>
      </c>
      <c r="Q12" t="s">
        <v>59</v>
      </c>
      <c r="R12" t="s">
        <v>109</v>
      </c>
      <c r="S12" t="s">
        <v>119</v>
      </c>
      <c r="T12" t="s">
        <v>61</v>
      </c>
      <c r="U12">
        <v>1.6289</v>
      </c>
      <c r="V12" t="s">
        <v>62</v>
      </c>
      <c r="W12">
        <v>0</v>
      </c>
      <c r="X12">
        <v>29.128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111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105</v>
      </c>
      <c r="AT12" t="s">
        <v>71</v>
      </c>
      <c r="AU12">
        <v>0</v>
      </c>
      <c r="AV12">
        <v>0</v>
      </c>
    </row>
    <row r="13" spans="1:48" x14ac:dyDescent="0.25">
      <c r="A13" t="s">
        <v>120</v>
      </c>
      <c r="B13" t="s">
        <v>105</v>
      </c>
      <c r="C13" t="s">
        <v>50</v>
      </c>
      <c r="D13">
        <v>440398.2501</v>
      </c>
      <c r="E13">
        <v>1827510.9155999999</v>
      </c>
      <c r="F13">
        <v>30.753</v>
      </c>
      <c r="G13" t="s">
        <v>121</v>
      </c>
      <c r="H13" t="s">
        <v>52</v>
      </c>
      <c r="I13">
        <v>30.753</v>
      </c>
      <c r="J13" t="s">
        <v>53</v>
      </c>
      <c r="K13">
        <v>0</v>
      </c>
      <c r="L13" t="s">
        <v>107</v>
      </c>
      <c r="M13" s="1" t="s">
        <v>122</v>
      </c>
      <c r="N13">
        <v>0.2248</v>
      </c>
      <c r="O13" t="s">
        <v>56</v>
      </c>
      <c r="P13" t="s">
        <v>57</v>
      </c>
      <c r="Q13" t="s">
        <v>59</v>
      </c>
      <c r="R13" t="s">
        <v>109</v>
      </c>
      <c r="S13" t="s">
        <v>123</v>
      </c>
      <c r="T13" t="s">
        <v>61</v>
      </c>
      <c r="U13">
        <v>1.6859999999999999</v>
      </c>
      <c r="V13" t="s">
        <v>62</v>
      </c>
      <c r="W13">
        <v>0</v>
      </c>
      <c r="X13">
        <v>29.067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111</v>
      </c>
      <c r="AG13" t="s">
        <v>65</v>
      </c>
      <c r="AH13" t="s">
        <v>65</v>
      </c>
      <c r="AI13" t="s">
        <v>67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105</v>
      </c>
      <c r="AT13" t="s">
        <v>71</v>
      </c>
      <c r="AU13">
        <v>0</v>
      </c>
      <c r="AV13">
        <v>0</v>
      </c>
    </row>
    <row r="14" spans="1:48" x14ac:dyDescent="0.25">
      <c r="A14" t="s">
        <v>124</v>
      </c>
      <c r="B14" t="s">
        <v>125</v>
      </c>
      <c r="C14" t="s">
        <v>50</v>
      </c>
      <c r="D14">
        <v>439953.34389999998</v>
      </c>
      <c r="E14">
        <v>1827531.6588000001</v>
      </c>
      <c r="F14">
        <v>32.962000000000003</v>
      </c>
      <c r="G14" t="s">
        <v>126</v>
      </c>
      <c r="H14" t="s">
        <v>52</v>
      </c>
      <c r="I14">
        <v>32.962000000000003</v>
      </c>
      <c r="J14" t="s">
        <v>53</v>
      </c>
      <c r="K14">
        <v>0</v>
      </c>
      <c r="L14" t="s">
        <v>127</v>
      </c>
      <c r="M14" t="s">
        <v>128</v>
      </c>
      <c r="N14">
        <v>0.10829999999999999</v>
      </c>
      <c r="O14" t="s">
        <v>56</v>
      </c>
      <c r="P14" t="s">
        <v>57</v>
      </c>
      <c r="Q14" t="s">
        <v>109</v>
      </c>
      <c r="R14" t="s">
        <v>59</v>
      </c>
      <c r="S14" t="s">
        <v>129</v>
      </c>
      <c r="T14" t="s">
        <v>61</v>
      </c>
      <c r="U14">
        <v>2.0775000000000001</v>
      </c>
      <c r="V14" t="s">
        <v>62</v>
      </c>
      <c r="W14">
        <v>0</v>
      </c>
      <c r="X14">
        <v>30.885000000000002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111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125</v>
      </c>
      <c r="AT14" t="s">
        <v>71</v>
      </c>
      <c r="AU14">
        <v>0</v>
      </c>
      <c r="AV14">
        <v>0</v>
      </c>
    </row>
    <row r="15" spans="1:48" x14ac:dyDescent="0.25">
      <c r="A15" t="s">
        <v>130</v>
      </c>
      <c r="B15" t="s">
        <v>125</v>
      </c>
      <c r="C15" t="s">
        <v>50</v>
      </c>
      <c r="D15">
        <v>440151.1139</v>
      </c>
      <c r="E15">
        <v>1827550.3088</v>
      </c>
      <c r="F15">
        <v>31.849</v>
      </c>
      <c r="G15" t="s">
        <v>131</v>
      </c>
      <c r="H15" t="s">
        <v>52</v>
      </c>
      <c r="I15">
        <v>31.849</v>
      </c>
      <c r="J15" t="s">
        <v>53</v>
      </c>
      <c r="K15">
        <v>0</v>
      </c>
      <c r="L15" t="s">
        <v>132</v>
      </c>
      <c r="M15" t="s">
        <v>133</v>
      </c>
      <c r="N15">
        <v>0</v>
      </c>
      <c r="O15" t="s">
        <v>56</v>
      </c>
      <c r="P15" t="s">
        <v>57</v>
      </c>
      <c r="Q15" t="s">
        <v>109</v>
      </c>
      <c r="R15" t="s">
        <v>59</v>
      </c>
      <c r="S15" t="s">
        <v>134</v>
      </c>
      <c r="T15" t="s">
        <v>61</v>
      </c>
      <c r="U15">
        <v>2.5345</v>
      </c>
      <c r="V15" t="s">
        <v>62</v>
      </c>
      <c r="W15">
        <v>0</v>
      </c>
      <c r="X15">
        <v>29.315000000000001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111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125</v>
      </c>
      <c r="AT15" t="s">
        <v>71</v>
      </c>
      <c r="AU15">
        <v>0</v>
      </c>
      <c r="AV15">
        <v>0</v>
      </c>
    </row>
    <row r="16" spans="1:48" x14ac:dyDescent="0.25">
      <c r="A16" t="s">
        <v>135</v>
      </c>
      <c r="B16" t="s">
        <v>125</v>
      </c>
      <c r="C16" t="s">
        <v>50</v>
      </c>
      <c r="D16">
        <v>440180.5344</v>
      </c>
      <c r="E16">
        <v>1827531.6588000001</v>
      </c>
      <c r="F16">
        <v>31.681999999999999</v>
      </c>
      <c r="G16" t="s">
        <v>136</v>
      </c>
      <c r="H16" t="s">
        <v>52</v>
      </c>
      <c r="I16">
        <v>31.681999999999999</v>
      </c>
      <c r="J16" t="s">
        <v>53</v>
      </c>
      <c r="K16">
        <v>0</v>
      </c>
      <c r="L16" t="s">
        <v>127</v>
      </c>
      <c r="M16" t="s">
        <v>137</v>
      </c>
      <c r="N16">
        <v>0.1084</v>
      </c>
      <c r="O16" t="s">
        <v>56</v>
      </c>
      <c r="P16" t="s">
        <v>57</v>
      </c>
      <c r="Q16" t="s">
        <v>109</v>
      </c>
      <c r="R16" t="s">
        <v>59</v>
      </c>
      <c r="S16" t="s">
        <v>138</v>
      </c>
      <c r="T16" t="s">
        <v>61</v>
      </c>
      <c r="U16">
        <v>2.8391000000000002</v>
      </c>
      <c r="V16" t="s">
        <v>62</v>
      </c>
      <c r="W16">
        <v>0</v>
      </c>
      <c r="X16">
        <v>28.843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111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125</v>
      </c>
      <c r="AT16" t="s">
        <v>71</v>
      </c>
      <c r="AU16">
        <v>0</v>
      </c>
      <c r="AV16">
        <v>0</v>
      </c>
    </row>
    <row r="17" spans="1:48" x14ac:dyDescent="0.25">
      <c r="A17" t="s">
        <v>139</v>
      </c>
      <c r="B17" t="s">
        <v>125</v>
      </c>
      <c r="C17" t="s">
        <v>50</v>
      </c>
      <c r="D17">
        <v>440280.33559999999</v>
      </c>
      <c r="E17">
        <v>1827531.6588000001</v>
      </c>
      <c r="F17">
        <v>31.125</v>
      </c>
      <c r="G17" t="s">
        <v>140</v>
      </c>
      <c r="H17" t="s">
        <v>52</v>
      </c>
      <c r="I17">
        <v>31.125</v>
      </c>
      <c r="J17" t="s">
        <v>53</v>
      </c>
      <c r="K17">
        <v>0</v>
      </c>
      <c r="L17" t="s">
        <v>141</v>
      </c>
      <c r="M17" t="s">
        <v>142</v>
      </c>
      <c r="N17">
        <v>0.1084</v>
      </c>
      <c r="O17" t="s">
        <v>56</v>
      </c>
      <c r="P17" t="s">
        <v>57</v>
      </c>
      <c r="Q17" t="s">
        <v>109</v>
      </c>
      <c r="R17" t="s">
        <v>59</v>
      </c>
      <c r="S17" t="s">
        <v>143</v>
      </c>
      <c r="T17" t="s">
        <v>61</v>
      </c>
      <c r="U17">
        <v>2.8538000000000001</v>
      </c>
      <c r="V17" t="s">
        <v>62</v>
      </c>
      <c r="W17">
        <v>0</v>
      </c>
      <c r="X17">
        <v>28.271000000000001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111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125</v>
      </c>
      <c r="AT17" t="s">
        <v>71</v>
      </c>
      <c r="AU17">
        <v>0</v>
      </c>
      <c r="AV17">
        <v>0</v>
      </c>
    </row>
    <row r="18" spans="1:48" x14ac:dyDescent="0.25">
      <c r="A18" t="s">
        <v>144</v>
      </c>
      <c r="B18" t="s">
        <v>105</v>
      </c>
      <c r="C18" t="s">
        <v>50</v>
      </c>
      <c r="D18">
        <v>440198.92479999998</v>
      </c>
      <c r="E18">
        <v>1827588.4203999999</v>
      </c>
      <c r="F18">
        <v>31.423999999999999</v>
      </c>
      <c r="G18" t="s">
        <v>145</v>
      </c>
      <c r="H18" t="s">
        <v>52</v>
      </c>
      <c r="I18">
        <v>31.423999999999999</v>
      </c>
      <c r="J18" t="s">
        <v>53</v>
      </c>
      <c r="K18">
        <v>0</v>
      </c>
      <c r="L18" t="s">
        <v>146</v>
      </c>
      <c r="M18" t="s">
        <v>147</v>
      </c>
      <c r="N18">
        <v>-2.5000000000000001E-2</v>
      </c>
      <c r="O18" t="s">
        <v>56</v>
      </c>
      <c r="P18" t="s">
        <v>57</v>
      </c>
      <c r="Q18" t="s">
        <v>59</v>
      </c>
      <c r="R18" t="s">
        <v>109</v>
      </c>
      <c r="S18" t="s">
        <v>148</v>
      </c>
      <c r="T18" t="s">
        <v>61</v>
      </c>
      <c r="U18">
        <v>1.9774</v>
      </c>
      <c r="V18" t="s">
        <v>62</v>
      </c>
      <c r="W18">
        <v>0</v>
      </c>
      <c r="X18">
        <v>29.446999999999999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111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105</v>
      </c>
      <c r="AT18" t="s">
        <v>71</v>
      </c>
      <c r="AU18">
        <v>0</v>
      </c>
      <c r="AV18">
        <v>0</v>
      </c>
    </row>
    <row r="19" spans="1:48" x14ac:dyDescent="0.25">
      <c r="A19" t="s">
        <v>149</v>
      </c>
      <c r="B19" t="s">
        <v>105</v>
      </c>
      <c r="C19" t="s">
        <v>50</v>
      </c>
      <c r="D19">
        <v>440217.54979999998</v>
      </c>
      <c r="E19">
        <v>1827588.5366</v>
      </c>
      <c r="F19">
        <v>31.425000000000001</v>
      </c>
      <c r="G19" t="s">
        <v>150</v>
      </c>
      <c r="H19" t="s">
        <v>52</v>
      </c>
      <c r="I19">
        <v>31.425000000000001</v>
      </c>
      <c r="J19" t="s">
        <v>53</v>
      </c>
      <c r="K19">
        <v>0</v>
      </c>
      <c r="L19" t="s">
        <v>151</v>
      </c>
      <c r="M19" t="s">
        <v>152</v>
      </c>
      <c r="N19">
        <v>-4.4400000000000002E-2</v>
      </c>
      <c r="O19" t="s">
        <v>56</v>
      </c>
      <c r="P19" t="s">
        <v>57</v>
      </c>
      <c r="Q19" t="s">
        <v>59</v>
      </c>
      <c r="R19" t="s">
        <v>109</v>
      </c>
      <c r="S19" t="s">
        <v>153</v>
      </c>
      <c r="T19" t="s">
        <v>61</v>
      </c>
      <c r="U19">
        <v>3.4426000000000001</v>
      </c>
      <c r="V19" t="s">
        <v>62</v>
      </c>
      <c r="W19">
        <v>0</v>
      </c>
      <c r="X19">
        <v>27.981999999999999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111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105</v>
      </c>
      <c r="AT19" t="s">
        <v>71</v>
      </c>
      <c r="AU19">
        <v>0</v>
      </c>
      <c r="AV19">
        <v>0</v>
      </c>
    </row>
    <row r="20" spans="1:48" x14ac:dyDescent="0.25">
      <c r="A20" t="s">
        <v>154</v>
      </c>
      <c r="B20" t="s">
        <v>73</v>
      </c>
      <c r="C20" t="s">
        <v>50</v>
      </c>
      <c r="D20">
        <v>440314.42489999998</v>
      </c>
      <c r="E20">
        <v>1827563.4069000001</v>
      </c>
      <c r="F20">
        <v>31.401</v>
      </c>
      <c r="G20" t="s">
        <v>155</v>
      </c>
      <c r="H20" t="s">
        <v>52</v>
      </c>
      <c r="I20">
        <v>31.401</v>
      </c>
      <c r="J20" t="s">
        <v>53</v>
      </c>
      <c r="K20">
        <v>0</v>
      </c>
      <c r="L20" t="s">
        <v>156</v>
      </c>
      <c r="M20" s="1" t="s">
        <v>157</v>
      </c>
      <c r="N20">
        <v>-0.123</v>
      </c>
      <c r="O20" t="s">
        <v>56</v>
      </c>
      <c r="P20" t="s">
        <v>57</v>
      </c>
      <c r="Q20" t="s">
        <v>59</v>
      </c>
      <c r="R20" t="s">
        <v>58</v>
      </c>
      <c r="S20" t="s">
        <v>158</v>
      </c>
      <c r="T20" t="s">
        <v>61</v>
      </c>
      <c r="U20">
        <v>2.8555999999999999</v>
      </c>
      <c r="V20" t="s">
        <v>62</v>
      </c>
      <c r="W20">
        <v>0</v>
      </c>
      <c r="X20">
        <v>28.545000000000002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73</v>
      </c>
      <c r="AT20" t="s">
        <v>71</v>
      </c>
      <c r="AU20">
        <v>0</v>
      </c>
      <c r="AV20">
        <v>0</v>
      </c>
    </row>
    <row r="21" spans="1:48" x14ac:dyDescent="0.25">
      <c r="A21" t="s">
        <v>159</v>
      </c>
      <c r="B21" t="s">
        <v>73</v>
      </c>
      <c r="C21" t="s">
        <v>50</v>
      </c>
      <c r="D21">
        <v>440323.82490000001</v>
      </c>
      <c r="E21">
        <v>1827562.9498000001</v>
      </c>
      <c r="F21">
        <v>31.402999999999999</v>
      </c>
      <c r="G21" t="s">
        <v>160</v>
      </c>
      <c r="H21" t="s">
        <v>52</v>
      </c>
      <c r="I21">
        <v>31.402999999999999</v>
      </c>
      <c r="J21" t="s">
        <v>53</v>
      </c>
      <c r="K21">
        <v>0</v>
      </c>
      <c r="L21" t="s">
        <v>161</v>
      </c>
      <c r="M21" t="s">
        <v>162</v>
      </c>
      <c r="N21">
        <v>0.15</v>
      </c>
      <c r="O21" t="s">
        <v>56</v>
      </c>
      <c r="P21" t="s">
        <v>57</v>
      </c>
      <c r="Q21" t="s">
        <v>59</v>
      </c>
      <c r="R21" t="s">
        <v>58</v>
      </c>
      <c r="S21" t="s">
        <v>163</v>
      </c>
      <c r="T21" t="s">
        <v>61</v>
      </c>
      <c r="U21">
        <v>2.2833000000000001</v>
      </c>
      <c r="V21" t="s">
        <v>62</v>
      </c>
      <c r="W21">
        <v>0</v>
      </c>
      <c r="X21">
        <v>29.12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73</v>
      </c>
      <c r="AT21" t="s">
        <v>71</v>
      </c>
      <c r="AU21">
        <v>0</v>
      </c>
      <c r="AV21">
        <v>0</v>
      </c>
    </row>
    <row r="22" spans="1:48" x14ac:dyDescent="0.25">
      <c r="A22" t="s">
        <v>164</v>
      </c>
      <c r="B22" t="s">
        <v>73</v>
      </c>
      <c r="C22" t="s">
        <v>50</v>
      </c>
      <c r="D22">
        <v>440454.52510000003</v>
      </c>
      <c r="E22">
        <v>1827563.2171</v>
      </c>
      <c r="F22">
        <v>30.280999999999999</v>
      </c>
      <c r="G22" t="s">
        <v>165</v>
      </c>
      <c r="H22" t="s">
        <v>52</v>
      </c>
      <c r="I22">
        <v>30.280999999999999</v>
      </c>
      <c r="J22" t="s">
        <v>53</v>
      </c>
      <c r="K22">
        <v>0</v>
      </c>
      <c r="L22" t="s">
        <v>166</v>
      </c>
      <c r="M22" t="s">
        <v>167</v>
      </c>
      <c r="N22">
        <v>-0.28489999999999999</v>
      </c>
      <c r="O22" t="s">
        <v>56</v>
      </c>
      <c r="P22" t="s">
        <v>57</v>
      </c>
      <c r="Q22" t="s">
        <v>59</v>
      </c>
      <c r="R22" t="s">
        <v>58</v>
      </c>
      <c r="S22" t="s">
        <v>168</v>
      </c>
      <c r="T22" t="s">
        <v>61</v>
      </c>
      <c r="U22">
        <v>1.4535</v>
      </c>
      <c r="V22" t="s">
        <v>62</v>
      </c>
      <c r="W22">
        <v>0</v>
      </c>
      <c r="X22">
        <v>28.827999999999999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73</v>
      </c>
      <c r="AT22" t="s">
        <v>71</v>
      </c>
      <c r="AU22">
        <v>0</v>
      </c>
      <c r="AV22">
        <v>0</v>
      </c>
    </row>
    <row r="23" spans="1:48" x14ac:dyDescent="0.25">
      <c r="A23" t="s">
        <v>169</v>
      </c>
      <c r="B23" t="s">
        <v>73</v>
      </c>
      <c r="C23" t="s">
        <v>50</v>
      </c>
      <c r="D23">
        <v>440463.92509999999</v>
      </c>
      <c r="E23">
        <v>1827563.0829</v>
      </c>
      <c r="F23">
        <v>30.282</v>
      </c>
      <c r="G23" t="s">
        <v>170</v>
      </c>
      <c r="H23" t="s">
        <v>52</v>
      </c>
      <c r="I23">
        <v>30.282</v>
      </c>
      <c r="J23" t="s">
        <v>53</v>
      </c>
      <c r="K23">
        <v>0</v>
      </c>
      <c r="L23" t="s">
        <v>171</v>
      </c>
      <c r="M23" s="1" t="s">
        <v>172</v>
      </c>
      <c r="N23">
        <v>0.15</v>
      </c>
      <c r="O23" t="s">
        <v>56</v>
      </c>
      <c r="P23" t="s">
        <v>57</v>
      </c>
      <c r="Q23" t="s">
        <v>59</v>
      </c>
      <c r="R23" t="s">
        <v>58</v>
      </c>
      <c r="S23" t="s">
        <v>173</v>
      </c>
      <c r="T23" t="s">
        <v>61</v>
      </c>
      <c r="U23">
        <v>1.4538</v>
      </c>
      <c r="V23" t="s">
        <v>62</v>
      </c>
      <c r="W23">
        <v>0</v>
      </c>
      <c r="X23">
        <v>28.827999999999999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67</v>
      </c>
      <c r="AK23" t="s">
        <v>66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73</v>
      </c>
      <c r="AT23" t="s">
        <v>71</v>
      </c>
      <c r="AU23">
        <v>0</v>
      </c>
      <c r="AV23">
        <v>0</v>
      </c>
    </row>
    <row r="24" spans="1:48" x14ac:dyDescent="0.25">
      <c r="A24" t="s">
        <v>174</v>
      </c>
      <c r="B24" t="s">
        <v>125</v>
      </c>
      <c r="C24" t="s">
        <v>50</v>
      </c>
      <c r="D24">
        <v>440507.51289999997</v>
      </c>
      <c r="E24">
        <v>1827531.6588000001</v>
      </c>
      <c r="F24">
        <v>29.864000000000001</v>
      </c>
      <c r="G24" t="s">
        <v>175</v>
      </c>
      <c r="H24" t="s">
        <v>52</v>
      </c>
      <c r="I24">
        <v>29.864000000000001</v>
      </c>
      <c r="J24" t="s">
        <v>53</v>
      </c>
      <c r="K24">
        <v>0</v>
      </c>
      <c r="L24" t="s">
        <v>141</v>
      </c>
      <c r="M24" t="s">
        <v>176</v>
      </c>
      <c r="N24">
        <v>0.1084</v>
      </c>
      <c r="O24" t="s">
        <v>56</v>
      </c>
      <c r="P24" t="s">
        <v>57</v>
      </c>
      <c r="Q24" t="s">
        <v>109</v>
      </c>
      <c r="R24" t="s">
        <v>59</v>
      </c>
      <c r="S24" t="s">
        <v>177</v>
      </c>
      <c r="T24" t="s">
        <v>61</v>
      </c>
      <c r="U24">
        <v>2.1166999999999998</v>
      </c>
      <c r="V24" t="s">
        <v>62</v>
      </c>
      <c r="W24">
        <v>0</v>
      </c>
      <c r="X24">
        <v>27.747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111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125</v>
      </c>
      <c r="AT24" t="s">
        <v>71</v>
      </c>
      <c r="AU24">
        <v>0</v>
      </c>
      <c r="AV24">
        <v>0</v>
      </c>
    </row>
    <row r="25" spans="1:48" x14ac:dyDescent="0.25">
      <c r="A25" t="s">
        <v>178</v>
      </c>
      <c r="B25" t="s">
        <v>105</v>
      </c>
      <c r="C25" t="s">
        <v>50</v>
      </c>
      <c r="D25">
        <v>440568.5171</v>
      </c>
      <c r="E25">
        <v>1827550.3088</v>
      </c>
      <c r="F25">
        <v>29.265000000000001</v>
      </c>
      <c r="G25" t="s">
        <v>179</v>
      </c>
      <c r="H25" t="s">
        <v>52</v>
      </c>
      <c r="I25">
        <v>29.265000000000001</v>
      </c>
      <c r="J25" t="s">
        <v>53</v>
      </c>
      <c r="K25">
        <v>0</v>
      </c>
      <c r="L25" t="s">
        <v>180</v>
      </c>
      <c r="M25" s="1" t="s">
        <v>181</v>
      </c>
      <c r="N25">
        <v>-0.22500000000000001</v>
      </c>
      <c r="O25" t="s">
        <v>56</v>
      </c>
      <c r="P25" t="s">
        <v>57</v>
      </c>
      <c r="Q25" t="s">
        <v>59</v>
      </c>
      <c r="R25" t="s">
        <v>109</v>
      </c>
      <c r="S25" t="s">
        <v>182</v>
      </c>
      <c r="T25" t="s">
        <v>61</v>
      </c>
      <c r="U25">
        <v>3.4323999999999999</v>
      </c>
      <c r="V25" t="s">
        <v>62</v>
      </c>
      <c r="W25">
        <v>0</v>
      </c>
      <c r="X25">
        <v>25.832999999999998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111</v>
      </c>
      <c r="AG25" t="s">
        <v>65</v>
      </c>
      <c r="AH25" t="s">
        <v>65</v>
      </c>
      <c r="AI25" t="s">
        <v>183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105</v>
      </c>
      <c r="AT25" t="s">
        <v>71</v>
      </c>
      <c r="AU25">
        <v>0</v>
      </c>
      <c r="AV25">
        <v>0</v>
      </c>
    </row>
    <row r="26" spans="1:48" x14ac:dyDescent="0.25">
      <c r="A26" t="s">
        <v>184</v>
      </c>
      <c r="B26" t="s">
        <v>73</v>
      </c>
      <c r="C26" t="s">
        <v>50</v>
      </c>
      <c r="D26">
        <v>440529.52510000003</v>
      </c>
      <c r="E26">
        <v>1827562.5209999999</v>
      </c>
      <c r="F26">
        <v>30.114000000000001</v>
      </c>
      <c r="G26" t="s">
        <v>185</v>
      </c>
      <c r="H26" t="s">
        <v>52</v>
      </c>
      <c r="I26">
        <v>30.114000000000001</v>
      </c>
      <c r="J26" t="s">
        <v>53</v>
      </c>
      <c r="K26">
        <v>0</v>
      </c>
      <c r="L26" t="s">
        <v>186</v>
      </c>
      <c r="M26" t="s">
        <v>187</v>
      </c>
      <c r="N26">
        <v>0.15</v>
      </c>
      <c r="O26" t="s">
        <v>56</v>
      </c>
      <c r="P26" t="s">
        <v>57</v>
      </c>
      <c r="Q26" t="s">
        <v>59</v>
      </c>
      <c r="R26" t="s">
        <v>58</v>
      </c>
      <c r="S26" t="s">
        <v>188</v>
      </c>
      <c r="T26" t="s">
        <v>61</v>
      </c>
      <c r="U26">
        <v>1.4543999999999999</v>
      </c>
      <c r="V26" t="s">
        <v>62</v>
      </c>
      <c r="W26">
        <v>0</v>
      </c>
      <c r="X26">
        <v>28.66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67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73</v>
      </c>
      <c r="AT26" t="s">
        <v>71</v>
      </c>
      <c r="AU26">
        <v>0</v>
      </c>
      <c r="AV26">
        <v>0</v>
      </c>
    </row>
    <row r="27" spans="1:48" x14ac:dyDescent="0.25">
      <c r="A27" t="s">
        <v>189</v>
      </c>
      <c r="B27" t="s">
        <v>73</v>
      </c>
      <c r="C27" t="s">
        <v>50</v>
      </c>
      <c r="D27">
        <v>440520.1251</v>
      </c>
      <c r="E27">
        <v>1827562.5629</v>
      </c>
      <c r="F27">
        <v>30.114000000000001</v>
      </c>
      <c r="G27" t="s">
        <v>190</v>
      </c>
      <c r="H27" t="s">
        <v>52</v>
      </c>
      <c r="I27">
        <v>30.114000000000001</v>
      </c>
      <c r="J27" t="s">
        <v>53</v>
      </c>
      <c r="K27">
        <v>0</v>
      </c>
      <c r="L27" t="s">
        <v>191</v>
      </c>
      <c r="M27" s="1" t="s">
        <v>192</v>
      </c>
      <c r="N27">
        <v>-0.22600000000000001</v>
      </c>
      <c r="O27" t="s">
        <v>56</v>
      </c>
      <c r="P27" t="s">
        <v>57</v>
      </c>
      <c r="Q27" t="s">
        <v>59</v>
      </c>
      <c r="R27" t="s">
        <v>58</v>
      </c>
      <c r="S27" t="s">
        <v>193</v>
      </c>
      <c r="T27" t="s">
        <v>61</v>
      </c>
      <c r="U27">
        <v>1.4533</v>
      </c>
      <c r="V27" t="s">
        <v>62</v>
      </c>
      <c r="W27">
        <v>0</v>
      </c>
      <c r="X27">
        <v>28.661000000000001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73</v>
      </c>
      <c r="AT27" t="s">
        <v>71</v>
      </c>
      <c r="AU27">
        <v>0</v>
      </c>
      <c r="AV27">
        <v>0</v>
      </c>
    </row>
    <row r="28" spans="1:48" x14ac:dyDescent="0.25">
      <c r="A28" t="s">
        <v>194</v>
      </c>
      <c r="B28" t="s">
        <v>105</v>
      </c>
      <c r="C28" t="s">
        <v>50</v>
      </c>
      <c r="D28">
        <v>440398.2501</v>
      </c>
      <c r="E28">
        <v>1827684.8063000001</v>
      </c>
      <c r="F28">
        <v>30.227</v>
      </c>
      <c r="G28" t="s">
        <v>195</v>
      </c>
      <c r="H28" t="s">
        <v>52</v>
      </c>
      <c r="I28">
        <v>30.227</v>
      </c>
      <c r="J28" t="s">
        <v>53</v>
      </c>
      <c r="K28">
        <v>0</v>
      </c>
      <c r="L28" t="s">
        <v>107</v>
      </c>
      <c r="M28" t="s">
        <v>196</v>
      </c>
      <c r="N28">
        <v>0.2248</v>
      </c>
      <c r="O28" t="s">
        <v>56</v>
      </c>
      <c r="P28" t="s">
        <v>57</v>
      </c>
      <c r="Q28" t="s">
        <v>59</v>
      </c>
      <c r="R28" t="s">
        <v>109</v>
      </c>
      <c r="S28" t="s">
        <v>197</v>
      </c>
      <c r="T28" t="s">
        <v>61</v>
      </c>
      <c r="U28">
        <v>1.5654999999999999</v>
      </c>
      <c r="V28" t="s">
        <v>62</v>
      </c>
      <c r="W28">
        <v>0</v>
      </c>
      <c r="X28">
        <v>28.661000000000001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111</v>
      </c>
      <c r="AG28" t="s">
        <v>65</v>
      </c>
      <c r="AH28" t="s">
        <v>65</v>
      </c>
      <c r="AI28" t="s">
        <v>67</v>
      </c>
      <c r="AK28" t="s">
        <v>66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105</v>
      </c>
      <c r="AT28" t="s">
        <v>71</v>
      </c>
      <c r="AU28">
        <v>0</v>
      </c>
      <c r="AV28">
        <v>0</v>
      </c>
    </row>
    <row r="29" spans="1:48" x14ac:dyDescent="0.25">
      <c r="A29" t="s">
        <v>198</v>
      </c>
      <c r="B29" t="s">
        <v>49</v>
      </c>
      <c r="C29" t="s">
        <v>50</v>
      </c>
      <c r="D29">
        <v>440442.5062</v>
      </c>
      <c r="E29">
        <v>1827778.5257000001</v>
      </c>
      <c r="F29">
        <v>30.521999999999998</v>
      </c>
      <c r="G29" t="s">
        <v>199</v>
      </c>
      <c r="H29" t="s">
        <v>52</v>
      </c>
      <c r="I29">
        <v>30.521999999999998</v>
      </c>
      <c r="J29" t="s">
        <v>53</v>
      </c>
      <c r="K29">
        <v>0</v>
      </c>
      <c r="L29" t="s">
        <v>200</v>
      </c>
      <c r="M29" t="s">
        <v>201</v>
      </c>
      <c r="N29">
        <v>-1.12E-2</v>
      </c>
      <c r="O29" t="s">
        <v>56</v>
      </c>
      <c r="P29" t="s">
        <v>57</v>
      </c>
      <c r="Q29" t="s">
        <v>58</v>
      </c>
      <c r="R29" t="s">
        <v>59</v>
      </c>
      <c r="S29" t="s">
        <v>202</v>
      </c>
      <c r="T29" t="s">
        <v>61</v>
      </c>
      <c r="U29">
        <v>1.7032</v>
      </c>
      <c r="V29" t="s">
        <v>62</v>
      </c>
      <c r="W29">
        <v>0</v>
      </c>
      <c r="X29">
        <v>28.818999999999999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49</v>
      </c>
      <c r="AT29" t="s">
        <v>71</v>
      </c>
      <c r="AU29">
        <v>0</v>
      </c>
      <c r="AV29">
        <v>0</v>
      </c>
    </row>
    <row r="30" spans="1:48" x14ac:dyDescent="0.25">
      <c r="A30" t="s">
        <v>203</v>
      </c>
      <c r="B30" t="s">
        <v>49</v>
      </c>
      <c r="C30" t="s">
        <v>50</v>
      </c>
      <c r="D30">
        <v>440442.69650000002</v>
      </c>
      <c r="E30">
        <v>1827769.1257</v>
      </c>
      <c r="F30">
        <v>30.52</v>
      </c>
      <c r="G30" t="s">
        <v>204</v>
      </c>
      <c r="H30" t="s">
        <v>52</v>
      </c>
      <c r="I30">
        <v>30.52</v>
      </c>
      <c r="J30" t="s">
        <v>53</v>
      </c>
      <c r="K30">
        <v>0</v>
      </c>
      <c r="L30" t="s">
        <v>205</v>
      </c>
      <c r="M30" t="s">
        <v>206</v>
      </c>
      <c r="N30">
        <v>7.4999999999999997E-2</v>
      </c>
      <c r="O30" t="s">
        <v>56</v>
      </c>
      <c r="P30" t="s">
        <v>57</v>
      </c>
      <c r="Q30" t="s">
        <v>58</v>
      </c>
      <c r="R30" t="s">
        <v>59</v>
      </c>
      <c r="S30" t="s">
        <v>207</v>
      </c>
      <c r="T30" t="s">
        <v>61</v>
      </c>
      <c r="U30">
        <v>1.5421</v>
      </c>
      <c r="V30" t="s">
        <v>62</v>
      </c>
      <c r="W30">
        <v>0</v>
      </c>
      <c r="X30">
        <v>28.978000000000002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49</v>
      </c>
      <c r="AT30" t="s">
        <v>71</v>
      </c>
      <c r="AU30">
        <v>0</v>
      </c>
      <c r="AV30">
        <v>0</v>
      </c>
    </row>
    <row r="31" spans="1:48" x14ac:dyDescent="0.25">
      <c r="A31" t="s">
        <v>208</v>
      </c>
      <c r="B31" t="s">
        <v>73</v>
      </c>
      <c r="C31" t="s">
        <v>50</v>
      </c>
      <c r="D31">
        <v>440463.92509999999</v>
      </c>
      <c r="E31">
        <v>1827790.5674000001</v>
      </c>
      <c r="F31">
        <v>30.411999999999999</v>
      </c>
      <c r="G31" t="s">
        <v>209</v>
      </c>
      <c r="H31" t="s">
        <v>52</v>
      </c>
      <c r="I31">
        <v>30.411999999999999</v>
      </c>
      <c r="J31" t="s">
        <v>53</v>
      </c>
      <c r="K31">
        <v>0</v>
      </c>
      <c r="L31" t="s">
        <v>210</v>
      </c>
      <c r="M31" s="1" t="s">
        <v>211</v>
      </c>
      <c r="N31">
        <v>0.15</v>
      </c>
      <c r="O31" t="s">
        <v>56</v>
      </c>
      <c r="P31" t="s">
        <v>57</v>
      </c>
      <c r="Q31" t="s">
        <v>59</v>
      </c>
      <c r="R31" t="s">
        <v>58</v>
      </c>
      <c r="S31" t="s">
        <v>212</v>
      </c>
      <c r="T31" t="s">
        <v>61</v>
      </c>
      <c r="U31">
        <v>1.5931999999999999</v>
      </c>
      <c r="V31" t="s">
        <v>62</v>
      </c>
      <c r="W31">
        <v>0</v>
      </c>
      <c r="X31">
        <v>28.818999999999999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73</v>
      </c>
      <c r="AT31" t="s">
        <v>71</v>
      </c>
      <c r="AU31">
        <v>0</v>
      </c>
      <c r="AV31">
        <v>0</v>
      </c>
    </row>
    <row r="32" spans="1:48" x14ac:dyDescent="0.25">
      <c r="A32" t="s">
        <v>213</v>
      </c>
      <c r="B32" t="s">
        <v>73</v>
      </c>
      <c r="C32" t="s">
        <v>50</v>
      </c>
      <c r="D32">
        <v>440323.82490000001</v>
      </c>
      <c r="E32">
        <v>1827808.2206999999</v>
      </c>
      <c r="F32">
        <v>31.271000000000001</v>
      </c>
      <c r="G32" t="s">
        <v>214</v>
      </c>
      <c r="H32" t="s">
        <v>52</v>
      </c>
      <c r="I32">
        <v>31.271000000000001</v>
      </c>
      <c r="J32" t="s">
        <v>53</v>
      </c>
      <c r="K32">
        <v>0</v>
      </c>
      <c r="L32" t="s">
        <v>161</v>
      </c>
      <c r="M32" t="s">
        <v>215</v>
      </c>
      <c r="N32">
        <v>0.15</v>
      </c>
      <c r="O32" t="s">
        <v>56</v>
      </c>
      <c r="P32" t="s">
        <v>57</v>
      </c>
      <c r="Q32" t="s">
        <v>59</v>
      </c>
      <c r="R32" t="s">
        <v>58</v>
      </c>
      <c r="S32" t="s">
        <v>216</v>
      </c>
      <c r="T32" t="s">
        <v>61</v>
      </c>
      <c r="U32">
        <v>1.4555</v>
      </c>
      <c r="V32" t="s">
        <v>62</v>
      </c>
      <c r="W32">
        <v>0</v>
      </c>
      <c r="X32">
        <v>29.815999999999999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73</v>
      </c>
      <c r="AT32" t="s">
        <v>71</v>
      </c>
      <c r="AU32">
        <v>0</v>
      </c>
      <c r="AV32">
        <v>0</v>
      </c>
    </row>
    <row r="33" spans="1:48" x14ac:dyDescent="0.25">
      <c r="A33" t="s">
        <v>217</v>
      </c>
      <c r="B33" t="s">
        <v>73</v>
      </c>
      <c r="C33" t="s">
        <v>50</v>
      </c>
      <c r="D33">
        <v>440314.42489999998</v>
      </c>
      <c r="E33">
        <v>1827715.3953</v>
      </c>
      <c r="F33">
        <v>30.920999999999999</v>
      </c>
      <c r="G33" t="s">
        <v>218</v>
      </c>
      <c r="H33" t="s">
        <v>52</v>
      </c>
      <c r="I33">
        <v>30.920999999999999</v>
      </c>
      <c r="J33" t="s">
        <v>53</v>
      </c>
      <c r="K33">
        <v>0</v>
      </c>
      <c r="L33" t="s">
        <v>156</v>
      </c>
      <c r="M33" t="s">
        <v>219</v>
      </c>
      <c r="N33">
        <v>-0.123</v>
      </c>
      <c r="O33" t="s">
        <v>56</v>
      </c>
      <c r="P33" t="s">
        <v>57</v>
      </c>
      <c r="Q33" t="s">
        <v>59</v>
      </c>
      <c r="R33" t="s">
        <v>58</v>
      </c>
      <c r="S33" t="s">
        <v>220</v>
      </c>
      <c r="T33" t="s">
        <v>61</v>
      </c>
      <c r="U33">
        <v>2.2107000000000001</v>
      </c>
      <c r="V33" t="s">
        <v>62</v>
      </c>
      <c r="W33">
        <v>0</v>
      </c>
      <c r="X33">
        <v>28.71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73</v>
      </c>
      <c r="AT33" t="s">
        <v>71</v>
      </c>
      <c r="AU33">
        <v>0</v>
      </c>
      <c r="AV33">
        <v>0</v>
      </c>
    </row>
    <row r="34" spans="1:48" x14ac:dyDescent="0.25">
      <c r="A34" t="s">
        <v>221</v>
      </c>
      <c r="B34" t="s">
        <v>49</v>
      </c>
      <c r="C34" t="s">
        <v>50</v>
      </c>
      <c r="D34">
        <v>440571.11200000002</v>
      </c>
      <c r="E34">
        <v>1827769.1257</v>
      </c>
      <c r="F34">
        <v>30.177</v>
      </c>
      <c r="G34" t="s">
        <v>222</v>
      </c>
      <c r="H34" t="s">
        <v>52</v>
      </c>
      <c r="I34">
        <v>30.177</v>
      </c>
      <c r="J34" t="s">
        <v>53</v>
      </c>
      <c r="K34">
        <v>0</v>
      </c>
      <c r="L34" t="s">
        <v>205</v>
      </c>
      <c r="M34" s="1" t="s">
        <v>223</v>
      </c>
      <c r="N34">
        <v>7.4999999999999997E-2</v>
      </c>
      <c r="O34" t="s">
        <v>56</v>
      </c>
      <c r="P34" t="s">
        <v>57</v>
      </c>
      <c r="Q34" t="s">
        <v>58</v>
      </c>
      <c r="R34" t="s">
        <v>59</v>
      </c>
      <c r="S34" t="s">
        <v>224</v>
      </c>
      <c r="T34" t="s">
        <v>61</v>
      </c>
      <c r="U34">
        <v>1.7885</v>
      </c>
      <c r="V34" t="s">
        <v>62</v>
      </c>
      <c r="W34">
        <v>0</v>
      </c>
      <c r="X34">
        <v>28.388000000000002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225</v>
      </c>
      <c r="B35" t="s">
        <v>125</v>
      </c>
      <c r="C35" t="s">
        <v>50</v>
      </c>
      <c r="D35">
        <v>440068.44990000001</v>
      </c>
      <c r="E35">
        <v>1827853.5991</v>
      </c>
      <c r="F35">
        <v>33.363999999999997</v>
      </c>
      <c r="G35" t="s">
        <v>226</v>
      </c>
      <c r="H35" t="s">
        <v>52</v>
      </c>
      <c r="I35">
        <v>33.363999999999997</v>
      </c>
      <c r="J35" t="s">
        <v>53</v>
      </c>
      <c r="K35">
        <v>0</v>
      </c>
      <c r="L35" t="s">
        <v>227</v>
      </c>
      <c r="M35" s="1" t="s">
        <v>228</v>
      </c>
      <c r="N35">
        <v>0.22500000000000001</v>
      </c>
      <c r="O35" t="s">
        <v>56</v>
      </c>
      <c r="P35" t="s">
        <v>57</v>
      </c>
      <c r="Q35" t="s">
        <v>109</v>
      </c>
      <c r="R35" t="s">
        <v>59</v>
      </c>
      <c r="S35" t="s">
        <v>229</v>
      </c>
      <c r="T35" t="s">
        <v>61</v>
      </c>
      <c r="U35">
        <v>1.5173000000000001</v>
      </c>
      <c r="V35" t="s">
        <v>62</v>
      </c>
      <c r="W35">
        <v>0</v>
      </c>
      <c r="X35">
        <v>31.847000000000001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111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125</v>
      </c>
      <c r="AT35" t="s">
        <v>71</v>
      </c>
      <c r="AU35">
        <v>0</v>
      </c>
      <c r="AV35">
        <v>0</v>
      </c>
    </row>
    <row r="36" spans="1:48" x14ac:dyDescent="0.25">
      <c r="A36" t="s">
        <v>230</v>
      </c>
      <c r="B36" t="s">
        <v>73</v>
      </c>
      <c r="C36" t="s">
        <v>50</v>
      </c>
      <c r="D36">
        <v>440454.52510000003</v>
      </c>
      <c r="E36">
        <v>1827863.8831</v>
      </c>
      <c r="F36">
        <v>30.89</v>
      </c>
      <c r="G36" t="s">
        <v>231</v>
      </c>
      <c r="H36" t="s">
        <v>52</v>
      </c>
      <c r="I36">
        <v>30.89</v>
      </c>
      <c r="J36" t="s">
        <v>53</v>
      </c>
      <c r="K36">
        <v>0</v>
      </c>
      <c r="L36" t="s">
        <v>232</v>
      </c>
      <c r="M36" t="s">
        <v>233</v>
      </c>
      <c r="N36">
        <v>2.8400000000000002E-2</v>
      </c>
      <c r="O36" t="s">
        <v>56</v>
      </c>
      <c r="P36" t="s">
        <v>57</v>
      </c>
      <c r="Q36" t="s">
        <v>59</v>
      </c>
      <c r="R36" t="s">
        <v>58</v>
      </c>
      <c r="S36" t="s">
        <v>234</v>
      </c>
      <c r="T36" t="s">
        <v>61</v>
      </c>
      <c r="U36">
        <v>1.5563</v>
      </c>
      <c r="V36" t="s">
        <v>62</v>
      </c>
      <c r="W36">
        <v>0</v>
      </c>
      <c r="X36">
        <v>29.334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73</v>
      </c>
      <c r="AT36" t="s">
        <v>71</v>
      </c>
      <c r="AU36">
        <v>0</v>
      </c>
      <c r="AV36">
        <v>0</v>
      </c>
    </row>
    <row r="37" spans="1:48" x14ac:dyDescent="0.25">
      <c r="A37" t="s">
        <v>235</v>
      </c>
      <c r="B37" t="s">
        <v>73</v>
      </c>
      <c r="C37" t="s">
        <v>50</v>
      </c>
      <c r="D37">
        <v>440463.92509999999</v>
      </c>
      <c r="E37">
        <v>1827863.7308</v>
      </c>
      <c r="F37">
        <v>30.888999999999999</v>
      </c>
      <c r="G37" t="s">
        <v>236</v>
      </c>
      <c r="H37" t="s">
        <v>52</v>
      </c>
      <c r="I37">
        <v>30.888999999999999</v>
      </c>
      <c r="J37" t="s">
        <v>53</v>
      </c>
      <c r="K37">
        <v>0</v>
      </c>
      <c r="L37" t="s">
        <v>210</v>
      </c>
      <c r="M37" t="s">
        <v>237</v>
      </c>
      <c r="N37">
        <v>0.15</v>
      </c>
      <c r="O37" t="s">
        <v>56</v>
      </c>
      <c r="P37" t="s">
        <v>57</v>
      </c>
      <c r="Q37" t="s">
        <v>59</v>
      </c>
      <c r="R37" t="s">
        <v>58</v>
      </c>
      <c r="S37" t="s">
        <v>238</v>
      </c>
      <c r="T37" t="s">
        <v>61</v>
      </c>
      <c r="U37">
        <v>1.5561</v>
      </c>
      <c r="V37" t="s">
        <v>62</v>
      </c>
      <c r="W37">
        <v>0</v>
      </c>
      <c r="X37">
        <v>29.332999999999998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73</v>
      </c>
      <c r="AT37" t="s">
        <v>71</v>
      </c>
      <c r="AU37">
        <v>0</v>
      </c>
      <c r="AV37">
        <v>0</v>
      </c>
    </row>
    <row r="38" spans="1:48" x14ac:dyDescent="0.25">
      <c r="A38" t="s">
        <v>239</v>
      </c>
      <c r="B38" t="s">
        <v>49</v>
      </c>
      <c r="C38" t="s">
        <v>50</v>
      </c>
      <c r="D38">
        <v>440483.9387</v>
      </c>
      <c r="E38">
        <v>1827935.0608999999</v>
      </c>
      <c r="F38">
        <v>31.364999999999998</v>
      </c>
      <c r="G38" t="s">
        <v>240</v>
      </c>
      <c r="H38" t="s">
        <v>52</v>
      </c>
      <c r="I38">
        <v>31.364999999999998</v>
      </c>
      <c r="J38" t="s">
        <v>53</v>
      </c>
      <c r="K38">
        <v>0</v>
      </c>
      <c r="L38" t="s">
        <v>241</v>
      </c>
      <c r="M38" s="1" t="s">
        <v>242</v>
      </c>
      <c r="N38">
        <v>0.1</v>
      </c>
      <c r="O38" t="s">
        <v>56</v>
      </c>
      <c r="P38" t="s">
        <v>57</v>
      </c>
      <c r="Q38" t="s">
        <v>58</v>
      </c>
      <c r="R38" t="s">
        <v>59</v>
      </c>
      <c r="S38" t="s">
        <v>243</v>
      </c>
      <c r="T38" t="s">
        <v>61</v>
      </c>
      <c r="U38">
        <v>1.6633</v>
      </c>
      <c r="V38" t="s">
        <v>62</v>
      </c>
      <c r="W38">
        <v>0</v>
      </c>
      <c r="X38">
        <v>29.702000000000002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49</v>
      </c>
      <c r="AT38" t="s">
        <v>71</v>
      </c>
      <c r="AU38">
        <v>0</v>
      </c>
      <c r="AV38">
        <v>0</v>
      </c>
    </row>
    <row r="39" spans="1:48" x14ac:dyDescent="0.25">
      <c r="A39" t="s">
        <v>244</v>
      </c>
      <c r="B39" t="s">
        <v>105</v>
      </c>
      <c r="C39" t="s">
        <v>50</v>
      </c>
      <c r="D39">
        <v>440387.60009999998</v>
      </c>
      <c r="E39">
        <v>1827944.331</v>
      </c>
      <c r="F39">
        <v>31.719000000000001</v>
      </c>
      <c r="G39" t="s">
        <v>245</v>
      </c>
      <c r="H39" t="s">
        <v>52</v>
      </c>
      <c r="I39">
        <v>31.719000000000001</v>
      </c>
      <c r="J39" t="s">
        <v>53</v>
      </c>
      <c r="K39">
        <v>0</v>
      </c>
      <c r="L39" t="s">
        <v>246</v>
      </c>
      <c r="M39" t="s">
        <v>247</v>
      </c>
      <c r="N39">
        <v>-0.22500000000000001</v>
      </c>
      <c r="O39" t="s">
        <v>56</v>
      </c>
      <c r="P39" t="s">
        <v>57</v>
      </c>
      <c r="Q39" t="s">
        <v>59</v>
      </c>
      <c r="R39" t="s">
        <v>109</v>
      </c>
      <c r="S39" t="s">
        <v>248</v>
      </c>
      <c r="T39" t="s">
        <v>61</v>
      </c>
      <c r="U39">
        <v>1.4662999999999999</v>
      </c>
      <c r="V39" t="s">
        <v>62</v>
      </c>
      <c r="W39">
        <v>0</v>
      </c>
      <c r="X39">
        <v>30.253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111</v>
      </c>
      <c r="AG39" t="s">
        <v>65</v>
      </c>
      <c r="AH39" t="s">
        <v>65</v>
      </c>
      <c r="AI39" t="s">
        <v>67</v>
      </c>
      <c r="AK39" t="s">
        <v>66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105</v>
      </c>
      <c r="AT39" t="s">
        <v>71</v>
      </c>
      <c r="AU39">
        <v>0</v>
      </c>
      <c r="AV39">
        <v>0</v>
      </c>
    </row>
    <row r="40" spans="1:48" x14ac:dyDescent="0.25">
      <c r="A40" t="s">
        <v>249</v>
      </c>
      <c r="B40" t="s">
        <v>73</v>
      </c>
      <c r="C40" t="s">
        <v>50</v>
      </c>
      <c r="D40">
        <v>440595.1251</v>
      </c>
      <c r="E40">
        <v>1828032.6344999999</v>
      </c>
      <c r="F40">
        <v>31.79</v>
      </c>
      <c r="G40" t="s">
        <v>250</v>
      </c>
      <c r="H40" t="s">
        <v>52</v>
      </c>
      <c r="I40">
        <v>31.79</v>
      </c>
      <c r="J40" t="s">
        <v>53</v>
      </c>
      <c r="K40">
        <v>0</v>
      </c>
      <c r="L40" t="s">
        <v>251</v>
      </c>
      <c r="M40" t="s">
        <v>252</v>
      </c>
      <c r="N40">
        <v>-0.125</v>
      </c>
      <c r="O40" t="s">
        <v>56</v>
      </c>
      <c r="P40" t="s">
        <v>57</v>
      </c>
      <c r="Q40" t="s">
        <v>59</v>
      </c>
      <c r="R40" t="s">
        <v>58</v>
      </c>
      <c r="S40" t="s">
        <v>253</v>
      </c>
      <c r="T40" t="s">
        <v>61</v>
      </c>
      <c r="U40">
        <v>2.5834000000000001</v>
      </c>
      <c r="V40" t="s">
        <v>62</v>
      </c>
      <c r="W40">
        <v>0</v>
      </c>
      <c r="X40">
        <v>29.207000000000001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68</v>
      </c>
      <c r="AG40" t="s">
        <v>65</v>
      </c>
      <c r="AH40" t="s">
        <v>65</v>
      </c>
      <c r="AI40" t="s">
        <v>67</v>
      </c>
      <c r="AK40" t="s">
        <v>66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73</v>
      </c>
      <c r="AT40" t="s">
        <v>71</v>
      </c>
      <c r="AU40">
        <v>0</v>
      </c>
      <c r="AV40">
        <v>0</v>
      </c>
    </row>
    <row r="41" spans="1:48" x14ac:dyDescent="0.25">
      <c r="A41" t="s">
        <v>254</v>
      </c>
      <c r="B41" t="s">
        <v>105</v>
      </c>
      <c r="C41" t="s">
        <v>50</v>
      </c>
      <c r="D41">
        <v>440217.54979999998</v>
      </c>
      <c r="E41">
        <v>1828061.8285000001</v>
      </c>
      <c r="F41">
        <v>33.484000000000002</v>
      </c>
      <c r="G41" t="s">
        <v>255</v>
      </c>
      <c r="H41" t="s">
        <v>52</v>
      </c>
      <c r="I41">
        <v>33.484000000000002</v>
      </c>
      <c r="J41" t="s">
        <v>53</v>
      </c>
      <c r="K41">
        <v>0</v>
      </c>
      <c r="L41" t="s">
        <v>151</v>
      </c>
      <c r="M41" t="s">
        <v>256</v>
      </c>
      <c r="N41">
        <v>0.21290000000000001</v>
      </c>
      <c r="O41" t="s">
        <v>56</v>
      </c>
      <c r="P41" t="s">
        <v>57</v>
      </c>
      <c r="Q41" t="s">
        <v>59</v>
      </c>
      <c r="R41" t="s">
        <v>109</v>
      </c>
      <c r="S41" t="s">
        <v>257</v>
      </c>
      <c r="T41" t="s">
        <v>61</v>
      </c>
      <c r="U41">
        <v>2.0350000000000001</v>
      </c>
      <c r="V41" t="s">
        <v>62</v>
      </c>
      <c r="W41">
        <v>0</v>
      </c>
      <c r="X41">
        <v>31.449000000000002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111</v>
      </c>
      <c r="AG41" t="s">
        <v>65</v>
      </c>
      <c r="AH41" t="s">
        <v>65</v>
      </c>
      <c r="AI41" t="s">
        <v>67</v>
      </c>
      <c r="AK41" t="s">
        <v>66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105</v>
      </c>
      <c r="AT41" t="s">
        <v>71</v>
      </c>
      <c r="AU41">
        <v>0</v>
      </c>
      <c r="AV41">
        <v>0</v>
      </c>
    </row>
    <row r="42" spans="1:48" x14ac:dyDescent="0.25">
      <c r="A42" t="s">
        <v>258</v>
      </c>
      <c r="B42" t="s">
        <v>49</v>
      </c>
      <c r="C42" t="s">
        <v>50</v>
      </c>
      <c r="D42">
        <v>440581.12920000002</v>
      </c>
      <c r="E42">
        <v>1827894.4609000001</v>
      </c>
      <c r="F42">
        <v>30.364000000000001</v>
      </c>
      <c r="G42" t="s">
        <v>259</v>
      </c>
      <c r="H42" t="s">
        <v>52</v>
      </c>
      <c r="I42">
        <v>30.364000000000001</v>
      </c>
      <c r="J42" t="s">
        <v>53</v>
      </c>
      <c r="K42">
        <v>0</v>
      </c>
      <c r="L42" t="s">
        <v>260</v>
      </c>
      <c r="M42" t="s">
        <v>261</v>
      </c>
      <c r="N42">
        <v>-0.11840000000000001</v>
      </c>
      <c r="O42" t="s">
        <v>56</v>
      </c>
      <c r="P42" t="s">
        <v>57</v>
      </c>
      <c r="Q42" t="s">
        <v>58</v>
      </c>
      <c r="R42" t="s">
        <v>59</v>
      </c>
      <c r="S42" t="s">
        <v>262</v>
      </c>
      <c r="T42" t="s">
        <v>61</v>
      </c>
      <c r="U42">
        <v>1.6575</v>
      </c>
      <c r="V42" t="s">
        <v>62</v>
      </c>
      <c r="W42">
        <v>0</v>
      </c>
      <c r="X42">
        <v>28.706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49</v>
      </c>
      <c r="AT42" t="s">
        <v>71</v>
      </c>
      <c r="AU42">
        <v>0</v>
      </c>
      <c r="AV42">
        <v>0</v>
      </c>
    </row>
    <row r="43" spans="1:48" x14ac:dyDescent="0.25">
      <c r="A43" t="s">
        <v>263</v>
      </c>
      <c r="B43" t="s">
        <v>73</v>
      </c>
      <c r="C43" t="s">
        <v>50</v>
      </c>
      <c r="D43">
        <v>440520.1251</v>
      </c>
      <c r="E43">
        <v>1828018.6033999999</v>
      </c>
      <c r="F43">
        <v>31.853999999999999</v>
      </c>
      <c r="G43" t="s">
        <v>264</v>
      </c>
      <c r="H43" t="s">
        <v>52</v>
      </c>
      <c r="I43">
        <v>31.853999999999999</v>
      </c>
      <c r="J43" t="s">
        <v>53</v>
      </c>
      <c r="K43">
        <v>0</v>
      </c>
      <c r="L43" t="s">
        <v>265</v>
      </c>
      <c r="M43" t="s">
        <v>266</v>
      </c>
      <c r="N43">
        <v>-0.15</v>
      </c>
      <c r="O43" t="s">
        <v>56</v>
      </c>
      <c r="P43" t="s">
        <v>57</v>
      </c>
      <c r="Q43" t="s">
        <v>59</v>
      </c>
      <c r="R43" t="s">
        <v>58</v>
      </c>
      <c r="S43" t="s">
        <v>267</v>
      </c>
      <c r="T43" t="s">
        <v>61</v>
      </c>
      <c r="U43">
        <v>1.5054000000000001</v>
      </c>
      <c r="V43" t="s">
        <v>62</v>
      </c>
      <c r="W43">
        <v>0</v>
      </c>
      <c r="X43">
        <v>30.349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68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73</v>
      </c>
      <c r="AT43" t="s">
        <v>71</v>
      </c>
      <c r="AU43">
        <v>0</v>
      </c>
      <c r="AV43">
        <v>0</v>
      </c>
    </row>
    <row r="44" spans="1:48" x14ac:dyDescent="0.25">
      <c r="A44" t="s">
        <v>268</v>
      </c>
      <c r="B44" t="s">
        <v>105</v>
      </c>
      <c r="C44" t="s">
        <v>50</v>
      </c>
      <c r="D44">
        <v>440398.2501</v>
      </c>
      <c r="E44">
        <v>1828010.7342999999</v>
      </c>
      <c r="F44">
        <v>32.335999999999999</v>
      </c>
      <c r="G44" t="s">
        <v>269</v>
      </c>
      <c r="H44" t="s">
        <v>52</v>
      </c>
      <c r="I44">
        <v>32.335999999999999</v>
      </c>
      <c r="J44" t="s">
        <v>53</v>
      </c>
      <c r="K44">
        <v>0</v>
      </c>
      <c r="L44" t="s">
        <v>270</v>
      </c>
      <c r="M44" t="s">
        <v>271</v>
      </c>
      <c r="N44">
        <v>0.19</v>
      </c>
      <c r="O44" t="s">
        <v>56</v>
      </c>
      <c r="P44" t="s">
        <v>57</v>
      </c>
      <c r="Q44" t="s">
        <v>59</v>
      </c>
      <c r="R44" t="s">
        <v>109</v>
      </c>
      <c r="S44" t="s">
        <v>272</v>
      </c>
      <c r="T44" t="s">
        <v>61</v>
      </c>
      <c r="U44">
        <v>1.5613999999999999</v>
      </c>
      <c r="V44" t="s">
        <v>62</v>
      </c>
      <c r="W44">
        <v>0</v>
      </c>
      <c r="X44">
        <v>30.774999999999999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111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105</v>
      </c>
      <c r="AT44" t="s">
        <v>71</v>
      </c>
      <c r="AU44">
        <v>0</v>
      </c>
      <c r="AV44">
        <v>0</v>
      </c>
    </row>
    <row r="45" spans="1:48" x14ac:dyDescent="0.25">
      <c r="A45" t="s">
        <v>273</v>
      </c>
      <c r="B45" t="s">
        <v>73</v>
      </c>
      <c r="C45" t="s">
        <v>50</v>
      </c>
      <c r="D45">
        <v>440258.22489999997</v>
      </c>
      <c r="E45">
        <v>1827755.6129999999</v>
      </c>
      <c r="F45">
        <v>31.713999999999999</v>
      </c>
      <c r="G45" t="s">
        <v>274</v>
      </c>
      <c r="H45" t="s">
        <v>52</v>
      </c>
      <c r="I45">
        <v>31.713999999999999</v>
      </c>
      <c r="J45" t="s">
        <v>53</v>
      </c>
      <c r="K45">
        <v>0</v>
      </c>
      <c r="L45" t="s">
        <v>275</v>
      </c>
      <c r="M45" t="s">
        <v>276</v>
      </c>
      <c r="N45">
        <v>0.17150000000000001</v>
      </c>
      <c r="O45" t="s">
        <v>56</v>
      </c>
      <c r="P45" t="s">
        <v>57</v>
      </c>
      <c r="Q45" t="s">
        <v>59</v>
      </c>
      <c r="R45" t="s">
        <v>58</v>
      </c>
      <c r="S45" t="s">
        <v>277</v>
      </c>
      <c r="T45" t="s">
        <v>61</v>
      </c>
      <c r="U45">
        <v>1.5004</v>
      </c>
      <c r="V45" t="s">
        <v>62</v>
      </c>
      <c r="W45">
        <v>0</v>
      </c>
      <c r="X45">
        <v>30.213999999999999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73</v>
      </c>
      <c r="AT45" t="s">
        <v>71</v>
      </c>
      <c r="AU45">
        <v>0</v>
      </c>
      <c r="AV45">
        <v>0</v>
      </c>
    </row>
    <row r="46" spans="1:48" x14ac:dyDescent="0.25">
      <c r="A46" t="s">
        <v>278</v>
      </c>
      <c r="B46" t="s">
        <v>73</v>
      </c>
      <c r="C46" t="s">
        <v>50</v>
      </c>
      <c r="D46">
        <v>440314.42489999998</v>
      </c>
      <c r="E46">
        <v>1827746.6684000001</v>
      </c>
      <c r="F46">
        <v>31.04</v>
      </c>
      <c r="G46" t="s">
        <v>279</v>
      </c>
      <c r="H46" t="s">
        <v>52</v>
      </c>
      <c r="I46">
        <v>31.04</v>
      </c>
      <c r="J46" t="s">
        <v>53</v>
      </c>
      <c r="K46">
        <v>0</v>
      </c>
      <c r="L46" t="s">
        <v>156</v>
      </c>
      <c r="M46" s="1" t="s">
        <v>280</v>
      </c>
      <c r="N46">
        <v>-0.123</v>
      </c>
      <c r="O46" t="s">
        <v>56</v>
      </c>
      <c r="P46" t="s">
        <v>57</v>
      </c>
      <c r="Q46" t="s">
        <v>59</v>
      </c>
      <c r="R46" t="s">
        <v>58</v>
      </c>
      <c r="S46" t="s">
        <v>281</v>
      </c>
      <c r="T46" t="s">
        <v>61</v>
      </c>
      <c r="U46">
        <v>1.7023999999999999</v>
      </c>
      <c r="V46" t="s">
        <v>62</v>
      </c>
      <c r="W46">
        <v>0</v>
      </c>
      <c r="X46">
        <v>29.338000000000001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66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73</v>
      </c>
      <c r="AT46" t="s">
        <v>71</v>
      </c>
      <c r="AU46">
        <v>0</v>
      </c>
      <c r="AV46">
        <v>0</v>
      </c>
    </row>
    <row r="47" spans="1:48" x14ac:dyDescent="0.25">
      <c r="A47" t="s">
        <v>282</v>
      </c>
      <c r="B47" t="s">
        <v>73</v>
      </c>
      <c r="C47" t="s">
        <v>50</v>
      </c>
      <c r="D47">
        <v>440258.22489999997</v>
      </c>
      <c r="E47">
        <v>1827633.3661</v>
      </c>
      <c r="F47">
        <v>31.434000000000001</v>
      </c>
      <c r="G47" t="s">
        <v>283</v>
      </c>
      <c r="H47" t="s">
        <v>52</v>
      </c>
      <c r="I47">
        <v>31.434000000000001</v>
      </c>
      <c r="J47" t="s">
        <v>53</v>
      </c>
      <c r="K47">
        <v>0</v>
      </c>
      <c r="L47" t="s">
        <v>275</v>
      </c>
      <c r="M47" s="1" t="s">
        <v>284</v>
      </c>
      <c r="N47">
        <v>0.17150000000000001</v>
      </c>
      <c r="O47" t="s">
        <v>56</v>
      </c>
      <c r="P47" t="s">
        <v>57</v>
      </c>
      <c r="Q47" t="s">
        <v>59</v>
      </c>
      <c r="R47" t="s">
        <v>58</v>
      </c>
      <c r="S47" t="s">
        <v>285</v>
      </c>
      <c r="T47" t="s">
        <v>61</v>
      </c>
      <c r="U47">
        <v>1.4601999999999999</v>
      </c>
      <c r="V47" t="s">
        <v>62</v>
      </c>
      <c r="W47">
        <v>0</v>
      </c>
      <c r="X47">
        <v>29.974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73</v>
      </c>
      <c r="AT47" t="s">
        <v>71</v>
      </c>
      <c r="AU47">
        <v>0</v>
      </c>
      <c r="AV47">
        <v>0</v>
      </c>
    </row>
    <row r="48" spans="1:48" x14ac:dyDescent="0.25">
      <c r="A48" t="s">
        <v>286</v>
      </c>
      <c r="B48" t="s">
        <v>73</v>
      </c>
      <c r="C48" t="s">
        <v>50</v>
      </c>
      <c r="D48">
        <v>440314.42489999998</v>
      </c>
      <c r="E48">
        <v>1827462.58</v>
      </c>
      <c r="F48">
        <v>31.457000000000001</v>
      </c>
      <c r="G48" t="s">
        <v>287</v>
      </c>
      <c r="H48" t="s">
        <v>52</v>
      </c>
      <c r="I48">
        <v>31.457000000000001</v>
      </c>
      <c r="J48" t="s">
        <v>53</v>
      </c>
      <c r="K48">
        <v>0</v>
      </c>
      <c r="L48" t="s">
        <v>288</v>
      </c>
      <c r="M48" s="1" t="s">
        <v>289</v>
      </c>
      <c r="N48">
        <v>-2.5999999999999999E-2</v>
      </c>
      <c r="O48" t="s">
        <v>56</v>
      </c>
      <c r="P48" t="s">
        <v>57</v>
      </c>
      <c r="Q48" t="s">
        <v>59</v>
      </c>
      <c r="R48" t="s">
        <v>58</v>
      </c>
      <c r="S48" t="s">
        <v>290</v>
      </c>
      <c r="T48" t="s">
        <v>61</v>
      </c>
      <c r="U48">
        <v>1.4847999999999999</v>
      </c>
      <c r="V48" t="s">
        <v>62</v>
      </c>
      <c r="W48">
        <v>0</v>
      </c>
      <c r="X48">
        <v>29.972000000000001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73</v>
      </c>
      <c r="AT48" t="s">
        <v>71</v>
      </c>
      <c r="AU48">
        <v>0</v>
      </c>
      <c r="AV48">
        <v>0</v>
      </c>
    </row>
    <row r="49" spans="1:48" x14ac:dyDescent="0.25">
      <c r="A49" t="s">
        <v>291</v>
      </c>
      <c r="B49" t="s">
        <v>73</v>
      </c>
      <c r="C49" t="s">
        <v>50</v>
      </c>
      <c r="D49">
        <v>440183.22489999997</v>
      </c>
      <c r="E49">
        <v>1827467.4001</v>
      </c>
      <c r="F49">
        <v>32.174999999999997</v>
      </c>
      <c r="G49" t="s">
        <v>292</v>
      </c>
      <c r="H49" t="s">
        <v>52</v>
      </c>
      <c r="I49">
        <v>32.174999999999997</v>
      </c>
      <c r="J49" t="s">
        <v>53</v>
      </c>
      <c r="K49">
        <v>0</v>
      </c>
      <c r="L49" t="s">
        <v>293</v>
      </c>
      <c r="M49" t="s">
        <v>294</v>
      </c>
      <c r="N49">
        <v>-0.1953</v>
      </c>
      <c r="O49" t="s">
        <v>56</v>
      </c>
      <c r="P49" t="s">
        <v>57</v>
      </c>
      <c r="Q49" t="s">
        <v>59</v>
      </c>
      <c r="R49" t="s">
        <v>58</v>
      </c>
      <c r="S49" t="s">
        <v>295</v>
      </c>
      <c r="T49" t="s">
        <v>61</v>
      </c>
      <c r="U49">
        <v>1.488</v>
      </c>
      <c r="V49" t="s">
        <v>62</v>
      </c>
      <c r="W49">
        <v>0</v>
      </c>
      <c r="X49">
        <v>30.687000000000001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73</v>
      </c>
      <c r="AT49" t="s">
        <v>71</v>
      </c>
      <c r="AU49">
        <v>0</v>
      </c>
      <c r="AV49">
        <v>0</v>
      </c>
    </row>
    <row r="50" spans="1:48" x14ac:dyDescent="0.25">
      <c r="A50" t="s">
        <v>296</v>
      </c>
      <c r="B50" t="s">
        <v>73</v>
      </c>
      <c r="C50" t="s">
        <v>50</v>
      </c>
      <c r="D50">
        <v>440192.6249</v>
      </c>
      <c r="E50">
        <v>1827467.5743</v>
      </c>
      <c r="F50">
        <v>32.173999999999999</v>
      </c>
      <c r="G50" t="s">
        <v>297</v>
      </c>
      <c r="H50" t="s">
        <v>52</v>
      </c>
      <c r="I50">
        <v>32.173999999999999</v>
      </c>
      <c r="J50" t="s">
        <v>53</v>
      </c>
      <c r="K50">
        <v>0</v>
      </c>
      <c r="L50" t="s">
        <v>298</v>
      </c>
      <c r="M50" t="s">
        <v>299</v>
      </c>
      <c r="N50">
        <v>0</v>
      </c>
      <c r="O50" t="s">
        <v>56</v>
      </c>
      <c r="P50" t="s">
        <v>57</v>
      </c>
      <c r="Q50" t="s">
        <v>59</v>
      </c>
      <c r="R50" t="s">
        <v>58</v>
      </c>
      <c r="S50" t="s">
        <v>300</v>
      </c>
      <c r="T50" t="s">
        <v>61</v>
      </c>
      <c r="U50">
        <v>1.4869000000000001</v>
      </c>
      <c r="V50" t="s">
        <v>62</v>
      </c>
      <c r="W50">
        <v>0</v>
      </c>
      <c r="X50">
        <v>30.687000000000001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73</v>
      </c>
      <c r="AT50" t="s">
        <v>71</v>
      </c>
      <c r="AU50">
        <v>0</v>
      </c>
      <c r="AV50">
        <v>0</v>
      </c>
    </row>
    <row r="51" spans="1:48" x14ac:dyDescent="0.25">
      <c r="A51" t="s">
        <v>301</v>
      </c>
      <c r="B51" t="s">
        <v>73</v>
      </c>
      <c r="C51" t="s">
        <v>50</v>
      </c>
      <c r="D51">
        <v>440192.6249</v>
      </c>
      <c r="E51">
        <v>1827518.4265000001</v>
      </c>
      <c r="F51">
        <v>31.827999999999999</v>
      </c>
      <c r="G51" t="s">
        <v>302</v>
      </c>
      <c r="H51" t="s">
        <v>52</v>
      </c>
      <c r="I51">
        <v>31.827999999999999</v>
      </c>
      <c r="J51" t="s">
        <v>53</v>
      </c>
      <c r="K51">
        <v>0</v>
      </c>
      <c r="L51" t="s">
        <v>298</v>
      </c>
      <c r="M51" t="s">
        <v>303</v>
      </c>
      <c r="N51">
        <v>0</v>
      </c>
      <c r="O51" t="s">
        <v>56</v>
      </c>
      <c r="P51" t="s">
        <v>57</v>
      </c>
      <c r="Q51" t="s">
        <v>59</v>
      </c>
      <c r="R51" t="s">
        <v>58</v>
      </c>
      <c r="S51" t="s">
        <v>304</v>
      </c>
      <c r="T51" t="s">
        <v>61</v>
      </c>
      <c r="U51">
        <v>1.6431</v>
      </c>
      <c r="V51" t="s">
        <v>62</v>
      </c>
      <c r="W51">
        <v>0</v>
      </c>
      <c r="X51">
        <v>30.184999999999999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73</v>
      </c>
      <c r="AT51" t="s">
        <v>71</v>
      </c>
      <c r="AU51">
        <v>0</v>
      </c>
      <c r="AV51">
        <v>0</v>
      </c>
    </row>
    <row r="52" spans="1:48" x14ac:dyDescent="0.25">
      <c r="A52" t="s">
        <v>305</v>
      </c>
      <c r="B52" t="s">
        <v>73</v>
      </c>
      <c r="C52" t="s">
        <v>50</v>
      </c>
      <c r="D52">
        <v>440127.02500000002</v>
      </c>
      <c r="E52">
        <v>1827518.3991</v>
      </c>
      <c r="F52">
        <v>32.414000000000001</v>
      </c>
      <c r="G52" t="s">
        <v>306</v>
      </c>
      <c r="H52" t="s">
        <v>52</v>
      </c>
      <c r="I52">
        <v>32.414000000000001</v>
      </c>
      <c r="J52" t="s">
        <v>53</v>
      </c>
      <c r="K52">
        <v>0</v>
      </c>
      <c r="L52" t="s">
        <v>307</v>
      </c>
      <c r="M52" t="s">
        <v>308</v>
      </c>
      <c r="N52">
        <v>-2.1700000000000001E-2</v>
      </c>
      <c r="O52" t="s">
        <v>56</v>
      </c>
      <c r="P52" t="s">
        <v>57</v>
      </c>
      <c r="Q52" t="s">
        <v>59</v>
      </c>
      <c r="R52" t="s">
        <v>58</v>
      </c>
      <c r="S52" t="s">
        <v>309</v>
      </c>
      <c r="T52" t="s">
        <v>61</v>
      </c>
      <c r="U52">
        <v>1.9906999999999999</v>
      </c>
      <c r="V52" t="s">
        <v>62</v>
      </c>
      <c r="W52">
        <v>0</v>
      </c>
      <c r="X52">
        <v>30.422999999999998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66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73</v>
      </c>
      <c r="AT52" t="s">
        <v>71</v>
      </c>
      <c r="AU52">
        <v>0</v>
      </c>
      <c r="AV52">
        <v>0</v>
      </c>
    </row>
    <row r="53" spans="1:48" x14ac:dyDescent="0.25">
      <c r="A53" t="s">
        <v>310</v>
      </c>
      <c r="B53" t="s">
        <v>73</v>
      </c>
      <c r="C53" t="s">
        <v>50</v>
      </c>
      <c r="D53">
        <v>440127.02500000002</v>
      </c>
      <c r="E53">
        <v>1827442.9679</v>
      </c>
      <c r="F53">
        <v>32.798000000000002</v>
      </c>
      <c r="G53" t="s">
        <v>311</v>
      </c>
      <c r="H53" t="s">
        <v>52</v>
      </c>
      <c r="I53">
        <v>32.798000000000002</v>
      </c>
      <c r="J53" t="s">
        <v>53</v>
      </c>
      <c r="K53">
        <v>0</v>
      </c>
      <c r="L53" t="s">
        <v>307</v>
      </c>
      <c r="M53" t="s">
        <v>312</v>
      </c>
      <c r="N53">
        <v>-3.8E-3</v>
      </c>
      <c r="O53" t="s">
        <v>56</v>
      </c>
      <c r="P53" t="s">
        <v>57</v>
      </c>
      <c r="Q53" t="s">
        <v>59</v>
      </c>
      <c r="R53" t="s">
        <v>58</v>
      </c>
      <c r="S53" t="s">
        <v>313</v>
      </c>
      <c r="T53" t="s">
        <v>61</v>
      </c>
      <c r="U53">
        <v>1.5378000000000001</v>
      </c>
      <c r="V53" t="s">
        <v>62</v>
      </c>
      <c r="W53">
        <v>0</v>
      </c>
      <c r="X53">
        <v>31.26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73</v>
      </c>
      <c r="AT53" t="s">
        <v>71</v>
      </c>
      <c r="AU53">
        <v>0</v>
      </c>
      <c r="AV53">
        <v>0</v>
      </c>
    </row>
    <row r="54" spans="1:48" x14ac:dyDescent="0.25">
      <c r="A54" t="s">
        <v>314</v>
      </c>
      <c r="B54" t="s">
        <v>73</v>
      </c>
      <c r="C54" t="s">
        <v>50</v>
      </c>
      <c r="D54">
        <v>439938.72519999999</v>
      </c>
      <c r="E54">
        <v>1827517.8998</v>
      </c>
      <c r="F54">
        <v>33.524999999999999</v>
      </c>
      <c r="G54" t="s">
        <v>315</v>
      </c>
      <c r="H54" t="s">
        <v>52</v>
      </c>
      <c r="I54">
        <v>33.524999999999999</v>
      </c>
      <c r="J54" t="s">
        <v>53</v>
      </c>
      <c r="K54">
        <v>0</v>
      </c>
      <c r="L54" t="s">
        <v>75</v>
      </c>
      <c r="M54" t="s">
        <v>316</v>
      </c>
      <c r="N54">
        <v>-1.2999999999999999E-3</v>
      </c>
      <c r="O54" t="s">
        <v>56</v>
      </c>
      <c r="P54" t="s">
        <v>57</v>
      </c>
      <c r="Q54" t="s">
        <v>59</v>
      </c>
      <c r="R54" t="s">
        <v>58</v>
      </c>
      <c r="S54" t="s">
        <v>317</v>
      </c>
      <c r="T54" t="s">
        <v>61</v>
      </c>
      <c r="U54">
        <v>2.1821999999999999</v>
      </c>
      <c r="V54" t="s">
        <v>62</v>
      </c>
      <c r="W54">
        <v>0</v>
      </c>
      <c r="X54">
        <v>31.343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73</v>
      </c>
      <c r="AT54" t="s">
        <v>71</v>
      </c>
      <c r="AU54">
        <v>0</v>
      </c>
      <c r="AV54">
        <v>0</v>
      </c>
    </row>
    <row r="55" spans="1:48" x14ac:dyDescent="0.25">
      <c r="A55" t="s">
        <v>318</v>
      </c>
      <c r="B55" t="s">
        <v>73</v>
      </c>
      <c r="C55" t="s">
        <v>50</v>
      </c>
      <c r="D55">
        <v>439929.32520000002</v>
      </c>
      <c r="E55">
        <v>1827286.0127999999</v>
      </c>
      <c r="F55">
        <v>34.593000000000004</v>
      </c>
      <c r="G55" t="s">
        <v>319</v>
      </c>
      <c r="H55" t="s">
        <v>52</v>
      </c>
      <c r="I55">
        <v>34.593000000000004</v>
      </c>
      <c r="J55" t="s">
        <v>53</v>
      </c>
      <c r="K55">
        <v>0</v>
      </c>
      <c r="L55" t="s">
        <v>320</v>
      </c>
      <c r="M55" t="s">
        <v>321</v>
      </c>
      <c r="N55">
        <v>-0.20480000000000001</v>
      </c>
      <c r="O55" t="s">
        <v>56</v>
      </c>
      <c r="P55" t="s">
        <v>57</v>
      </c>
      <c r="Q55" t="s">
        <v>59</v>
      </c>
      <c r="R55" t="s">
        <v>58</v>
      </c>
      <c r="S55" t="s">
        <v>322</v>
      </c>
      <c r="T55" t="s">
        <v>61</v>
      </c>
      <c r="U55">
        <v>1.456</v>
      </c>
      <c r="V55" t="s">
        <v>62</v>
      </c>
      <c r="W55">
        <v>0</v>
      </c>
      <c r="X55">
        <v>33.137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73</v>
      </c>
      <c r="AT55" t="s">
        <v>71</v>
      </c>
      <c r="AU55">
        <v>0</v>
      </c>
      <c r="AV55">
        <v>0</v>
      </c>
    </row>
    <row r="56" spans="1:48" x14ac:dyDescent="0.25">
      <c r="A56" t="s">
        <v>323</v>
      </c>
      <c r="B56" t="s">
        <v>73</v>
      </c>
      <c r="C56" t="s">
        <v>50</v>
      </c>
      <c r="D56">
        <v>439938.72519999999</v>
      </c>
      <c r="E56">
        <v>1827285.3596999999</v>
      </c>
      <c r="F56">
        <v>34.594999999999999</v>
      </c>
      <c r="G56" t="s">
        <v>324</v>
      </c>
      <c r="H56" t="s">
        <v>52</v>
      </c>
      <c r="I56">
        <v>34.594999999999999</v>
      </c>
      <c r="J56" t="s">
        <v>53</v>
      </c>
      <c r="K56">
        <v>0</v>
      </c>
      <c r="L56" t="s">
        <v>75</v>
      </c>
      <c r="M56" s="1" t="s">
        <v>325</v>
      </c>
      <c r="N56">
        <v>-1.2999999999999999E-3</v>
      </c>
      <c r="O56" t="s">
        <v>56</v>
      </c>
      <c r="P56" t="s">
        <v>57</v>
      </c>
      <c r="Q56" t="s">
        <v>59</v>
      </c>
      <c r="R56" t="s">
        <v>58</v>
      </c>
      <c r="S56" t="s">
        <v>326</v>
      </c>
      <c r="T56" t="s">
        <v>61</v>
      </c>
      <c r="U56">
        <v>1.4555</v>
      </c>
      <c r="V56" t="s">
        <v>62</v>
      </c>
      <c r="W56">
        <v>0</v>
      </c>
      <c r="X56">
        <v>33.139000000000003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73</v>
      </c>
      <c r="AT56" t="s">
        <v>71</v>
      </c>
      <c r="AU56">
        <v>0</v>
      </c>
      <c r="AV56">
        <v>0</v>
      </c>
    </row>
    <row r="57" spans="1:48" x14ac:dyDescent="0.25">
      <c r="A57" t="s">
        <v>327</v>
      </c>
      <c r="B57" t="s">
        <v>73</v>
      </c>
      <c r="C57" t="s">
        <v>50</v>
      </c>
      <c r="D57">
        <v>439929.32520000002</v>
      </c>
      <c r="E57">
        <v>1827319.4405</v>
      </c>
      <c r="F57">
        <v>34.515999999999998</v>
      </c>
      <c r="G57" t="s">
        <v>328</v>
      </c>
      <c r="H57" t="s">
        <v>52</v>
      </c>
      <c r="I57">
        <v>34.515999999999998</v>
      </c>
      <c r="J57" t="s">
        <v>53</v>
      </c>
      <c r="K57">
        <v>0</v>
      </c>
      <c r="L57" t="s">
        <v>320</v>
      </c>
      <c r="M57" s="1" t="s">
        <v>329</v>
      </c>
      <c r="N57">
        <v>-0.20480000000000001</v>
      </c>
      <c r="O57" t="s">
        <v>56</v>
      </c>
      <c r="P57" t="s">
        <v>57</v>
      </c>
      <c r="Q57" t="s">
        <v>59</v>
      </c>
      <c r="R57" t="s">
        <v>58</v>
      </c>
      <c r="S57" t="s">
        <v>330</v>
      </c>
      <c r="T57" t="s">
        <v>61</v>
      </c>
      <c r="U57">
        <v>1.4539</v>
      </c>
      <c r="V57" t="s">
        <v>62</v>
      </c>
      <c r="W57">
        <v>0</v>
      </c>
      <c r="X57">
        <v>33.061999999999998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73</v>
      </c>
      <c r="AT57" t="s">
        <v>71</v>
      </c>
      <c r="AU57">
        <v>0</v>
      </c>
      <c r="AV57">
        <v>0</v>
      </c>
    </row>
    <row r="58" spans="1:48" x14ac:dyDescent="0.25">
      <c r="A58" t="s">
        <v>331</v>
      </c>
      <c r="B58" t="s">
        <v>73</v>
      </c>
      <c r="C58" t="s">
        <v>50</v>
      </c>
      <c r="D58">
        <v>440183.22489999997</v>
      </c>
      <c r="E58">
        <v>1827314.5144</v>
      </c>
      <c r="F58">
        <v>32.85</v>
      </c>
      <c r="G58" t="s">
        <v>332</v>
      </c>
      <c r="H58" t="s">
        <v>52</v>
      </c>
      <c r="I58">
        <v>32.85</v>
      </c>
      <c r="J58" t="s">
        <v>53</v>
      </c>
      <c r="K58">
        <v>0</v>
      </c>
      <c r="L58" t="s">
        <v>333</v>
      </c>
      <c r="M58" t="s">
        <v>334</v>
      </c>
      <c r="N58">
        <v>-0.17419999999999999</v>
      </c>
      <c r="O58" t="s">
        <v>56</v>
      </c>
      <c r="P58" t="s">
        <v>57</v>
      </c>
      <c r="Q58" t="s">
        <v>59</v>
      </c>
      <c r="R58" t="s">
        <v>58</v>
      </c>
      <c r="S58" t="s">
        <v>335</v>
      </c>
      <c r="T58" t="s">
        <v>61</v>
      </c>
      <c r="U58">
        <v>1.4703999999999999</v>
      </c>
      <c r="V58" t="s">
        <v>62</v>
      </c>
      <c r="W58">
        <v>0</v>
      </c>
      <c r="X58">
        <v>31.38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73</v>
      </c>
      <c r="AT58" t="s">
        <v>71</v>
      </c>
      <c r="AU58">
        <v>0</v>
      </c>
      <c r="AV58">
        <v>0</v>
      </c>
    </row>
    <row r="59" spans="1:48" x14ac:dyDescent="0.25">
      <c r="A59" t="s">
        <v>336</v>
      </c>
      <c r="B59" t="s">
        <v>73</v>
      </c>
      <c r="C59" t="s">
        <v>50</v>
      </c>
      <c r="D59">
        <v>440258.22489999997</v>
      </c>
      <c r="E59">
        <v>1827335.0138999999</v>
      </c>
      <c r="F59">
        <v>32.448999999999998</v>
      </c>
      <c r="G59" t="s">
        <v>337</v>
      </c>
      <c r="H59" t="s">
        <v>52</v>
      </c>
      <c r="I59">
        <v>32.448999999999998</v>
      </c>
      <c r="J59" t="s">
        <v>53</v>
      </c>
      <c r="K59">
        <v>0</v>
      </c>
      <c r="L59" t="s">
        <v>338</v>
      </c>
      <c r="M59" t="s">
        <v>339</v>
      </c>
      <c r="N59">
        <v>0.15</v>
      </c>
      <c r="O59" t="s">
        <v>56</v>
      </c>
      <c r="P59" t="s">
        <v>57</v>
      </c>
      <c r="Q59" t="s">
        <v>59</v>
      </c>
      <c r="R59" t="s">
        <v>58</v>
      </c>
      <c r="S59" t="s">
        <v>340</v>
      </c>
      <c r="T59" t="s">
        <v>61</v>
      </c>
      <c r="U59">
        <v>1.5066999999999999</v>
      </c>
      <c r="V59" t="s">
        <v>62</v>
      </c>
      <c r="W59">
        <v>0</v>
      </c>
      <c r="X59">
        <v>30.942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73</v>
      </c>
      <c r="AT59" t="s">
        <v>71</v>
      </c>
      <c r="AU59">
        <v>0</v>
      </c>
      <c r="AV59">
        <v>0</v>
      </c>
    </row>
    <row r="60" spans="1:48" x14ac:dyDescent="0.25">
      <c r="A60" t="s">
        <v>341</v>
      </c>
      <c r="B60" t="s">
        <v>73</v>
      </c>
      <c r="C60" t="s">
        <v>50</v>
      </c>
      <c r="D60">
        <v>440314.42489999998</v>
      </c>
      <c r="E60">
        <v>1827315.3658</v>
      </c>
      <c r="F60">
        <v>32.027999999999999</v>
      </c>
      <c r="G60" t="s">
        <v>342</v>
      </c>
      <c r="H60" t="s">
        <v>52</v>
      </c>
      <c r="I60">
        <v>32.027999999999999</v>
      </c>
      <c r="J60" t="s">
        <v>53</v>
      </c>
      <c r="K60">
        <v>0</v>
      </c>
      <c r="L60" t="s">
        <v>343</v>
      </c>
      <c r="M60" t="s">
        <v>344</v>
      </c>
      <c r="N60">
        <v>-7.4999999999999997E-2</v>
      </c>
      <c r="O60" t="s">
        <v>56</v>
      </c>
      <c r="P60" t="s">
        <v>57</v>
      </c>
      <c r="Q60" t="s">
        <v>59</v>
      </c>
      <c r="R60" t="s">
        <v>58</v>
      </c>
      <c r="S60" t="s">
        <v>345</v>
      </c>
      <c r="T60" t="s">
        <v>61</v>
      </c>
      <c r="U60">
        <v>1.4658</v>
      </c>
      <c r="V60" t="s">
        <v>62</v>
      </c>
      <c r="W60">
        <v>0</v>
      </c>
      <c r="X60">
        <v>30.562000000000001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73</v>
      </c>
      <c r="AT60" t="s">
        <v>71</v>
      </c>
      <c r="AU60">
        <v>0</v>
      </c>
      <c r="AV60">
        <v>0</v>
      </c>
    </row>
    <row r="61" spans="1:48" x14ac:dyDescent="0.25">
      <c r="A61" t="s">
        <v>346</v>
      </c>
      <c r="B61" t="s">
        <v>49</v>
      </c>
      <c r="C61" t="s">
        <v>50</v>
      </c>
      <c r="D61">
        <v>440370.39889999997</v>
      </c>
      <c r="E61">
        <v>1827384.4486</v>
      </c>
      <c r="F61">
        <v>31.533999999999999</v>
      </c>
      <c r="G61" t="s">
        <v>347</v>
      </c>
      <c r="H61" t="s">
        <v>52</v>
      </c>
      <c r="I61">
        <v>31.533999999999999</v>
      </c>
      <c r="J61" t="s">
        <v>53</v>
      </c>
      <c r="K61">
        <v>0</v>
      </c>
      <c r="L61" t="s">
        <v>54</v>
      </c>
      <c r="M61" t="s">
        <v>348</v>
      </c>
      <c r="N61">
        <v>-7.4999999999999997E-2</v>
      </c>
      <c r="O61" t="s">
        <v>56</v>
      </c>
      <c r="P61" t="s">
        <v>57</v>
      </c>
      <c r="Q61" t="s">
        <v>58</v>
      </c>
      <c r="R61" t="s">
        <v>59</v>
      </c>
      <c r="S61" t="s">
        <v>349</v>
      </c>
      <c r="T61" t="s">
        <v>61</v>
      </c>
      <c r="U61">
        <v>2.4277000000000002</v>
      </c>
      <c r="V61" t="s">
        <v>62</v>
      </c>
      <c r="W61">
        <v>0</v>
      </c>
      <c r="X61">
        <v>29.106000000000002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67</v>
      </c>
      <c r="AK61" t="s">
        <v>68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49</v>
      </c>
      <c r="AT61" t="s">
        <v>71</v>
      </c>
      <c r="AU61">
        <v>0</v>
      </c>
      <c r="AV61">
        <v>0</v>
      </c>
    </row>
    <row r="62" spans="1:48" x14ac:dyDescent="0.25">
      <c r="A62" t="s">
        <v>350</v>
      </c>
      <c r="B62" t="s">
        <v>73</v>
      </c>
      <c r="C62" t="s">
        <v>50</v>
      </c>
      <c r="D62">
        <v>440529.52510000003</v>
      </c>
      <c r="E62">
        <v>1827315.2164</v>
      </c>
      <c r="F62">
        <v>30.731000000000002</v>
      </c>
      <c r="G62" t="s">
        <v>351</v>
      </c>
      <c r="H62" t="s">
        <v>52</v>
      </c>
      <c r="I62">
        <v>30.731000000000002</v>
      </c>
      <c r="J62" t="s">
        <v>53</v>
      </c>
      <c r="K62">
        <v>0</v>
      </c>
      <c r="L62" t="s">
        <v>352</v>
      </c>
      <c r="M62" t="s">
        <v>353</v>
      </c>
      <c r="N62">
        <v>0.15</v>
      </c>
      <c r="O62" t="s">
        <v>56</v>
      </c>
      <c r="P62" t="s">
        <v>57</v>
      </c>
      <c r="Q62" t="s">
        <v>59</v>
      </c>
      <c r="R62" t="s">
        <v>58</v>
      </c>
      <c r="S62" t="s">
        <v>354</v>
      </c>
      <c r="T62" t="s">
        <v>61</v>
      </c>
      <c r="U62">
        <v>1.4657</v>
      </c>
      <c r="V62" t="s">
        <v>62</v>
      </c>
      <c r="W62">
        <v>0</v>
      </c>
      <c r="X62">
        <v>29.265000000000001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73</v>
      </c>
      <c r="AT62" t="s">
        <v>71</v>
      </c>
      <c r="AU62">
        <v>0</v>
      </c>
      <c r="AV62">
        <v>0</v>
      </c>
    </row>
    <row r="63" spans="1:48" x14ac:dyDescent="0.25">
      <c r="A63" t="s">
        <v>355</v>
      </c>
      <c r="B63" t="s">
        <v>73</v>
      </c>
      <c r="C63" t="s">
        <v>50</v>
      </c>
      <c r="D63">
        <v>440585.72509999998</v>
      </c>
      <c r="E63">
        <v>1827315.0294000001</v>
      </c>
      <c r="F63">
        <v>30.553000000000001</v>
      </c>
      <c r="G63" t="s">
        <v>356</v>
      </c>
      <c r="H63" t="s">
        <v>52</v>
      </c>
      <c r="I63">
        <v>30.553000000000001</v>
      </c>
      <c r="J63" t="s">
        <v>53</v>
      </c>
      <c r="K63">
        <v>0</v>
      </c>
      <c r="L63" t="s">
        <v>357</v>
      </c>
      <c r="M63" t="s">
        <v>358</v>
      </c>
      <c r="N63">
        <v>-2.2499999999999999E-2</v>
      </c>
      <c r="O63" t="s">
        <v>56</v>
      </c>
      <c r="P63" t="s">
        <v>57</v>
      </c>
      <c r="Q63" t="s">
        <v>59</v>
      </c>
      <c r="R63" t="s">
        <v>58</v>
      </c>
      <c r="S63" t="s">
        <v>359</v>
      </c>
      <c r="T63" t="s">
        <v>61</v>
      </c>
      <c r="U63">
        <v>1.5031000000000001</v>
      </c>
      <c r="V63" t="s">
        <v>62</v>
      </c>
      <c r="W63">
        <v>0</v>
      </c>
      <c r="X63">
        <v>29.05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73</v>
      </c>
      <c r="AT63" t="s">
        <v>71</v>
      </c>
      <c r="AU63">
        <v>0</v>
      </c>
      <c r="AV63">
        <v>0</v>
      </c>
    </row>
    <row r="64" spans="1:48" x14ac:dyDescent="0.25">
      <c r="A64" t="s">
        <v>360</v>
      </c>
      <c r="B64" t="s">
        <v>73</v>
      </c>
      <c r="C64" t="s">
        <v>50</v>
      </c>
      <c r="D64">
        <v>440529.52510000003</v>
      </c>
      <c r="E64">
        <v>1827479.7298000001</v>
      </c>
      <c r="F64">
        <v>29.785</v>
      </c>
      <c r="G64" t="s">
        <v>361</v>
      </c>
      <c r="H64" t="s">
        <v>52</v>
      </c>
      <c r="I64">
        <v>29.785</v>
      </c>
      <c r="J64" t="s">
        <v>53</v>
      </c>
      <c r="K64">
        <v>0</v>
      </c>
      <c r="L64" t="s">
        <v>362</v>
      </c>
      <c r="M64" t="s">
        <v>363</v>
      </c>
      <c r="N64">
        <v>0.15</v>
      </c>
      <c r="O64" t="s">
        <v>56</v>
      </c>
      <c r="P64" t="s">
        <v>57</v>
      </c>
      <c r="Q64" t="s">
        <v>59</v>
      </c>
      <c r="R64" t="s">
        <v>58</v>
      </c>
      <c r="S64" t="s">
        <v>364</v>
      </c>
      <c r="T64" t="s">
        <v>61</v>
      </c>
      <c r="U64">
        <v>1.5825</v>
      </c>
      <c r="V64" t="s">
        <v>62</v>
      </c>
      <c r="W64">
        <v>0</v>
      </c>
      <c r="X64">
        <v>28.202000000000002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73</v>
      </c>
      <c r="AT64" t="s">
        <v>71</v>
      </c>
      <c r="AU64">
        <v>0</v>
      </c>
      <c r="AV64">
        <v>0</v>
      </c>
    </row>
    <row r="65" spans="1:48" x14ac:dyDescent="0.25">
      <c r="A65" t="s">
        <v>365</v>
      </c>
      <c r="B65" t="s">
        <v>73</v>
      </c>
      <c r="C65" t="s">
        <v>50</v>
      </c>
      <c r="D65">
        <v>440258.22489999997</v>
      </c>
      <c r="E65">
        <v>1827518.6498</v>
      </c>
      <c r="F65">
        <v>31.73</v>
      </c>
      <c r="G65" t="s">
        <v>366</v>
      </c>
      <c r="H65" t="s">
        <v>52</v>
      </c>
      <c r="I65">
        <v>31.73</v>
      </c>
      <c r="J65" t="s">
        <v>53</v>
      </c>
      <c r="K65">
        <v>0</v>
      </c>
      <c r="L65" t="s">
        <v>367</v>
      </c>
      <c r="M65" t="s">
        <v>368</v>
      </c>
      <c r="N65">
        <v>-2.5000000000000001E-2</v>
      </c>
      <c r="O65" t="s">
        <v>56</v>
      </c>
      <c r="P65" t="s">
        <v>57</v>
      </c>
      <c r="Q65" t="s">
        <v>59</v>
      </c>
      <c r="R65" t="s">
        <v>58</v>
      </c>
      <c r="S65" t="s">
        <v>369</v>
      </c>
      <c r="T65" t="s">
        <v>61</v>
      </c>
      <c r="U65">
        <v>2.0482999999999998</v>
      </c>
      <c r="V65" t="s">
        <v>62</v>
      </c>
      <c r="W65">
        <v>0</v>
      </c>
      <c r="X65">
        <v>29.681999999999999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73</v>
      </c>
      <c r="AT65" t="s">
        <v>71</v>
      </c>
      <c r="AU65">
        <v>0</v>
      </c>
      <c r="AV65">
        <v>0</v>
      </c>
    </row>
    <row r="66" spans="1:48" x14ac:dyDescent="0.25">
      <c r="A66" t="s">
        <v>370</v>
      </c>
      <c r="B66" t="s">
        <v>73</v>
      </c>
      <c r="C66" t="s">
        <v>50</v>
      </c>
      <c r="D66">
        <v>440323.82490000001</v>
      </c>
      <c r="E66">
        <v>1827518.4387000001</v>
      </c>
      <c r="F66">
        <v>31.187999999999999</v>
      </c>
      <c r="G66" t="s">
        <v>371</v>
      </c>
      <c r="H66" t="s">
        <v>52</v>
      </c>
      <c r="I66">
        <v>31.187999999999999</v>
      </c>
      <c r="J66" t="s">
        <v>53</v>
      </c>
      <c r="K66">
        <v>0</v>
      </c>
      <c r="L66" t="s">
        <v>372</v>
      </c>
      <c r="M66" s="1" t="s">
        <v>373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374</v>
      </c>
      <c r="T66" t="s">
        <v>61</v>
      </c>
      <c r="U66">
        <v>1.7201</v>
      </c>
      <c r="V66" t="s">
        <v>62</v>
      </c>
      <c r="W66">
        <v>0</v>
      </c>
      <c r="X66">
        <v>29.468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73</v>
      </c>
      <c r="AT66" t="s">
        <v>71</v>
      </c>
      <c r="AU66">
        <v>0</v>
      </c>
      <c r="AV66">
        <v>0</v>
      </c>
    </row>
    <row r="67" spans="1:48" x14ac:dyDescent="0.25">
      <c r="A67" t="s">
        <v>375</v>
      </c>
      <c r="B67" t="s">
        <v>73</v>
      </c>
      <c r="C67" t="s">
        <v>50</v>
      </c>
      <c r="D67">
        <v>440463.92509999999</v>
      </c>
      <c r="E67">
        <v>1827519.5049999999</v>
      </c>
      <c r="F67">
        <v>30.28</v>
      </c>
      <c r="G67" t="s">
        <v>376</v>
      </c>
      <c r="H67" t="s">
        <v>52</v>
      </c>
      <c r="I67">
        <v>30.28</v>
      </c>
      <c r="J67" t="s">
        <v>53</v>
      </c>
      <c r="K67">
        <v>0</v>
      </c>
      <c r="L67" t="s">
        <v>377</v>
      </c>
      <c r="M67">
        <f>0+0.02</f>
        <v>0.02</v>
      </c>
      <c r="N67">
        <v>6.4799999999999996E-2</v>
      </c>
      <c r="O67" t="s">
        <v>56</v>
      </c>
      <c r="P67" t="s">
        <v>57</v>
      </c>
      <c r="Q67" t="s">
        <v>59</v>
      </c>
      <c r="R67" t="s">
        <v>58</v>
      </c>
      <c r="S67" t="s">
        <v>378</v>
      </c>
      <c r="T67" t="s">
        <v>61</v>
      </c>
      <c r="U67">
        <v>1.5886</v>
      </c>
      <c r="V67" t="s">
        <v>62</v>
      </c>
      <c r="W67">
        <v>0</v>
      </c>
      <c r="X67">
        <v>28.690999999999999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73</v>
      </c>
      <c r="AT67" t="s">
        <v>71</v>
      </c>
      <c r="AU67">
        <v>0</v>
      </c>
      <c r="AV67">
        <v>0</v>
      </c>
    </row>
    <row r="68" spans="1:48" x14ac:dyDescent="0.25">
      <c r="A68" t="s">
        <v>379</v>
      </c>
      <c r="B68" t="s">
        <v>73</v>
      </c>
      <c r="C68" t="s">
        <v>50</v>
      </c>
      <c r="D68">
        <v>440053.62449999998</v>
      </c>
      <c r="E68">
        <v>1827720.0652000001</v>
      </c>
      <c r="F68">
        <v>33.433</v>
      </c>
      <c r="G68" t="s">
        <v>380</v>
      </c>
      <c r="H68" t="s">
        <v>52</v>
      </c>
      <c r="I68">
        <v>33.433</v>
      </c>
      <c r="J68" t="s">
        <v>53</v>
      </c>
      <c r="K68">
        <v>0</v>
      </c>
      <c r="L68" t="s">
        <v>381</v>
      </c>
      <c r="M68" t="s">
        <v>382</v>
      </c>
      <c r="N68">
        <v>0.12540000000000001</v>
      </c>
      <c r="O68" t="s">
        <v>56</v>
      </c>
      <c r="P68" t="s">
        <v>57</v>
      </c>
      <c r="Q68" t="s">
        <v>59</v>
      </c>
      <c r="R68" t="s">
        <v>58</v>
      </c>
      <c r="S68" t="s">
        <v>383</v>
      </c>
      <c r="T68" t="s">
        <v>61</v>
      </c>
      <c r="U68">
        <v>1.5367</v>
      </c>
      <c r="V68" t="s">
        <v>62</v>
      </c>
      <c r="W68">
        <v>0</v>
      </c>
      <c r="X68">
        <v>31.896000000000001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73</v>
      </c>
      <c r="AT68" t="s">
        <v>71</v>
      </c>
      <c r="AU68">
        <v>0</v>
      </c>
      <c r="AV68">
        <v>0</v>
      </c>
    </row>
    <row r="69" spans="1:48" x14ac:dyDescent="0.25">
      <c r="A69" t="s">
        <v>384</v>
      </c>
      <c r="B69" t="s">
        <v>73</v>
      </c>
      <c r="C69" t="s">
        <v>50</v>
      </c>
      <c r="D69">
        <v>440053.62449999998</v>
      </c>
      <c r="E69">
        <v>1827780.6348000001</v>
      </c>
      <c r="F69">
        <v>33.555999999999997</v>
      </c>
      <c r="G69" t="s">
        <v>385</v>
      </c>
      <c r="H69" t="s">
        <v>52</v>
      </c>
      <c r="I69">
        <v>33.555999999999997</v>
      </c>
      <c r="J69" t="s">
        <v>53</v>
      </c>
      <c r="K69">
        <v>0</v>
      </c>
      <c r="L69" t="s">
        <v>381</v>
      </c>
      <c r="M69" t="s">
        <v>386</v>
      </c>
      <c r="N69">
        <v>0.1434</v>
      </c>
      <c r="O69" t="s">
        <v>56</v>
      </c>
      <c r="P69" t="s">
        <v>57</v>
      </c>
      <c r="Q69" t="s">
        <v>59</v>
      </c>
      <c r="R69" t="s">
        <v>58</v>
      </c>
      <c r="S69" t="s">
        <v>387</v>
      </c>
      <c r="T69" t="s">
        <v>61</v>
      </c>
      <c r="U69">
        <v>1.5991</v>
      </c>
      <c r="V69" t="s">
        <v>62</v>
      </c>
      <c r="W69">
        <v>0</v>
      </c>
      <c r="X69">
        <v>31.957000000000001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73</v>
      </c>
      <c r="AT69" t="s">
        <v>71</v>
      </c>
      <c r="AU69">
        <v>0</v>
      </c>
      <c r="AV69">
        <v>0</v>
      </c>
    </row>
    <row r="70" spans="1:48" x14ac:dyDescent="0.25">
      <c r="A70" t="s">
        <v>388</v>
      </c>
      <c r="B70" t="s">
        <v>73</v>
      </c>
      <c r="C70" t="s">
        <v>50</v>
      </c>
      <c r="D70">
        <v>440044.22450000001</v>
      </c>
      <c r="E70">
        <v>1827821.1868</v>
      </c>
      <c r="F70">
        <v>33.521999999999998</v>
      </c>
      <c r="G70" t="s">
        <v>389</v>
      </c>
      <c r="H70" t="s">
        <v>52</v>
      </c>
      <c r="I70">
        <v>33.521999999999998</v>
      </c>
      <c r="J70" t="s">
        <v>53</v>
      </c>
      <c r="K70">
        <v>0</v>
      </c>
      <c r="L70" t="s">
        <v>390</v>
      </c>
      <c r="M70" t="s">
        <v>391</v>
      </c>
      <c r="N70">
        <v>0</v>
      </c>
      <c r="O70" t="s">
        <v>56</v>
      </c>
      <c r="P70" t="s">
        <v>57</v>
      </c>
      <c r="Q70" t="s">
        <v>59</v>
      </c>
      <c r="R70" t="s">
        <v>58</v>
      </c>
      <c r="S70" t="s">
        <v>392</v>
      </c>
      <c r="T70" t="s">
        <v>61</v>
      </c>
      <c r="U70">
        <v>1.5436000000000001</v>
      </c>
      <c r="V70" t="s">
        <v>62</v>
      </c>
      <c r="W70">
        <v>0</v>
      </c>
      <c r="X70">
        <v>31.978000000000002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73</v>
      </c>
      <c r="AT70" t="s">
        <v>71</v>
      </c>
      <c r="AU70">
        <v>0</v>
      </c>
      <c r="AV70">
        <v>0</v>
      </c>
    </row>
    <row r="71" spans="1:48" x14ac:dyDescent="0.25">
      <c r="A71" t="s">
        <v>393</v>
      </c>
      <c r="B71" t="s">
        <v>105</v>
      </c>
      <c r="C71" t="s">
        <v>50</v>
      </c>
      <c r="D71">
        <v>440121.8995</v>
      </c>
      <c r="E71">
        <v>1827582.7811</v>
      </c>
      <c r="F71">
        <v>32.295999999999999</v>
      </c>
      <c r="G71" t="s">
        <v>394</v>
      </c>
      <c r="H71" t="s">
        <v>52</v>
      </c>
      <c r="I71">
        <v>32.295999999999999</v>
      </c>
      <c r="J71" t="s">
        <v>53</v>
      </c>
      <c r="K71">
        <v>0</v>
      </c>
      <c r="L71" t="s">
        <v>395</v>
      </c>
      <c r="M71" t="s">
        <v>396</v>
      </c>
      <c r="N71">
        <v>-0.14710000000000001</v>
      </c>
      <c r="O71" t="s">
        <v>56</v>
      </c>
      <c r="P71" t="s">
        <v>57</v>
      </c>
      <c r="Q71" t="s">
        <v>59</v>
      </c>
      <c r="R71" t="s">
        <v>109</v>
      </c>
      <c r="S71" t="s">
        <v>397</v>
      </c>
      <c r="T71" t="s">
        <v>61</v>
      </c>
      <c r="U71">
        <v>1.9056</v>
      </c>
      <c r="V71" t="s">
        <v>62</v>
      </c>
      <c r="W71">
        <v>0</v>
      </c>
      <c r="X71">
        <v>30.39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111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105</v>
      </c>
      <c r="AT71" t="s">
        <v>71</v>
      </c>
      <c r="AU71">
        <v>0</v>
      </c>
      <c r="AV71">
        <v>0</v>
      </c>
    </row>
    <row r="72" spans="1:48" x14ac:dyDescent="0.25">
      <c r="A72" t="s">
        <v>398</v>
      </c>
      <c r="B72" t="s">
        <v>73</v>
      </c>
      <c r="C72" t="s">
        <v>50</v>
      </c>
      <c r="D72">
        <v>440053.62449999998</v>
      </c>
      <c r="E72">
        <v>1827621.1351999999</v>
      </c>
      <c r="F72">
        <v>32.920999999999999</v>
      </c>
      <c r="G72" t="s">
        <v>399</v>
      </c>
      <c r="H72" t="s">
        <v>52</v>
      </c>
      <c r="I72">
        <v>32.920999999999999</v>
      </c>
      <c r="J72" t="s">
        <v>53</v>
      </c>
      <c r="K72">
        <v>0</v>
      </c>
      <c r="L72" t="s">
        <v>381</v>
      </c>
      <c r="M72" t="s">
        <v>400</v>
      </c>
      <c r="N72">
        <v>9.6100000000000005E-2</v>
      </c>
      <c r="O72" t="s">
        <v>56</v>
      </c>
      <c r="P72" t="s">
        <v>57</v>
      </c>
      <c r="Q72" t="s">
        <v>59</v>
      </c>
      <c r="R72" t="s">
        <v>58</v>
      </c>
      <c r="S72" t="s">
        <v>401</v>
      </c>
      <c r="T72" t="s">
        <v>61</v>
      </c>
      <c r="U72">
        <v>1.4879</v>
      </c>
      <c r="V72" t="s">
        <v>62</v>
      </c>
      <c r="W72">
        <v>0</v>
      </c>
      <c r="X72">
        <v>31.433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73</v>
      </c>
      <c r="AT72" t="s">
        <v>71</v>
      </c>
      <c r="AU72">
        <v>0</v>
      </c>
      <c r="AV72">
        <v>0</v>
      </c>
    </row>
    <row r="73" spans="1:48" x14ac:dyDescent="0.25">
      <c r="A73" t="s">
        <v>402</v>
      </c>
      <c r="B73" t="s">
        <v>73</v>
      </c>
      <c r="C73" t="s">
        <v>50</v>
      </c>
      <c r="D73">
        <v>440314.42489999998</v>
      </c>
      <c r="E73">
        <v>1827655.9909000001</v>
      </c>
      <c r="F73">
        <v>30.9</v>
      </c>
      <c r="G73" t="s">
        <v>403</v>
      </c>
      <c r="H73" t="s">
        <v>52</v>
      </c>
      <c r="I73">
        <v>30.9</v>
      </c>
      <c r="J73" t="s">
        <v>53</v>
      </c>
      <c r="K73">
        <v>0</v>
      </c>
      <c r="L73" t="s">
        <v>156</v>
      </c>
      <c r="M73" t="s">
        <v>404</v>
      </c>
      <c r="N73">
        <v>-0.123</v>
      </c>
      <c r="O73" t="s">
        <v>56</v>
      </c>
      <c r="P73" t="s">
        <v>57</v>
      </c>
      <c r="Q73" t="s">
        <v>59</v>
      </c>
      <c r="R73" t="s">
        <v>58</v>
      </c>
      <c r="S73" t="s">
        <v>405</v>
      </c>
      <c r="T73" t="s">
        <v>61</v>
      </c>
      <c r="U73">
        <v>2.2599999999999998</v>
      </c>
      <c r="V73" t="s">
        <v>62</v>
      </c>
      <c r="W73">
        <v>0</v>
      </c>
      <c r="X73">
        <v>28.64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73</v>
      </c>
      <c r="AT73" t="s">
        <v>71</v>
      </c>
      <c r="AU73">
        <v>0</v>
      </c>
      <c r="AV73">
        <v>0</v>
      </c>
    </row>
    <row r="74" spans="1:48" x14ac:dyDescent="0.25">
      <c r="A74" t="s">
        <v>406</v>
      </c>
      <c r="B74" t="s">
        <v>73</v>
      </c>
      <c r="C74" t="s">
        <v>50</v>
      </c>
      <c r="D74">
        <v>439938.72519999999</v>
      </c>
      <c r="E74">
        <v>1827274.1136</v>
      </c>
      <c r="F74">
        <v>34.619999999999997</v>
      </c>
      <c r="G74" t="s">
        <v>407</v>
      </c>
      <c r="H74" t="s">
        <v>52</v>
      </c>
      <c r="I74">
        <v>34.619999999999997</v>
      </c>
      <c r="J74" t="s">
        <v>53</v>
      </c>
      <c r="K74">
        <v>0</v>
      </c>
      <c r="L74" t="s">
        <v>75</v>
      </c>
      <c r="M74" t="s">
        <v>408</v>
      </c>
      <c r="N74">
        <v>-1.2999999999999999E-3</v>
      </c>
      <c r="O74" t="s">
        <v>56</v>
      </c>
      <c r="P74" t="s">
        <v>57</v>
      </c>
      <c r="Q74" t="s">
        <v>59</v>
      </c>
      <c r="R74" t="s">
        <v>58</v>
      </c>
      <c r="S74" t="s">
        <v>409</v>
      </c>
      <c r="T74" t="s">
        <v>61</v>
      </c>
      <c r="U74">
        <v>1.4544999999999999</v>
      </c>
      <c r="V74" t="s">
        <v>62</v>
      </c>
      <c r="W74">
        <v>0</v>
      </c>
      <c r="X74">
        <v>33.165999999999997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73</v>
      </c>
      <c r="AT74" t="s">
        <v>71</v>
      </c>
      <c r="AU74">
        <v>0</v>
      </c>
      <c r="AV74">
        <v>0</v>
      </c>
    </row>
    <row r="75" spans="1:48" x14ac:dyDescent="0.25">
      <c r="A75" t="s">
        <v>410</v>
      </c>
      <c r="B75" t="s">
        <v>73</v>
      </c>
      <c r="C75" t="s">
        <v>50</v>
      </c>
      <c r="D75">
        <v>439938.72519999999</v>
      </c>
      <c r="E75">
        <v>1827302.138</v>
      </c>
      <c r="F75">
        <v>34.555999999999997</v>
      </c>
      <c r="G75" t="s">
        <v>411</v>
      </c>
      <c r="H75" t="s">
        <v>52</v>
      </c>
      <c r="I75">
        <v>34.555999999999997</v>
      </c>
      <c r="J75" t="s">
        <v>53</v>
      </c>
      <c r="K75">
        <v>0</v>
      </c>
      <c r="L75" t="s">
        <v>75</v>
      </c>
      <c r="M75" t="s">
        <v>412</v>
      </c>
      <c r="N75">
        <v>-1.2999999999999999E-3</v>
      </c>
      <c r="O75" t="s">
        <v>56</v>
      </c>
      <c r="P75" t="s">
        <v>57</v>
      </c>
      <c r="Q75" t="s">
        <v>59</v>
      </c>
      <c r="R75" t="s">
        <v>58</v>
      </c>
      <c r="S75" t="s">
        <v>413</v>
      </c>
      <c r="T75" t="s">
        <v>61</v>
      </c>
      <c r="U75">
        <v>1.4558</v>
      </c>
      <c r="V75" t="s">
        <v>62</v>
      </c>
      <c r="W75">
        <v>0</v>
      </c>
      <c r="X75">
        <v>33.1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73</v>
      </c>
      <c r="AT75" t="s">
        <v>71</v>
      </c>
      <c r="AU75">
        <v>0</v>
      </c>
      <c r="AV75">
        <v>0</v>
      </c>
    </row>
    <row r="76" spans="1:48" x14ac:dyDescent="0.25">
      <c r="A76" t="s">
        <v>414</v>
      </c>
      <c r="B76" t="s">
        <v>73</v>
      </c>
      <c r="C76" t="s">
        <v>50</v>
      </c>
      <c r="D76">
        <v>439938.72519999999</v>
      </c>
      <c r="E76">
        <v>1827319.4839000001</v>
      </c>
      <c r="F76">
        <v>34.515999999999998</v>
      </c>
      <c r="G76" t="s">
        <v>415</v>
      </c>
      <c r="H76" t="s">
        <v>52</v>
      </c>
      <c r="I76">
        <v>34.515999999999998</v>
      </c>
      <c r="J76" t="s">
        <v>53</v>
      </c>
      <c r="K76">
        <v>0</v>
      </c>
      <c r="L76" t="s">
        <v>75</v>
      </c>
      <c r="M76" t="s">
        <v>416</v>
      </c>
      <c r="N76">
        <v>-1.2999999999999999E-3</v>
      </c>
      <c r="O76" t="s">
        <v>56</v>
      </c>
      <c r="P76" t="s">
        <v>57</v>
      </c>
      <c r="Q76" t="s">
        <v>59</v>
      </c>
      <c r="R76" t="s">
        <v>58</v>
      </c>
      <c r="S76" t="s">
        <v>417</v>
      </c>
      <c r="T76" t="s">
        <v>61</v>
      </c>
      <c r="U76">
        <v>1.4538</v>
      </c>
      <c r="V76" t="s">
        <v>62</v>
      </c>
      <c r="W76">
        <v>0</v>
      </c>
      <c r="X76">
        <v>33.061999999999998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73</v>
      </c>
      <c r="AT76" t="s">
        <v>71</v>
      </c>
      <c r="AU76">
        <v>0</v>
      </c>
      <c r="AV76">
        <v>0</v>
      </c>
    </row>
    <row r="77" spans="1:48" x14ac:dyDescent="0.25">
      <c r="A77" t="s">
        <v>418</v>
      </c>
      <c r="B77" t="s">
        <v>73</v>
      </c>
      <c r="C77" t="s">
        <v>50</v>
      </c>
      <c r="D77">
        <v>439938.72519999999</v>
      </c>
      <c r="E77">
        <v>1827339.4839000001</v>
      </c>
      <c r="F77">
        <v>34.47</v>
      </c>
      <c r="G77" t="s">
        <v>419</v>
      </c>
      <c r="H77" t="s">
        <v>52</v>
      </c>
      <c r="I77">
        <v>34.47</v>
      </c>
      <c r="J77" t="s">
        <v>53</v>
      </c>
      <c r="K77">
        <v>0</v>
      </c>
      <c r="L77" t="s">
        <v>75</v>
      </c>
      <c r="M77" t="s">
        <v>420</v>
      </c>
      <c r="N77">
        <v>-1.2999999999999999E-3</v>
      </c>
      <c r="O77" t="s">
        <v>56</v>
      </c>
      <c r="P77" t="s">
        <v>57</v>
      </c>
      <c r="Q77" t="s">
        <v>59</v>
      </c>
      <c r="R77" t="s">
        <v>58</v>
      </c>
      <c r="S77" t="s">
        <v>421</v>
      </c>
      <c r="T77" t="s">
        <v>61</v>
      </c>
      <c r="U77">
        <v>1.4536</v>
      </c>
      <c r="V77" t="s">
        <v>62</v>
      </c>
      <c r="W77">
        <v>0</v>
      </c>
      <c r="X77">
        <v>33.015999999999998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73</v>
      </c>
      <c r="AT77" t="s">
        <v>71</v>
      </c>
      <c r="AU77">
        <v>0</v>
      </c>
      <c r="AV77">
        <v>0</v>
      </c>
    </row>
    <row r="78" spans="1:48" x14ac:dyDescent="0.25">
      <c r="A78" t="s">
        <v>422</v>
      </c>
      <c r="B78" t="s">
        <v>73</v>
      </c>
      <c r="C78" t="s">
        <v>50</v>
      </c>
      <c r="D78">
        <v>439938.72519999999</v>
      </c>
      <c r="E78">
        <v>1827359.4839000001</v>
      </c>
      <c r="F78">
        <v>34.423000000000002</v>
      </c>
      <c r="G78" t="s">
        <v>423</v>
      </c>
      <c r="H78" t="s">
        <v>52</v>
      </c>
      <c r="I78">
        <v>34.423000000000002</v>
      </c>
      <c r="J78" t="s">
        <v>53</v>
      </c>
      <c r="K78">
        <v>0</v>
      </c>
      <c r="L78" t="s">
        <v>75</v>
      </c>
      <c r="M78" t="s">
        <v>424</v>
      </c>
      <c r="N78">
        <v>-1.2999999999999999E-3</v>
      </c>
      <c r="O78" t="s">
        <v>56</v>
      </c>
      <c r="P78" t="s">
        <v>57</v>
      </c>
      <c r="Q78" t="s">
        <v>59</v>
      </c>
      <c r="R78" t="s">
        <v>58</v>
      </c>
      <c r="S78" t="s">
        <v>425</v>
      </c>
      <c r="T78" t="s">
        <v>61</v>
      </c>
      <c r="U78">
        <v>1.4544999999999999</v>
      </c>
      <c r="V78" t="s">
        <v>62</v>
      </c>
      <c r="W78">
        <v>0</v>
      </c>
      <c r="X78">
        <v>32.969000000000001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73</v>
      </c>
      <c r="AT78" t="s">
        <v>71</v>
      </c>
      <c r="AU78">
        <v>0</v>
      </c>
      <c r="AV78">
        <v>0</v>
      </c>
    </row>
    <row r="79" spans="1:48" x14ac:dyDescent="0.25">
      <c r="A79" t="s">
        <v>426</v>
      </c>
      <c r="B79" t="s">
        <v>73</v>
      </c>
      <c r="C79" t="s">
        <v>50</v>
      </c>
      <c r="D79">
        <v>439938.72519999999</v>
      </c>
      <c r="E79">
        <v>1827379.4839000001</v>
      </c>
      <c r="F79">
        <v>34.377000000000002</v>
      </c>
      <c r="G79" t="s">
        <v>427</v>
      </c>
      <c r="H79" t="s">
        <v>52</v>
      </c>
      <c r="I79">
        <v>34.377000000000002</v>
      </c>
      <c r="J79" t="s">
        <v>53</v>
      </c>
      <c r="K79">
        <v>0</v>
      </c>
      <c r="L79" t="s">
        <v>75</v>
      </c>
      <c r="M79" t="s">
        <v>428</v>
      </c>
      <c r="N79">
        <v>-1.2999999999999999E-3</v>
      </c>
      <c r="O79" t="s">
        <v>56</v>
      </c>
      <c r="P79" t="s">
        <v>57</v>
      </c>
      <c r="Q79" t="s">
        <v>59</v>
      </c>
      <c r="R79" t="s">
        <v>58</v>
      </c>
      <c r="S79" t="s">
        <v>429</v>
      </c>
      <c r="T79" t="s">
        <v>61</v>
      </c>
      <c r="U79">
        <v>1.4542999999999999</v>
      </c>
      <c r="V79" t="s">
        <v>62</v>
      </c>
      <c r="W79">
        <v>0</v>
      </c>
      <c r="X79">
        <v>32.923000000000002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73</v>
      </c>
      <c r="AT79" t="s">
        <v>71</v>
      </c>
      <c r="AU79">
        <v>0</v>
      </c>
      <c r="AV79">
        <v>0</v>
      </c>
    </row>
    <row r="80" spans="1:48" x14ac:dyDescent="0.25">
      <c r="A80" t="s">
        <v>430</v>
      </c>
      <c r="B80" t="s">
        <v>73</v>
      </c>
      <c r="C80" t="s">
        <v>50</v>
      </c>
      <c r="D80">
        <v>439938.72519999999</v>
      </c>
      <c r="E80">
        <v>1827399.4839000001</v>
      </c>
      <c r="F80">
        <v>34.331000000000003</v>
      </c>
      <c r="G80" t="s">
        <v>431</v>
      </c>
      <c r="H80" t="s">
        <v>52</v>
      </c>
      <c r="I80">
        <v>34.331000000000003</v>
      </c>
      <c r="J80" t="s">
        <v>53</v>
      </c>
      <c r="K80">
        <v>0</v>
      </c>
      <c r="L80" t="s">
        <v>75</v>
      </c>
      <c r="M80" t="s">
        <v>432</v>
      </c>
      <c r="N80">
        <v>-1.2999999999999999E-3</v>
      </c>
      <c r="O80" t="s">
        <v>56</v>
      </c>
      <c r="P80" t="s">
        <v>57</v>
      </c>
      <c r="Q80" t="s">
        <v>59</v>
      </c>
      <c r="R80" t="s">
        <v>58</v>
      </c>
      <c r="S80" t="s">
        <v>433</v>
      </c>
      <c r="T80" t="s">
        <v>61</v>
      </c>
      <c r="U80">
        <v>1.5141</v>
      </c>
      <c r="V80" t="s">
        <v>62</v>
      </c>
      <c r="W80">
        <v>0</v>
      </c>
      <c r="X80">
        <v>32.817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73</v>
      </c>
      <c r="AT80" t="s">
        <v>71</v>
      </c>
      <c r="AU80">
        <v>0</v>
      </c>
      <c r="AV80">
        <v>0</v>
      </c>
    </row>
    <row r="81" spans="1:48" x14ac:dyDescent="0.25">
      <c r="A81" t="s">
        <v>434</v>
      </c>
      <c r="B81" t="s">
        <v>73</v>
      </c>
      <c r="C81" t="s">
        <v>50</v>
      </c>
      <c r="D81">
        <v>439938.72519999999</v>
      </c>
      <c r="E81">
        <v>1827424.8485999999</v>
      </c>
      <c r="F81">
        <v>34.058</v>
      </c>
      <c r="G81" t="s">
        <v>435</v>
      </c>
      <c r="H81" t="s">
        <v>52</v>
      </c>
      <c r="I81">
        <v>34.058</v>
      </c>
      <c r="J81" t="s">
        <v>53</v>
      </c>
      <c r="K81">
        <v>0</v>
      </c>
      <c r="L81" t="s">
        <v>75</v>
      </c>
      <c r="M81" t="s">
        <v>436</v>
      </c>
      <c r="N81">
        <v>-1.2999999999999999E-3</v>
      </c>
      <c r="O81" t="s">
        <v>56</v>
      </c>
      <c r="P81" t="s">
        <v>57</v>
      </c>
      <c r="Q81" t="s">
        <v>59</v>
      </c>
      <c r="R81" t="s">
        <v>58</v>
      </c>
      <c r="S81" t="s">
        <v>437</v>
      </c>
      <c r="T81" t="s">
        <v>61</v>
      </c>
      <c r="U81">
        <v>1.4182999999999999</v>
      </c>
      <c r="V81" t="s">
        <v>62</v>
      </c>
      <c r="W81">
        <v>0</v>
      </c>
      <c r="X81">
        <v>32.64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73</v>
      </c>
      <c r="AT81" t="s">
        <v>71</v>
      </c>
      <c r="AU81">
        <v>0</v>
      </c>
      <c r="AV81">
        <v>0</v>
      </c>
    </row>
    <row r="82" spans="1:48" x14ac:dyDescent="0.25">
      <c r="A82" t="s">
        <v>438</v>
      </c>
      <c r="B82" t="s">
        <v>73</v>
      </c>
      <c r="C82" t="s">
        <v>50</v>
      </c>
      <c r="D82">
        <v>439938.72519999999</v>
      </c>
      <c r="E82">
        <v>1827439.4839000001</v>
      </c>
      <c r="F82">
        <v>34.212000000000003</v>
      </c>
      <c r="G82" t="s">
        <v>439</v>
      </c>
      <c r="H82" t="s">
        <v>52</v>
      </c>
      <c r="I82">
        <v>34.212000000000003</v>
      </c>
      <c r="J82" t="s">
        <v>53</v>
      </c>
      <c r="K82">
        <v>0</v>
      </c>
      <c r="L82" t="s">
        <v>75</v>
      </c>
      <c r="M82" t="s">
        <v>440</v>
      </c>
      <c r="N82">
        <v>-1.2999999999999999E-3</v>
      </c>
      <c r="O82" t="s">
        <v>56</v>
      </c>
      <c r="P82" t="s">
        <v>57</v>
      </c>
      <c r="Q82" t="s">
        <v>59</v>
      </c>
      <c r="R82" t="s">
        <v>58</v>
      </c>
      <c r="S82" t="s">
        <v>441</v>
      </c>
      <c r="T82" t="s">
        <v>61</v>
      </c>
      <c r="U82">
        <v>1.587</v>
      </c>
      <c r="V82" t="s">
        <v>62</v>
      </c>
      <c r="W82">
        <v>0</v>
      </c>
      <c r="X82">
        <v>32.625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73</v>
      </c>
      <c r="AT82" t="s">
        <v>71</v>
      </c>
      <c r="AU82">
        <v>0</v>
      </c>
      <c r="AV82">
        <v>0</v>
      </c>
    </row>
    <row r="83" spans="1:48" x14ac:dyDescent="0.25">
      <c r="A83" t="s">
        <v>442</v>
      </c>
      <c r="B83" t="s">
        <v>73</v>
      </c>
      <c r="C83" t="s">
        <v>50</v>
      </c>
      <c r="D83">
        <v>439938.72519999999</v>
      </c>
      <c r="E83">
        <v>1827459.4839000001</v>
      </c>
      <c r="F83">
        <v>34.048000000000002</v>
      </c>
      <c r="G83" t="s">
        <v>443</v>
      </c>
      <c r="H83" t="s">
        <v>52</v>
      </c>
      <c r="I83">
        <v>34.048000000000002</v>
      </c>
      <c r="J83" t="s">
        <v>53</v>
      </c>
      <c r="K83">
        <v>0</v>
      </c>
      <c r="L83" t="s">
        <v>75</v>
      </c>
      <c r="M83" t="s">
        <v>444</v>
      </c>
      <c r="N83">
        <v>-1.2999999999999999E-3</v>
      </c>
      <c r="O83" t="s">
        <v>56</v>
      </c>
      <c r="P83" t="s">
        <v>57</v>
      </c>
      <c r="Q83" t="s">
        <v>59</v>
      </c>
      <c r="R83" t="s">
        <v>58</v>
      </c>
      <c r="S83" t="s">
        <v>445</v>
      </c>
      <c r="T83" t="s">
        <v>61</v>
      </c>
      <c r="U83">
        <v>1.5732999999999999</v>
      </c>
      <c r="V83" t="s">
        <v>62</v>
      </c>
      <c r="W83">
        <v>0</v>
      </c>
      <c r="X83">
        <v>32.475000000000001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73</v>
      </c>
      <c r="AT83" t="s">
        <v>71</v>
      </c>
      <c r="AU83">
        <v>0</v>
      </c>
      <c r="AV83">
        <v>0</v>
      </c>
    </row>
    <row r="84" spans="1:48" x14ac:dyDescent="0.25">
      <c r="A84" t="s">
        <v>446</v>
      </c>
      <c r="B84" t="s">
        <v>73</v>
      </c>
      <c r="C84" t="s">
        <v>50</v>
      </c>
      <c r="D84">
        <v>439938.72519999999</v>
      </c>
      <c r="E84">
        <v>1827479.4839000001</v>
      </c>
      <c r="F84">
        <v>33.869</v>
      </c>
      <c r="G84" t="s">
        <v>447</v>
      </c>
      <c r="H84" t="s">
        <v>52</v>
      </c>
      <c r="I84">
        <v>33.869</v>
      </c>
      <c r="J84" t="s">
        <v>53</v>
      </c>
      <c r="K84">
        <v>0</v>
      </c>
      <c r="L84" t="s">
        <v>75</v>
      </c>
      <c r="M84" t="s">
        <v>448</v>
      </c>
      <c r="N84">
        <v>-1.2999999999999999E-3</v>
      </c>
      <c r="O84" t="s">
        <v>56</v>
      </c>
      <c r="P84" t="s">
        <v>57</v>
      </c>
      <c r="Q84" t="s">
        <v>59</v>
      </c>
      <c r="R84" t="s">
        <v>58</v>
      </c>
      <c r="S84" t="s">
        <v>449</v>
      </c>
      <c r="T84" t="s">
        <v>61</v>
      </c>
      <c r="U84">
        <v>1.5731999999999999</v>
      </c>
      <c r="V84" t="s">
        <v>62</v>
      </c>
      <c r="W84">
        <v>0</v>
      </c>
      <c r="X84">
        <v>32.295999999999999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73</v>
      </c>
      <c r="AT84" t="s">
        <v>71</v>
      </c>
      <c r="AU84">
        <v>0</v>
      </c>
      <c r="AV84">
        <v>0</v>
      </c>
    </row>
    <row r="85" spans="1:48" x14ac:dyDescent="0.25">
      <c r="A85" t="s">
        <v>450</v>
      </c>
      <c r="B85" t="s">
        <v>73</v>
      </c>
      <c r="C85" t="s">
        <v>50</v>
      </c>
      <c r="D85">
        <v>439938.72519999999</v>
      </c>
      <c r="E85">
        <v>1827499.4839000001</v>
      </c>
      <c r="F85">
        <v>33.69</v>
      </c>
      <c r="G85" t="s">
        <v>451</v>
      </c>
      <c r="H85" t="s">
        <v>52</v>
      </c>
      <c r="I85">
        <v>33.69</v>
      </c>
      <c r="J85" t="s">
        <v>53</v>
      </c>
      <c r="K85">
        <v>0</v>
      </c>
      <c r="L85" t="s">
        <v>75</v>
      </c>
      <c r="M85" t="s">
        <v>452</v>
      </c>
      <c r="N85">
        <v>-1.2999999999999999E-3</v>
      </c>
      <c r="O85" t="s">
        <v>56</v>
      </c>
      <c r="P85" t="s">
        <v>57</v>
      </c>
      <c r="Q85" t="s">
        <v>59</v>
      </c>
      <c r="R85" t="s">
        <v>58</v>
      </c>
      <c r="S85" t="s">
        <v>453</v>
      </c>
      <c r="T85" t="s">
        <v>61</v>
      </c>
      <c r="U85">
        <v>1.5730999999999999</v>
      </c>
      <c r="V85" t="s">
        <v>62</v>
      </c>
      <c r="W85">
        <v>0</v>
      </c>
      <c r="X85">
        <v>32.116999999999997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73</v>
      </c>
      <c r="AT85" t="s">
        <v>71</v>
      </c>
      <c r="AU85">
        <v>0</v>
      </c>
      <c r="AV85">
        <v>0</v>
      </c>
    </row>
    <row r="86" spans="1:48" x14ac:dyDescent="0.25">
      <c r="A86" t="s">
        <v>454</v>
      </c>
      <c r="B86" t="s">
        <v>73</v>
      </c>
      <c r="C86" t="s">
        <v>50</v>
      </c>
      <c r="D86">
        <v>439929.32520000002</v>
      </c>
      <c r="E86">
        <v>1827274.5490000001</v>
      </c>
      <c r="F86">
        <v>34.619</v>
      </c>
      <c r="G86" t="s">
        <v>455</v>
      </c>
      <c r="H86" t="s">
        <v>52</v>
      </c>
      <c r="I86">
        <v>34.619</v>
      </c>
      <c r="J86" t="s">
        <v>53</v>
      </c>
      <c r="K86">
        <v>0</v>
      </c>
      <c r="L86" t="s">
        <v>320</v>
      </c>
      <c r="M86" t="s">
        <v>456</v>
      </c>
      <c r="N86">
        <v>-0.20480000000000001</v>
      </c>
      <c r="O86" t="s">
        <v>56</v>
      </c>
      <c r="P86" t="s">
        <v>57</v>
      </c>
      <c r="Q86" t="s">
        <v>59</v>
      </c>
      <c r="R86" t="s">
        <v>58</v>
      </c>
      <c r="S86" t="s">
        <v>457</v>
      </c>
      <c r="T86" t="s">
        <v>61</v>
      </c>
      <c r="U86">
        <v>1.4555</v>
      </c>
      <c r="V86" t="s">
        <v>62</v>
      </c>
      <c r="W86">
        <v>0</v>
      </c>
      <c r="X86">
        <v>33.164000000000001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73</v>
      </c>
      <c r="AT86" t="s">
        <v>71</v>
      </c>
      <c r="AU86">
        <v>0</v>
      </c>
      <c r="AV86">
        <v>0</v>
      </c>
    </row>
    <row r="87" spans="1:48" x14ac:dyDescent="0.25">
      <c r="A87" t="s">
        <v>458</v>
      </c>
      <c r="B87" t="s">
        <v>73</v>
      </c>
      <c r="C87" t="s">
        <v>50</v>
      </c>
      <c r="D87">
        <v>439929.32520000002</v>
      </c>
      <c r="E87">
        <v>1827300.8706</v>
      </c>
      <c r="F87">
        <v>34.558999999999997</v>
      </c>
      <c r="G87" t="s">
        <v>459</v>
      </c>
      <c r="H87" t="s">
        <v>52</v>
      </c>
      <c r="I87">
        <v>34.558999999999997</v>
      </c>
      <c r="J87" t="s">
        <v>53</v>
      </c>
      <c r="K87">
        <v>0</v>
      </c>
      <c r="L87" t="s">
        <v>320</v>
      </c>
      <c r="M87" t="s">
        <v>460</v>
      </c>
      <c r="N87">
        <v>-0.20480000000000001</v>
      </c>
      <c r="O87" t="s">
        <v>56</v>
      </c>
      <c r="P87" t="s">
        <v>57</v>
      </c>
      <c r="Q87" t="s">
        <v>59</v>
      </c>
      <c r="R87" t="s">
        <v>58</v>
      </c>
      <c r="S87" t="s">
        <v>461</v>
      </c>
      <c r="T87" t="s">
        <v>61</v>
      </c>
      <c r="U87">
        <v>1.4557</v>
      </c>
      <c r="V87" t="s">
        <v>62</v>
      </c>
      <c r="W87">
        <v>0</v>
      </c>
      <c r="X87">
        <v>33.103000000000002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73</v>
      </c>
      <c r="AT87" t="s">
        <v>71</v>
      </c>
      <c r="AU87">
        <v>0</v>
      </c>
      <c r="AV87">
        <v>0</v>
      </c>
    </row>
    <row r="88" spans="1:48" x14ac:dyDescent="0.25">
      <c r="A88" t="s">
        <v>462</v>
      </c>
      <c r="B88" t="s">
        <v>73</v>
      </c>
      <c r="C88" t="s">
        <v>50</v>
      </c>
      <c r="D88">
        <v>439929.32520000002</v>
      </c>
      <c r="E88">
        <v>1827339.4839000001</v>
      </c>
      <c r="F88">
        <v>34.47</v>
      </c>
      <c r="G88" t="s">
        <v>463</v>
      </c>
      <c r="H88" t="s">
        <v>52</v>
      </c>
      <c r="I88">
        <v>34.47</v>
      </c>
      <c r="J88" t="s">
        <v>53</v>
      </c>
      <c r="K88">
        <v>0</v>
      </c>
      <c r="L88" t="s">
        <v>320</v>
      </c>
      <c r="M88" t="s">
        <v>420</v>
      </c>
      <c r="N88">
        <v>-0.20480000000000001</v>
      </c>
      <c r="O88" t="s">
        <v>56</v>
      </c>
      <c r="P88" t="s">
        <v>57</v>
      </c>
      <c r="Q88" t="s">
        <v>59</v>
      </c>
      <c r="R88" t="s">
        <v>58</v>
      </c>
      <c r="S88" t="s">
        <v>421</v>
      </c>
      <c r="T88" t="s">
        <v>61</v>
      </c>
      <c r="U88">
        <v>1.4536</v>
      </c>
      <c r="V88" t="s">
        <v>62</v>
      </c>
      <c r="W88">
        <v>0</v>
      </c>
      <c r="X88">
        <v>33.015999999999998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73</v>
      </c>
      <c r="AT88" t="s">
        <v>71</v>
      </c>
      <c r="AU88">
        <v>0</v>
      </c>
      <c r="AV88">
        <v>0</v>
      </c>
    </row>
    <row r="89" spans="1:48" x14ac:dyDescent="0.25">
      <c r="A89" t="s">
        <v>464</v>
      </c>
      <c r="B89" t="s">
        <v>73</v>
      </c>
      <c r="C89" t="s">
        <v>50</v>
      </c>
      <c r="D89">
        <v>439929.32520000002</v>
      </c>
      <c r="E89">
        <v>1827359.4839000001</v>
      </c>
      <c r="F89">
        <v>34.423000000000002</v>
      </c>
      <c r="G89" t="s">
        <v>465</v>
      </c>
      <c r="H89" t="s">
        <v>52</v>
      </c>
      <c r="I89">
        <v>34.423000000000002</v>
      </c>
      <c r="J89" t="s">
        <v>53</v>
      </c>
      <c r="K89">
        <v>0</v>
      </c>
      <c r="L89" t="s">
        <v>320</v>
      </c>
      <c r="M89" t="s">
        <v>424</v>
      </c>
      <c r="N89">
        <v>-0.20480000000000001</v>
      </c>
      <c r="O89" t="s">
        <v>56</v>
      </c>
      <c r="P89" t="s">
        <v>57</v>
      </c>
      <c r="Q89" t="s">
        <v>59</v>
      </c>
      <c r="R89" t="s">
        <v>58</v>
      </c>
      <c r="S89" t="s">
        <v>425</v>
      </c>
      <c r="T89" t="s">
        <v>61</v>
      </c>
      <c r="U89">
        <v>1.4544999999999999</v>
      </c>
      <c r="V89" t="s">
        <v>62</v>
      </c>
      <c r="W89">
        <v>0</v>
      </c>
      <c r="X89">
        <v>32.969000000000001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73</v>
      </c>
      <c r="AT89" t="s">
        <v>71</v>
      </c>
      <c r="AU89">
        <v>0</v>
      </c>
      <c r="AV89">
        <v>0</v>
      </c>
    </row>
    <row r="90" spans="1:48" x14ac:dyDescent="0.25">
      <c r="A90" t="s">
        <v>466</v>
      </c>
      <c r="B90" t="s">
        <v>73</v>
      </c>
      <c r="C90" t="s">
        <v>50</v>
      </c>
      <c r="D90">
        <v>439929.32520000002</v>
      </c>
      <c r="E90">
        <v>1827379.4839000001</v>
      </c>
      <c r="F90">
        <v>34.377000000000002</v>
      </c>
      <c r="G90" t="s">
        <v>467</v>
      </c>
      <c r="H90" t="s">
        <v>52</v>
      </c>
      <c r="I90">
        <v>34.377000000000002</v>
      </c>
      <c r="J90" t="s">
        <v>53</v>
      </c>
      <c r="K90">
        <v>0</v>
      </c>
      <c r="L90" t="s">
        <v>320</v>
      </c>
      <c r="M90" t="s">
        <v>428</v>
      </c>
      <c r="N90">
        <v>-0.20480000000000001</v>
      </c>
      <c r="O90" t="s">
        <v>56</v>
      </c>
      <c r="P90" t="s">
        <v>57</v>
      </c>
      <c r="Q90" t="s">
        <v>59</v>
      </c>
      <c r="R90" t="s">
        <v>58</v>
      </c>
      <c r="S90" t="s">
        <v>429</v>
      </c>
      <c r="T90" t="s">
        <v>61</v>
      </c>
      <c r="U90">
        <v>1.4542999999999999</v>
      </c>
      <c r="V90" t="s">
        <v>62</v>
      </c>
      <c r="W90">
        <v>0</v>
      </c>
      <c r="X90">
        <v>32.923000000000002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73</v>
      </c>
      <c r="AT90" t="s">
        <v>71</v>
      </c>
      <c r="AU90">
        <v>0</v>
      </c>
      <c r="AV90">
        <v>0</v>
      </c>
    </row>
    <row r="91" spans="1:48" x14ac:dyDescent="0.25">
      <c r="A91" t="s">
        <v>468</v>
      </c>
      <c r="B91" t="s">
        <v>73</v>
      </c>
      <c r="C91" t="s">
        <v>50</v>
      </c>
      <c r="D91">
        <v>439929.32520000002</v>
      </c>
      <c r="E91">
        <v>1827399.4839000001</v>
      </c>
      <c r="F91">
        <v>34.331000000000003</v>
      </c>
      <c r="G91" t="s">
        <v>469</v>
      </c>
      <c r="H91" t="s">
        <v>52</v>
      </c>
      <c r="I91">
        <v>34.331000000000003</v>
      </c>
      <c r="J91" t="s">
        <v>53</v>
      </c>
      <c r="K91">
        <v>0</v>
      </c>
      <c r="L91" t="s">
        <v>320</v>
      </c>
      <c r="M91" s="1" t="s">
        <v>432</v>
      </c>
      <c r="N91">
        <v>-0.20480000000000001</v>
      </c>
      <c r="O91" t="s">
        <v>56</v>
      </c>
      <c r="P91" t="s">
        <v>57</v>
      </c>
      <c r="Q91" t="s">
        <v>59</v>
      </c>
      <c r="R91" t="s">
        <v>58</v>
      </c>
      <c r="S91" t="s">
        <v>470</v>
      </c>
      <c r="T91" t="s">
        <v>61</v>
      </c>
      <c r="U91">
        <v>1.5201</v>
      </c>
      <c r="V91" t="s">
        <v>62</v>
      </c>
      <c r="W91">
        <v>0</v>
      </c>
      <c r="X91">
        <v>32.811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68</v>
      </c>
      <c r="AG91" t="s">
        <v>65</v>
      </c>
      <c r="AH91" t="s">
        <v>65</v>
      </c>
      <c r="AI91" t="s">
        <v>67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73</v>
      </c>
      <c r="AT91" t="s">
        <v>71</v>
      </c>
      <c r="AU91">
        <v>0</v>
      </c>
      <c r="AV91">
        <v>0</v>
      </c>
    </row>
    <row r="92" spans="1:48" x14ac:dyDescent="0.25">
      <c r="A92" t="s">
        <v>471</v>
      </c>
      <c r="B92" t="s">
        <v>49</v>
      </c>
      <c r="C92" t="s">
        <v>50</v>
      </c>
      <c r="D92">
        <v>439908.68650000001</v>
      </c>
      <c r="E92">
        <v>1827415.6486</v>
      </c>
      <c r="F92">
        <v>34.552999999999997</v>
      </c>
      <c r="G92" t="s">
        <v>472</v>
      </c>
      <c r="H92" t="s">
        <v>52</v>
      </c>
      <c r="I92">
        <v>34.552999999999997</v>
      </c>
      <c r="J92" t="s">
        <v>53</v>
      </c>
      <c r="K92">
        <v>0</v>
      </c>
      <c r="L92" t="s">
        <v>85</v>
      </c>
      <c r="M92" t="s">
        <v>473</v>
      </c>
      <c r="N92">
        <v>1E-4</v>
      </c>
      <c r="O92" t="s">
        <v>56</v>
      </c>
      <c r="P92" t="s">
        <v>57</v>
      </c>
      <c r="Q92" t="s">
        <v>58</v>
      </c>
      <c r="R92" t="s">
        <v>59</v>
      </c>
      <c r="S92" t="s">
        <v>474</v>
      </c>
      <c r="T92" t="s">
        <v>61</v>
      </c>
      <c r="U92">
        <v>1.7343</v>
      </c>
      <c r="V92" t="s">
        <v>62</v>
      </c>
      <c r="W92">
        <v>0</v>
      </c>
      <c r="X92">
        <v>32.819000000000003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475</v>
      </c>
      <c r="B93" t="s">
        <v>73</v>
      </c>
      <c r="C93" t="s">
        <v>50</v>
      </c>
      <c r="D93">
        <v>439929.32520000002</v>
      </c>
      <c r="E93">
        <v>1827415.7637</v>
      </c>
      <c r="F93">
        <v>34.207999999999998</v>
      </c>
      <c r="G93" t="s">
        <v>476</v>
      </c>
      <c r="H93" t="s">
        <v>52</v>
      </c>
      <c r="I93">
        <v>34.207999999999998</v>
      </c>
      <c r="J93" t="s">
        <v>53</v>
      </c>
      <c r="K93">
        <v>0</v>
      </c>
      <c r="L93" t="s">
        <v>85</v>
      </c>
      <c r="M93" t="s">
        <v>477</v>
      </c>
      <c r="N93">
        <v>0.1174</v>
      </c>
      <c r="O93" t="s">
        <v>56</v>
      </c>
      <c r="P93" t="s">
        <v>57</v>
      </c>
      <c r="Q93" t="s">
        <v>59</v>
      </c>
      <c r="R93" t="s">
        <v>58</v>
      </c>
      <c r="S93" t="s">
        <v>478</v>
      </c>
      <c r="T93" t="s">
        <v>61</v>
      </c>
      <c r="U93">
        <v>1.4462999999999999</v>
      </c>
      <c r="V93" t="s">
        <v>62</v>
      </c>
      <c r="W93">
        <v>0</v>
      </c>
      <c r="X93">
        <v>32.762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68</v>
      </c>
      <c r="AG93" t="s">
        <v>65</v>
      </c>
      <c r="AH93" t="s">
        <v>65</v>
      </c>
      <c r="AI93" t="s">
        <v>67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73</v>
      </c>
      <c r="AT93" t="s">
        <v>71</v>
      </c>
      <c r="AU93">
        <v>0</v>
      </c>
      <c r="AV93">
        <v>0</v>
      </c>
    </row>
    <row r="94" spans="1:48" x14ac:dyDescent="0.25">
      <c r="A94" t="s">
        <v>479</v>
      </c>
      <c r="B94" t="s">
        <v>49</v>
      </c>
      <c r="C94" t="s">
        <v>50</v>
      </c>
      <c r="D94">
        <v>439908.68650000001</v>
      </c>
      <c r="E94">
        <v>1827425.0486000001</v>
      </c>
      <c r="F94">
        <v>34.552999999999997</v>
      </c>
      <c r="G94" t="s">
        <v>480</v>
      </c>
      <c r="H94" t="s">
        <v>52</v>
      </c>
      <c r="I94">
        <v>34.552999999999997</v>
      </c>
      <c r="J94" t="s">
        <v>53</v>
      </c>
      <c r="K94">
        <v>0</v>
      </c>
      <c r="L94" t="s">
        <v>80</v>
      </c>
      <c r="M94" t="s">
        <v>473</v>
      </c>
      <c r="N94">
        <v>-2.9999999999999997E-4</v>
      </c>
      <c r="O94" t="s">
        <v>56</v>
      </c>
      <c r="P94" t="s">
        <v>57</v>
      </c>
      <c r="Q94" t="s">
        <v>58</v>
      </c>
      <c r="R94" t="s">
        <v>59</v>
      </c>
      <c r="S94" t="s">
        <v>474</v>
      </c>
      <c r="T94" t="s">
        <v>61</v>
      </c>
      <c r="U94">
        <v>1.7343</v>
      </c>
      <c r="V94" t="s">
        <v>62</v>
      </c>
      <c r="W94">
        <v>0</v>
      </c>
      <c r="X94">
        <v>32.819000000000003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481</v>
      </c>
      <c r="B95" t="s">
        <v>73</v>
      </c>
      <c r="C95" t="s">
        <v>50</v>
      </c>
      <c r="D95">
        <v>439929.32520000002</v>
      </c>
      <c r="E95">
        <v>1827424.9327</v>
      </c>
      <c r="F95">
        <v>34.207999999999998</v>
      </c>
      <c r="G95" t="s">
        <v>482</v>
      </c>
      <c r="H95" t="s">
        <v>52</v>
      </c>
      <c r="I95">
        <v>34.207999999999998</v>
      </c>
      <c r="J95" t="s">
        <v>53</v>
      </c>
      <c r="K95">
        <v>0</v>
      </c>
      <c r="L95" t="s">
        <v>80</v>
      </c>
      <c r="M95" t="s">
        <v>477</v>
      </c>
      <c r="N95">
        <v>-0.1229</v>
      </c>
      <c r="O95" t="s">
        <v>56</v>
      </c>
      <c r="P95" t="s">
        <v>57</v>
      </c>
      <c r="Q95" t="s">
        <v>59</v>
      </c>
      <c r="R95" t="s">
        <v>58</v>
      </c>
      <c r="S95" t="s">
        <v>483</v>
      </c>
      <c r="T95" t="s">
        <v>61</v>
      </c>
      <c r="U95">
        <v>1.4553</v>
      </c>
      <c r="V95" t="s">
        <v>62</v>
      </c>
      <c r="W95">
        <v>0</v>
      </c>
      <c r="X95">
        <v>32.753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73</v>
      </c>
      <c r="AT95" t="s">
        <v>71</v>
      </c>
      <c r="AU95">
        <v>0</v>
      </c>
      <c r="AV95">
        <v>0</v>
      </c>
    </row>
    <row r="96" spans="1:48" x14ac:dyDescent="0.25">
      <c r="A96" t="s">
        <v>484</v>
      </c>
      <c r="B96" t="s">
        <v>73</v>
      </c>
      <c r="C96" t="s">
        <v>50</v>
      </c>
      <c r="D96">
        <v>439929.32520000002</v>
      </c>
      <c r="E96">
        <v>1827439.4839000001</v>
      </c>
      <c r="F96">
        <v>34.212000000000003</v>
      </c>
      <c r="G96" t="s">
        <v>485</v>
      </c>
      <c r="H96" t="s">
        <v>52</v>
      </c>
      <c r="I96">
        <v>34.212000000000003</v>
      </c>
      <c r="J96" t="s">
        <v>53</v>
      </c>
      <c r="K96">
        <v>0</v>
      </c>
      <c r="L96" t="s">
        <v>320</v>
      </c>
      <c r="M96" t="s">
        <v>440</v>
      </c>
      <c r="N96">
        <v>-0.20480000000000001</v>
      </c>
      <c r="O96" t="s">
        <v>56</v>
      </c>
      <c r="P96" t="s">
        <v>57</v>
      </c>
      <c r="Q96" t="s">
        <v>59</v>
      </c>
      <c r="R96" t="s">
        <v>58</v>
      </c>
      <c r="S96" t="s">
        <v>486</v>
      </c>
      <c r="T96" t="s">
        <v>61</v>
      </c>
      <c r="U96">
        <v>1.5580000000000001</v>
      </c>
      <c r="V96" t="s">
        <v>62</v>
      </c>
      <c r="W96">
        <v>0</v>
      </c>
      <c r="X96">
        <v>32.654000000000003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73</v>
      </c>
      <c r="AT96" t="s">
        <v>71</v>
      </c>
      <c r="AU96">
        <v>0</v>
      </c>
      <c r="AV96">
        <v>0</v>
      </c>
    </row>
    <row r="97" spans="1:48" x14ac:dyDescent="0.25">
      <c r="A97" t="s">
        <v>487</v>
      </c>
      <c r="B97" t="s">
        <v>73</v>
      </c>
      <c r="C97" t="s">
        <v>50</v>
      </c>
      <c r="D97">
        <v>440044.22450000001</v>
      </c>
      <c r="E97">
        <v>1827922.8370999999</v>
      </c>
      <c r="F97">
        <v>33.332999999999998</v>
      </c>
      <c r="G97" t="s">
        <v>488</v>
      </c>
      <c r="H97" t="s">
        <v>52</v>
      </c>
      <c r="I97">
        <v>33.332999999999998</v>
      </c>
      <c r="J97" t="s">
        <v>53</v>
      </c>
      <c r="K97">
        <v>0</v>
      </c>
      <c r="L97" t="s">
        <v>489</v>
      </c>
      <c r="M97" t="s">
        <v>490</v>
      </c>
      <c r="N97">
        <v>0</v>
      </c>
      <c r="O97" t="s">
        <v>56</v>
      </c>
      <c r="P97" t="s">
        <v>57</v>
      </c>
      <c r="Q97" t="s">
        <v>59</v>
      </c>
      <c r="R97" t="s">
        <v>58</v>
      </c>
      <c r="S97" t="s">
        <v>491</v>
      </c>
      <c r="T97" t="s">
        <v>61</v>
      </c>
      <c r="U97">
        <v>1.3727</v>
      </c>
      <c r="V97" t="s">
        <v>62</v>
      </c>
      <c r="W97">
        <v>0</v>
      </c>
      <c r="X97">
        <v>31.96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68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73</v>
      </c>
      <c r="AT97" t="s">
        <v>71</v>
      </c>
      <c r="AU97">
        <v>0</v>
      </c>
      <c r="AV97">
        <v>0</v>
      </c>
    </row>
    <row r="98" spans="1:48" x14ac:dyDescent="0.25">
      <c r="A98" t="s">
        <v>492</v>
      </c>
      <c r="B98" t="s">
        <v>73</v>
      </c>
      <c r="C98" t="s">
        <v>50</v>
      </c>
      <c r="D98">
        <v>439929.32520000002</v>
      </c>
      <c r="E98">
        <v>1827459.4839000001</v>
      </c>
      <c r="F98">
        <v>34.048000000000002</v>
      </c>
      <c r="G98" t="s">
        <v>493</v>
      </c>
      <c r="H98" t="s">
        <v>52</v>
      </c>
      <c r="I98">
        <v>34.048000000000002</v>
      </c>
      <c r="J98" t="s">
        <v>53</v>
      </c>
      <c r="K98">
        <v>0</v>
      </c>
      <c r="L98" t="s">
        <v>320</v>
      </c>
      <c r="M98" t="s">
        <v>444</v>
      </c>
      <c r="N98">
        <v>-0.20480000000000001</v>
      </c>
      <c r="O98" t="s">
        <v>56</v>
      </c>
      <c r="P98" t="s">
        <v>57</v>
      </c>
      <c r="Q98" t="s">
        <v>59</v>
      </c>
      <c r="R98" t="s">
        <v>58</v>
      </c>
      <c r="S98" t="s">
        <v>445</v>
      </c>
      <c r="T98" t="s">
        <v>61</v>
      </c>
      <c r="U98">
        <v>1.5732999999999999</v>
      </c>
      <c r="V98" t="s">
        <v>62</v>
      </c>
      <c r="W98">
        <v>0</v>
      </c>
      <c r="X98">
        <v>32.475000000000001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73</v>
      </c>
      <c r="AT98" t="s">
        <v>71</v>
      </c>
      <c r="AU98">
        <v>0</v>
      </c>
      <c r="AV98">
        <v>0</v>
      </c>
    </row>
    <row r="99" spans="1:48" x14ac:dyDescent="0.25">
      <c r="A99" t="s">
        <v>494</v>
      </c>
      <c r="B99" t="s">
        <v>73</v>
      </c>
      <c r="C99" t="s">
        <v>50</v>
      </c>
      <c r="D99">
        <v>440044.22450000001</v>
      </c>
      <c r="E99">
        <v>1827904.5399</v>
      </c>
      <c r="F99">
        <v>33.405000000000001</v>
      </c>
      <c r="G99" t="s">
        <v>495</v>
      </c>
      <c r="H99" t="s">
        <v>52</v>
      </c>
      <c r="I99">
        <v>33.405000000000001</v>
      </c>
      <c r="J99" t="s">
        <v>53</v>
      </c>
      <c r="K99">
        <v>0</v>
      </c>
      <c r="L99" t="s">
        <v>489</v>
      </c>
      <c r="M99" t="s">
        <v>496</v>
      </c>
      <c r="N99">
        <v>0</v>
      </c>
      <c r="O99" t="s">
        <v>56</v>
      </c>
      <c r="P99" t="s">
        <v>57</v>
      </c>
      <c r="Q99" t="s">
        <v>59</v>
      </c>
      <c r="R99" t="s">
        <v>58</v>
      </c>
      <c r="S99" t="s">
        <v>497</v>
      </c>
      <c r="T99" t="s">
        <v>61</v>
      </c>
      <c r="U99">
        <v>1.3746</v>
      </c>
      <c r="V99" t="s">
        <v>62</v>
      </c>
      <c r="W99">
        <v>0</v>
      </c>
      <c r="X99">
        <v>32.03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68</v>
      </c>
      <c r="AG99" t="s">
        <v>65</v>
      </c>
      <c r="AH99" t="s">
        <v>65</v>
      </c>
      <c r="AI99" t="s">
        <v>67</v>
      </c>
      <c r="AK99" t="s">
        <v>66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73</v>
      </c>
      <c r="AT99" t="s">
        <v>71</v>
      </c>
      <c r="AU99">
        <v>0</v>
      </c>
      <c r="AV99">
        <v>0</v>
      </c>
    </row>
    <row r="100" spans="1:48" x14ac:dyDescent="0.25">
      <c r="A100" t="s">
        <v>498</v>
      </c>
      <c r="B100" t="s">
        <v>73</v>
      </c>
      <c r="C100" t="s">
        <v>50</v>
      </c>
      <c r="D100">
        <v>439929.32520000002</v>
      </c>
      <c r="E100">
        <v>1827479.4839000001</v>
      </c>
      <c r="F100">
        <v>33.869</v>
      </c>
      <c r="G100" t="s">
        <v>499</v>
      </c>
      <c r="H100" t="s">
        <v>52</v>
      </c>
      <c r="I100">
        <v>33.869</v>
      </c>
      <c r="J100" t="s">
        <v>53</v>
      </c>
      <c r="K100">
        <v>0</v>
      </c>
      <c r="L100" t="s">
        <v>320</v>
      </c>
      <c r="M100" t="s">
        <v>448</v>
      </c>
      <c r="N100">
        <v>-0.20480000000000001</v>
      </c>
      <c r="O100" t="s">
        <v>56</v>
      </c>
      <c r="P100" t="s">
        <v>57</v>
      </c>
      <c r="Q100" t="s">
        <v>59</v>
      </c>
      <c r="R100" t="s">
        <v>58</v>
      </c>
      <c r="S100" t="s">
        <v>449</v>
      </c>
      <c r="T100" t="s">
        <v>61</v>
      </c>
      <c r="U100">
        <v>1.5731999999999999</v>
      </c>
      <c r="V100" t="s">
        <v>62</v>
      </c>
      <c r="W100">
        <v>0</v>
      </c>
      <c r="X100">
        <v>32.295999999999999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73</v>
      </c>
      <c r="AT100" t="s">
        <v>71</v>
      </c>
      <c r="AU100">
        <v>0</v>
      </c>
      <c r="AV100">
        <v>0</v>
      </c>
    </row>
    <row r="101" spans="1:48" x14ac:dyDescent="0.25">
      <c r="A101" t="s">
        <v>500</v>
      </c>
      <c r="B101" t="s">
        <v>73</v>
      </c>
      <c r="C101" t="s">
        <v>50</v>
      </c>
      <c r="D101">
        <v>440053.62449999998</v>
      </c>
      <c r="E101">
        <v>1827923.3133</v>
      </c>
      <c r="F101">
        <v>33.323</v>
      </c>
      <c r="G101" t="s">
        <v>501</v>
      </c>
      <c r="H101" t="s">
        <v>52</v>
      </c>
      <c r="I101">
        <v>33.323</v>
      </c>
      <c r="J101" t="s">
        <v>53</v>
      </c>
      <c r="K101">
        <v>0</v>
      </c>
      <c r="L101" t="s">
        <v>502</v>
      </c>
      <c r="M101" t="s">
        <v>503</v>
      </c>
      <c r="N101">
        <v>0.1615</v>
      </c>
      <c r="O101" t="s">
        <v>56</v>
      </c>
      <c r="P101" t="s">
        <v>57</v>
      </c>
      <c r="Q101" t="s">
        <v>59</v>
      </c>
      <c r="R101" t="s">
        <v>58</v>
      </c>
      <c r="S101" t="s">
        <v>504</v>
      </c>
      <c r="T101" t="s">
        <v>61</v>
      </c>
      <c r="U101">
        <v>1.3633</v>
      </c>
      <c r="V101" t="s">
        <v>62</v>
      </c>
      <c r="W101">
        <v>0</v>
      </c>
      <c r="X101">
        <v>31.96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68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73</v>
      </c>
      <c r="AT101" t="s">
        <v>71</v>
      </c>
      <c r="AU101">
        <v>0</v>
      </c>
      <c r="AV101">
        <v>0</v>
      </c>
    </row>
    <row r="102" spans="1:48" x14ac:dyDescent="0.25">
      <c r="A102" t="s">
        <v>505</v>
      </c>
      <c r="B102" t="s">
        <v>73</v>
      </c>
      <c r="C102" t="s">
        <v>50</v>
      </c>
      <c r="D102">
        <v>439929.32520000002</v>
      </c>
      <c r="E102">
        <v>1827499.4839000001</v>
      </c>
      <c r="F102">
        <v>33.69</v>
      </c>
      <c r="G102" t="s">
        <v>506</v>
      </c>
      <c r="H102" t="s">
        <v>52</v>
      </c>
      <c r="I102">
        <v>33.69</v>
      </c>
      <c r="J102" t="s">
        <v>53</v>
      </c>
      <c r="K102">
        <v>0</v>
      </c>
      <c r="L102" t="s">
        <v>320</v>
      </c>
      <c r="M102" t="s">
        <v>452</v>
      </c>
      <c r="N102">
        <v>-0.20480000000000001</v>
      </c>
      <c r="O102" t="s">
        <v>56</v>
      </c>
      <c r="P102" t="s">
        <v>57</v>
      </c>
      <c r="Q102" t="s">
        <v>59</v>
      </c>
      <c r="R102" t="s">
        <v>58</v>
      </c>
      <c r="S102" t="s">
        <v>453</v>
      </c>
      <c r="T102" t="s">
        <v>61</v>
      </c>
      <c r="U102">
        <v>1.5730999999999999</v>
      </c>
      <c r="V102" t="s">
        <v>62</v>
      </c>
      <c r="W102">
        <v>0</v>
      </c>
      <c r="X102">
        <v>32.116999999999997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73</v>
      </c>
      <c r="AT102" t="s">
        <v>71</v>
      </c>
      <c r="AU102">
        <v>0</v>
      </c>
      <c r="AV102">
        <v>0</v>
      </c>
    </row>
    <row r="103" spans="1:48" x14ac:dyDescent="0.25">
      <c r="A103" t="s">
        <v>507</v>
      </c>
      <c r="B103" t="s">
        <v>73</v>
      </c>
      <c r="C103" t="s">
        <v>50</v>
      </c>
      <c r="D103">
        <v>440053.62449999998</v>
      </c>
      <c r="E103">
        <v>1827904.2631000001</v>
      </c>
      <c r="F103">
        <v>33.383000000000003</v>
      </c>
      <c r="G103" t="s">
        <v>508</v>
      </c>
      <c r="H103" t="s">
        <v>52</v>
      </c>
      <c r="I103">
        <v>33.383000000000003</v>
      </c>
      <c r="J103" t="s">
        <v>53</v>
      </c>
      <c r="K103">
        <v>0</v>
      </c>
      <c r="L103" t="s">
        <v>502</v>
      </c>
      <c r="M103" t="s">
        <v>509</v>
      </c>
      <c r="N103">
        <v>0.1615</v>
      </c>
      <c r="O103" t="s">
        <v>56</v>
      </c>
      <c r="P103" t="s">
        <v>57</v>
      </c>
      <c r="Q103" t="s">
        <v>59</v>
      </c>
      <c r="R103" t="s">
        <v>58</v>
      </c>
      <c r="S103" t="s">
        <v>510</v>
      </c>
      <c r="T103" t="s">
        <v>61</v>
      </c>
      <c r="U103">
        <v>1.363</v>
      </c>
      <c r="V103" t="s">
        <v>62</v>
      </c>
      <c r="W103">
        <v>0</v>
      </c>
      <c r="X103">
        <v>32.020000000000003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73</v>
      </c>
      <c r="AT103" t="s">
        <v>71</v>
      </c>
      <c r="AU103">
        <v>0</v>
      </c>
      <c r="AV103">
        <v>0</v>
      </c>
    </row>
    <row r="104" spans="1:48" x14ac:dyDescent="0.25">
      <c r="A104" t="s">
        <v>511</v>
      </c>
      <c r="B104" t="s">
        <v>73</v>
      </c>
      <c r="C104" t="s">
        <v>50</v>
      </c>
      <c r="D104">
        <v>439929.32520000002</v>
      </c>
      <c r="E104">
        <v>1827517.7452</v>
      </c>
      <c r="F104">
        <v>33.527000000000001</v>
      </c>
      <c r="G104" t="s">
        <v>512</v>
      </c>
      <c r="H104" t="s">
        <v>52</v>
      </c>
      <c r="I104">
        <v>33.527000000000001</v>
      </c>
      <c r="J104" t="s">
        <v>53</v>
      </c>
      <c r="K104">
        <v>0</v>
      </c>
      <c r="L104" t="s">
        <v>320</v>
      </c>
      <c r="M104" t="s">
        <v>513</v>
      </c>
      <c r="N104">
        <v>-0.20480000000000001</v>
      </c>
      <c r="O104" t="s">
        <v>56</v>
      </c>
      <c r="P104" t="s">
        <v>57</v>
      </c>
      <c r="Q104" t="s">
        <v>59</v>
      </c>
      <c r="R104" t="s">
        <v>58</v>
      </c>
      <c r="S104" t="s">
        <v>514</v>
      </c>
      <c r="T104" t="s">
        <v>61</v>
      </c>
      <c r="U104">
        <v>1.6195999999999999</v>
      </c>
      <c r="V104" t="s">
        <v>62</v>
      </c>
      <c r="W104">
        <v>0</v>
      </c>
      <c r="X104">
        <v>31.907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73</v>
      </c>
      <c r="AT104" t="s">
        <v>71</v>
      </c>
      <c r="AU104">
        <v>0</v>
      </c>
      <c r="AV104">
        <v>0</v>
      </c>
    </row>
    <row r="105" spans="1:48" x14ac:dyDescent="0.25">
      <c r="A105" t="s">
        <v>515</v>
      </c>
      <c r="B105" t="s">
        <v>125</v>
      </c>
      <c r="C105" t="s">
        <v>50</v>
      </c>
      <c r="D105">
        <v>439920.64799999999</v>
      </c>
      <c r="E105">
        <v>1827531.6588000001</v>
      </c>
      <c r="F105">
        <v>33.161000000000001</v>
      </c>
      <c r="G105" t="s">
        <v>516</v>
      </c>
      <c r="H105" t="s">
        <v>52</v>
      </c>
      <c r="I105">
        <v>33.161000000000001</v>
      </c>
      <c r="J105" t="s">
        <v>53</v>
      </c>
      <c r="K105">
        <v>0</v>
      </c>
      <c r="L105" t="s">
        <v>127</v>
      </c>
      <c r="M105" t="s">
        <v>517</v>
      </c>
      <c r="N105">
        <v>0.10829999999999999</v>
      </c>
      <c r="O105" t="s">
        <v>56</v>
      </c>
      <c r="P105" t="s">
        <v>57</v>
      </c>
      <c r="Q105" t="s">
        <v>109</v>
      </c>
      <c r="R105" t="s">
        <v>59</v>
      </c>
      <c r="S105" t="s">
        <v>518</v>
      </c>
      <c r="T105" t="s">
        <v>61</v>
      </c>
      <c r="U105">
        <v>1.8069999999999999</v>
      </c>
      <c r="V105" t="s">
        <v>62</v>
      </c>
      <c r="W105">
        <v>0</v>
      </c>
      <c r="X105">
        <v>31.353999999999999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111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125</v>
      </c>
      <c r="AT105" t="s">
        <v>71</v>
      </c>
      <c r="AU105">
        <v>0</v>
      </c>
      <c r="AV105">
        <v>0</v>
      </c>
    </row>
    <row r="106" spans="1:48" x14ac:dyDescent="0.25">
      <c r="A106" t="s">
        <v>519</v>
      </c>
      <c r="B106" t="s">
        <v>125</v>
      </c>
      <c r="C106" t="s">
        <v>50</v>
      </c>
      <c r="D106">
        <v>439938.72389999998</v>
      </c>
      <c r="E106">
        <v>1827531.6588000001</v>
      </c>
      <c r="F106">
        <v>33.058</v>
      </c>
      <c r="G106" t="s">
        <v>520</v>
      </c>
      <c r="H106" t="s">
        <v>52</v>
      </c>
      <c r="I106">
        <v>33.058</v>
      </c>
      <c r="J106" t="s">
        <v>53</v>
      </c>
      <c r="K106">
        <v>0</v>
      </c>
      <c r="L106" t="s">
        <v>127</v>
      </c>
      <c r="M106" s="1" t="s">
        <v>521</v>
      </c>
      <c r="N106">
        <v>0.10829999999999999</v>
      </c>
      <c r="O106" t="s">
        <v>56</v>
      </c>
      <c r="P106" t="s">
        <v>57</v>
      </c>
      <c r="Q106" t="s">
        <v>109</v>
      </c>
      <c r="R106" t="s">
        <v>59</v>
      </c>
      <c r="S106" t="s">
        <v>522</v>
      </c>
      <c r="T106" t="s">
        <v>61</v>
      </c>
      <c r="U106">
        <v>2.0981999999999998</v>
      </c>
      <c r="V106" t="s">
        <v>62</v>
      </c>
      <c r="W106">
        <v>0</v>
      </c>
      <c r="X106">
        <v>30.96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111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125</v>
      </c>
      <c r="AT106" t="s">
        <v>71</v>
      </c>
      <c r="AU106">
        <v>0</v>
      </c>
      <c r="AV106">
        <v>0</v>
      </c>
    </row>
    <row r="107" spans="1:48" x14ac:dyDescent="0.25">
      <c r="A107" t="s">
        <v>523</v>
      </c>
      <c r="B107" t="s">
        <v>125</v>
      </c>
      <c r="C107" t="s">
        <v>50</v>
      </c>
      <c r="D107">
        <v>439968.22489999997</v>
      </c>
      <c r="E107">
        <v>1827531.6588000001</v>
      </c>
      <c r="F107">
        <v>32.878</v>
      </c>
      <c r="G107" t="s">
        <v>524</v>
      </c>
      <c r="H107" t="s">
        <v>52</v>
      </c>
      <c r="I107">
        <v>32.878</v>
      </c>
      <c r="J107" t="s">
        <v>53</v>
      </c>
      <c r="K107">
        <v>0</v>
      </c>
      <c r="L107" t="s">
        <v>127</v>
      </c>
      <c r="M107" s="1" t="s">
        <v>525</v>
      </c>
      <c r="N107">
        <v>0.10829999999999999</v>
      </c>
      <c r="O107" t="s">
        <v>56</v>
      </c>
      <c r="P107" t="s">
        <v>57</v>
      </c>
      <c r="Q107" t="s">
        <v>109</v>
      </c>
      <c r="R107" t="s">
        <v>59</v>
      </c>
      <c r="S107" t="s">
        <v>526</v>
      </c>
      <c r="T107" t="s">
        <v>61</v>
      </c>
      <c r="U107">
        <v>2.0937999999999999</v>
      </c>
      <c r="V107" t="s">
        <v>62</v>
      </c>
      <c r="W107">
        <v>0</v>
      </c>
      <c r="X107">
        <v>30.783999999999999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111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125</v>
      </c>
      <c r="AT107" t="s">
        <v>71</v>
      </c>
      <c r="AU107">
        <v>0</v>
      </c>
      <c r="AV107">
        <v>0</v>
      </c>
    </row>
    <row r="108" spans="1:48" x14ac:dyDescent="0.25">
      <c r="A108" t="s">
        <v>527</v>
      </c>
      <c r="B108" t="s">
        <v>125</v>
      </c>
      <c r="C108" t="s">
        <v>50</v>
      </c>
      <c r="D108">
        <v>439988.22489999997</v>
      </c>
      <c r="E108">
        <v>1827531.6588000001</v>
      </c>
      <c r="F108">
        <v>32.776000000000003</v>
      </c>
      <c r="G108" t="s">
        <v>528</v>
      </c>
      <c r="H108" t="s">
        <v>52</v>
      </c>
      <c r="I108">
        <v>32.776000000000003</v>
      </c>
      <c r="J108" t="s">
        <v>53</v>
      </c>
      <c r="K108">
        <v>0</v>
      </c>
      <c r="L108" t="s">
        <v>127</v>
      </c>
      <c r="M108" s="1" t="s">
        <v>529</v>
      </c>
      <c r="N108">
        <v>0.10829999999999999</v>
      </c>
      <c r="O108" t="s">
        <v>56</v>
      </c>
      <c r="P108" t="s">
        <v>57</v>
      </c>
      <c r="Q108" t="s">
        <v>109</v>
      </c>
      <c r="R108" t="s">
        <v>59</v>
      </c>
      <c r="S108" t="s">
        <v>530</v>
      </c>
      <c r="T108" t="s">
        <v>61</v>
      </c>
      <c r="U108">
        <v>2.1065</v>
      </c>
      <c r="V108" t="s">
        <v>62</v>
      </c>
      <c r="W108">
        <v>0</v>
      </c>
      <c r="X108">
        <v>30.67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111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125</v>
      </c>
      <c r="AT108" t="s">
        <v>71</v>
      </c>
      <c r="AU108">
        <v>0</v>
      </c>
      <c r="AV108">
        <v>0</v>
      </c>
    </row>
    <row r="109" spans="1:48" x14ac:dyDescent="0.25">
      <c r="A109" t="s">
        <v>531</v>
      </c>
      <c r="B109" t="s">
        <v>125</v>
      </c>
      <c r="C109" t="s">
        <v>50</v>
      </c>
      <c r="D109">
        <v>440008.22489999997</v>
      </c>
      <c r="E109">
        <v>1827531.6588000001</v>
      </c>
      <c r="F109">
        <v>32.662999999999997</v>
      </c>
      <c r="G109" t="s">
        <v>532</v>
      </c>
      <c r="H109" t="s">
        <v>52</v>
      </c>
      <c r="I109">
        <v>32.662999999999997</v>
      </c>
      <c r="J109" t="s">
        <v>53</v>
      </c>
      <c r="K109">
        <v>0</v>
      </c>
      <c r="L109" t="s">
        <v>127</v>
      </c>
      <c r="M109" t="s">
        <v>416</v>
      </c>
      <c r="N109">
        <v>0.10829999999999999</v>
      </c>
      <c r="O109" t="s">
        <v>56</v>
      </c>
      <c r="P109" t="s">
        <v>57</v>
      </c>
      <c r="Q109" t="s">
        <v>109</v>
      </c>
      <c r="R109" t="s">
        <v>59</v>
      </c>
      <c r="S109" t="s">
        <v>533</v>
      </c>
      <c r="T109" t="s">
        <v>61</v>
      </c>
      <c r="U109">
        <v>2.1246</v>
      </c>
      <c r="V109" t="s">
        <v>62</v>
      </c>
      <c r="W109">
        <v>0</v>
      </c>
      <c r="X109">
        <v>30.538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111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125</v>
      </c>
      <c r="AT109" t="s">
        <v>71</v>
      </c>
      <c r="AU109">
        <v>0</v>
      </c>
      <c r="AV109">
        <v>0</v>
      </c>
    </row>
    <row r="110" spans="1:48" x14ac:dyDescent="0.25">
      <c r="A110" t="s">
        <v>534</v>
      </c>
      <c r="B110" t="s">
        <v>73</v>
      </c>
      <c r="C110" t="s">
        <v>50</v>
      </c>
      <c r="D110">
        <v>440020.9252</v>
      </c>
      <c r="E110">
        <v>1827277.5666</v>
      </c>
      <c r="F110">
        <v>34.029000000000003</v>
      </c>
      <c r="G110" t="s">
        <v>535</v>
      </c>
      <c r="H110" t="s">
        <v>52</v>
      </c>
      <c r="I110">
        <v>34.029000000000003</v>
      </c>
      <c r="J110" t="s">
        <v>53</v>
      </c>
      <c r="K110">
        <v>0</v>
      </c>
      <c r="L110" t="s">
        <v>536</v>
      </c>
      <c r="M110" t="s">
        <v>537</v>
      </c>
      <c r="N110">
        <v>0</v>
      </c>
      <c r="O110" t="s">
        <v>56</v>
      </c>
      <c r="P110" t="s">
        <v>57</v>
      </c>
      <c r="Q110" t="s">
        <v>59</v>
      </c>
      <c r="R110" t="s">
        <v>58</v>
      </c>
      <c r="S110" t="s">
        <v>538</v>
      </c>
      <c r="T110" t="s">
        <v>61</v>
      </c>
      <c r="U110">
        <v>1.4837</v>
      </c>
      <c r="V110" t="s">
        <v>62</v>
      </c>
      <c r="W110">
        <v>0</v>
      </c>
      <c r="X110">
        <v>32.545000000000002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73</v>
      </c>
      <c r="AT110" t="s">
        <v>71</v>
      </c>
      <c r="AU110">
        <v>0</v>
      </c>
      <c r="AV110">
        <v>0</v>
      </c>
    </row>
    <row r="111" spans="1:48" x14ac:dyDescent="0.25">
      <c r="A111" t="s">
        <v>539</v>
      </c>
      <c r="B111" t="s">
        <v>73</v>
      </c>
      <c r="C111" t="s">
        <v>50</v>
      </c>
      <c r="D111">
        <v>440020.9252</v>
      </c>
      <c r="E111">
        <v>1827295.8409</v>
      </c>
      <c r="F111">
        <v>33.965000000000003</v>
      </c>
      <c r="G111" t="s">
        <v>540</v>
      </c>
      <c r="H111" t="s">
        <v>52</v>
      </c>
      <c r="I111">
        <v>33.965000000000003</v>
      </c>
      <c r="J111" t="s">
        <v>53</v>
      </c>
      <c r="K111">
        <v>0</v>
      </c>
      <c r="L111" t="s">
        <v>536</v>
      </c>
      <c r="M111" t="s">
        <v>541</v>
      </c>
      <c r="N111">
        <v>0</v>
      </c>
      <c r="O111" t="s">
        <v>56</v>
      </c>
      <c r="P111" t="s">
        <v>57</v>
      </c>
      <c r="Q111" t="s">
        <v>59</v>
      </c>
      <c r="R111" t="s">
        <v>58</v>
      </c>
      <c r="S111" t="s">
        <v>542</v>
      </c>
      <c r="T111" t="s">
        <v>61</v>
      </c>
      <c r="U111">
        <v>1.4807999999999999</v>
      </c>
      <c r="V111" t="s">
        <v>62</v>
      </c>
      <c r="W111">
        <v>0</v>
      </c>
      <c r="X111">
        <v>32.484000000000002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73</v>
      </c>
      <c r="AT111" t="s">
        <v>71</v>
      </c>
      <c r="AU111">
        <v>0</v>
      </c>
      <c r="AV111">
        <v>0</v>
      </c>
    </row>
    <row r="112" spans="1:48" x14ac:dyDescent="0.25">
      <c r="A112" t="s">
        <v>543</v>
      </c>
      <c r="B112" t="s">
        <v>73</v>
      </c>
      <c r="C112" t="s">
        <v>50</v>
      </c>
      <c r="D112">
        <v>440020.9252</v>
      </c>
      <c r="E112">
        <v>1827314.3154</v>
      </c>
      <c r="F112">
        <v>33.9</v>
      </c>
      <c r="G112" t="s">
        <v>544</v>
      </c>
      <c r="H112" t="s">
        <v>52</v>
      </c>
      <c r="I112">
        <v>33.9</v>
      </c>
      <c r="J112" t="s">
        <v>53</v>
      </c>
      <c r="K112">
        <v>0</v>
      </c>
      <c r="L112" t="s">
        <v>536</v>
      </c>
      <c r="M112" t="s">
        <v>545</v>
      </c>
      <c r="N112">
        <v>0</v>
      </c>
      <c r="O112" t="s">
        <v>56</v>
      </c>
      <c r="P112" t="s">
        <v>57</v>
      </c>
      <c r="Q112" t="s">
        <v>59</v>
      </c>
      <c r="R112" t="s">
        <v>58</v>
      </c>
      <c r="S112" t="s">
        <v>546</v>
      </c>
      <c r="T112" t="s">
        <v>61</v>
      </c>
      <c r="U112">
        <v>1.4821</v>
      </c>
      <c r="V112" t="s">
        <v>62</v>
      </c>
      <c r="W112">
        <v>0</v>
      </c>
      <c r="X112">
        <v>32.417999999999999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68</v>
      </c>
      <c r="AG112" t="s">
        <v>65</v>
      </c>
      <c r="AH112" t="s">
        <v>65</v>
      </c>
      <c r="AI112" t="s">
        <v>67</v>
      </c>
      <c r="AK112" t="s">
        <v>66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73</v>
      </c>
      <c r="AT112" t="s">
        <v>71</v>
      </c>
      <c r="AU112">
        <v>0</v>
      </c>
      <c r="AV112">
        <v>0</v>
      </c>
    </row>
    <row r="113" spans="1:48" x14ac:dyDescent="0.25">
      <c r="A113" t="s">
        <v>547</v>
      </c>
      <c r="B113" t="s">
        <v>73</v>
      </c>
      <c r="C113" t="s">
        <v>50</v>
      </c>
      <c r="D113">
        <v>440020.9252</v>
      </c>
      <c r="E113">
        <v>1827335.4184000001</v>
      </c>
      <c r="F113">
        <v>33.826000000000001</v>
      </c>
      <c r="G113" t="s">
        <v>548</v>
      </c>
      <c r="H113" t="s">
        <v>52</v>
      </c>
      <c r="I113">
        <v>33.826000000000001</v>
      </c>
      <c r="J113" t="s">
        <v>53</v>
      </c>
      <c r="K113">
        <v>0</v>
      </c>
      <c r="L113" t="s">
        <v>536</v>
      </c>
      <c r="M113" t="s">
        <v>549</v>
      </c>
      <c r="N113">
        <v>0</v>
      </c>
      <c r="O113" t="s">
        <v>56</v>
      </c>
      <c r="P113" t="s">
        <v>57</v>
      </c>
      <c r="Q113" t="s">
        <v>59</v>
      </c>
      <c r="R113" t="s">
        <v>58</v>
      </c>
      <c r="S113" t="s">
        <v>550</v>
      </c>
      <c r="T113" t="s">
        <v>61</v>
      </c>
      <c r="U113">
        <v>1.4813000000000001</v>
      </c>
      <c r="V113" t="s">
        <v>62</v>
      </c>
      <c r="W113">
        <v>0</v>
      </c>
      <c r="X113">
        <v>32.344999999999999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73</v>
      </c>
      <c r="AT113" t="s">
        <v>71</v>
      </c>
      <c r="AU113">
        <v>0</v>
      </c>
      <c r="AV113">
        <v>0</v>
      </c>
    </row>
    <row r="114" spans="1:48" x14ac:dyDescent="0.25">
      <c r="A114" t="s">
        <v>551</v>
      </c>
      <c r="B114" t="s">
        <v>73</v>
      </c>
      <c r="C114" t="s">
        <v>50</v>
      </c>
      <c r="D114">
        <v>440020.9252</v>
      </c>
      <c r="E114">
        <v>1827355.4184000001</v>
      </c>
      <c r="F114">
        <v>33.756</v>
      </c>
      <c r="G114" t="s">
        <v>552</v>
      </c>
      <c r="H114" t="s">
        <v>52</v>
      </c>
      <c r="I114">
        <v>33.756</v>
      </c>
      <c r="J114" t="s">
        <v>53</v>
      </c>
      <c r="K114">
        <v>0</v>
      </c>
      <c r="L114" t="s">
        <v>536</v>
      </c>
      <c r="M114" t="s">
        <v>553</v>
      </c>
      <c r="N114">
        <v>0</v>
      </c>
      <c r="O114" t="s">
        <v>56</v>
      </c>
      <c r="P114" t="s">
        <v>57</v>
      </c>
      <c r="Q114" t="s">
        <v>59</v>
      </c>
      <c r="R114" t="s">
        <v>58</v>
      </c>
      <c r="S114" t="s">
        <v>550</v>
      </c>
      <c r="T114" t="s">
        <v>61</v>
      </c>
      <c r="U114">
        <v>1.4813000000000001</v>
      </c>
      <c r="V114" t="s">
        <v>62</v>
      </c>
      <c r="W114">
        <v>0</v>
      </c>
      <c r="X114">
        <v>32.274999999999999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73</v>
      </c>
      <c r="AT114" t="s">
        <v>71</v>
      </c>
      <c r="AU114">
        <v>0</v>
      </c>
      <c r="AV114">
        <v>0</v>
      </c>
    </row>
    <row r="115" spans="1:48" x14ac:dyDescent="0.25">
      <c r="A115" t="s">
        <v>554</v>
      </c>
      <c r="B115" t="s">
        <v>73</v>
      </c>
      <c r="C115" t="s">
        <v>50</v>
      </c>
      <c r="D115">
        <v>440020.9252</v>
      </c>
      <c r="E115">
        <v>1827375.4184000001</v>
      </c>
      <c r="F115">
        <v>33.686</v>
      </c>
      <c r="G115" t="s">
        <v>555</v>
      </c>
      <c r="H115" t="s">
        <v>52</v>
      </c>
      <c r="I115">
        <v>33.686</v>
      </c>
      <c r="J115" t="s">
        <v>53</v>
      </c>
      <c r="K115">
        <v>0</v>
      </c>
      <c r="L115" t="s">
        <v>536</v>
      </c>
      <c r="M115" t="s">
        <v>556</v>
      </c>
      <c r="N115">
        <v>0</v>
      </c>
      <c r="O115" t="s">
        <v>56</v>
      </c>
      <c r="P115" t="s">
        <v>57</v>
      </c>
      <c r="Q115" t="s">
        <v>59</v>
      </c>
      <c r="R115" t="s">
        <v>58</v>
      </c>
      <c r="S115" t="s">
        <v>550</v>
      </c>
      <c r="T115" t="s">
        <v>61</v>
      </c>
      <c r="U115">
        <v>1.4813000000000001</v>
      </c>
      <c r="V115" t="s">
        <v>62</v>
      </c>
      <c r="W115">
        <v>0</v>
      </c>
      <c r="X115">
        <v>32.204999999999998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73</v>
      </c>
      <c r="AT115" t="s">
        <v>71</v>
      </c>
      <c r="AU115">
        <v>0</v>
      </c>
      <c r="AV115">
        <v>0</v>
      </c>
    </row>
    <row r="116" spans="1:48" x14ac:dyDescent="0.25">
      <c r="A116" t="s">
        <v>557</v>
      </c>
      <c r="B116" t="s">
        <v>73</v>
      </c>
      <c r="C116" t="s">
        <v>50</v>
      </c>
      <c r="D116">
        <v>440020.9252</v>
      </c>
      <c r="E116">
        <v>1827395.4184000001</v>
      </c>
      <c r="F116">
        <v>33.616</v>
      </c>
      <c r="G116" t="s">
        <v>558</v>
      </c>
      <c r="H116" t="s">
        <v>52</v>
      </c>
      <c r="I116">
        <v>33.616</v>
      </c>
      <c r="J116" t="s">
        <v>53</v>
      </c>
      <c r="K116">
        <v>0</v>
      </c>
      <c r="L116" t="s">
        <v>536</v>
      </c>
      <c r="M116" t="s">
        <v>559</v>
      </c>
      <c r="N116">
        <v>0</v>
      </c>
      <c r="O116" t="s">
        <v>56</v>
      </c>
      <c r="P116" t="s">
        <v>57</v>
      </c>
      <c r="Q116" t="s">
        <v>59</v>
      </c>
      <c r="R116" t="s">
        <v>58</v>
      </c>
      <c r="S116" t="s">
        <v>560</v>
      </c>
      <c r="T116" t="s">
        <v>61</v>
      </c>
      <c r="U116">
        <v>1.6083000000000001</v>
      </c>
      <c r="V116" t="s">
        <v>62</v>
      </c>
      <c r="W116">
        <v>0</v>
      </c>
      <c r="X116">
        <v>32.008000000000003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73</v>
      </c>
      <c r="AT116" t="s">
        <v>71</v>
      </c>
      <c r="AU116">
        <v>0</v>
      </c>
      <c r="AV116">
        <v>0</v>
      </c>
    </row>
    <row r="117" spans="1:48" x14ac:dyDescent="0.25">
      <c r="A117" t="s">
        <v>561</v>
      </c>
      <c r="B117" t="s">
        <v>49</v>
      </c>
      <c r="C117" t="s">
        <v>50</v>
      </c>
      <c r="D117">
        <v>439950.42509999999</v>
      </c>
      <c r="E117">
        <v>1827415.6486</v>
      </c>
      <c r="F117">
        <v>34.119999999999997</v>
      </c>
      <c r="G117" t="s">
        <v>562</v>
      </c>
      <c r="H117" t="s">
        <v>52</v>
      </c>
      <c r="I117">
        <v>34.119999999999997</v>
      </c>
      <c r="J117" t="s">
        <v>53</v>
      </c>
      <c r="K117">
        <v>0</v>
      </c>
      <c r="L117" t="s">
        <v>85</v>
      </c>
      <c r="M117" t="s">
        <v>563</v>
      </c>
      <c r="N117">
        <v>4.5999999999999999E-3</v>
      </c>
      <c r="O117" t="s">
        <v>56</v>
      </c>
      <c r="P117" t="s">
        <v>57</v>
      </c>
      <c r="Q117" t="s">
        <v>58</v>
      </c>
      <c r="R117" t="s">
        <v>59</v>
      </c>
      <c r="S117" t="s">
        <v>564</v>
      </c>
      <c r="T117" t="s">
        <v>61</v>
      </c>
      <c r="U117">
        <v>1.5763</v>
      </c>
      <c r="V117" t="s">
        <v>62</v>
      </c>
      <c r="W117">
        <v>0</v>
      </c>
      <c r="X117">
        <v>32.543999999999997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49</v>
      </c>
      <c r="AT117" t="s">
        <v>71</v>
      </c>
      <c r="AU117">
        <v>0</v>
      </c>
      <c r="AV117">
        <v>0</v>
      </c>
    </row>
    <row r="118" spans="1:48" x14ac:dyDescent="0.25">
      <c r="A118" t="s">
        <v>565</v>
      </c>
      <c r="B118" t="s">
        <v>49</v>
      </c>
      <c r="C118" t="s">
        <v>50</v>
      </c>
      <c r="D118">
        <v>439970.42509999999</v>
      </c>
      <c r="E118">
        <v>1827415.6486</v>
      </c>
      <c r="F118">
        <v>33.939</v>
      </c>
      <c r="G118" t="s">
        <v>566</v>
      </c>
      <c r="H118" t="s">
        <v>52</v>
      </c>
      <c r="I118">
        <v>33.939</v>
      </c>
      <c r="J118" t="s">
        <v>53</v>
      </c>
      <c r="K118">
        <v>0</v>
      </c>
      <c r="L118" t="s">
        <v>85</v>
      </c>
      <c r="M118" t="s">
        <v>567</v>
      </c>
      <c r="N118">
        <v>6.7999999999999996E-3</v>
      </c>
      <c r="O118" t="s">
        <v>56</v>
      </c>
      <c r="P118" t="s">
        <v>57</v>
      </c>
      <c r="Q118" t="s">
        <v>58</v>
      </c>
      <c r="R118" t="s">
        <v>59</v>
      </c>
      <c r="S118" t="s">
        <v>568</v>
      </c>
      <c r="T118" t="s">
        <v>61</v>
      </c>
      <c r="U118">
        <v>1.5576000000000001</v>
      </c>
      <c r="V118" t="s">
        <v>62</v>
      </c>
      <c r="W118">
        <v>0</v>
      </c>
      <c r="X118">
        <v>32.381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49</v>
      </c>
      <c r="AT118" t="s">
        <v>71</v>
      </c>
      <c r="AU118">
        <v>0</v>
      </c>
      <c r="AV118">
        <v>0</v>
      </c>
    </row>
    <row r="119" spans="1:48" x14ac:dyDescent="0.25">
      <c r="A119" t="s">
        <v>569</v>
      </c>
      <c r="B119" t="s">
        <v>49</v>
      </c>
      <c r="C119" t="s">
        <v>50</v>
      </c>
      <c r="D119">
        <v>439990.42509999999</v>
      </c>
      <c r="E119">
        <v>1827415.6486</v>
      </c>
      <c r="F119">
        <v>33.774999999999999</v>
      </c>
      <c r="G119" t="s">
        <v>570</v>
      </c>
      <c r="H119" t="s">
        <v>52</v>
      </c>
      <c r="I119">
        <v>33.774999999999999</v>
      </c>
      <c r="J119" t="s">
        <v>53</v>
      </c>
      <c r="K119">
        <v>0</v>
      </c>
      <c r="L119" t="s">
        <v>85</v>
      </c>
      <c r="M119" t="s">
        <v>571</v>
      </c>
      <c r="N119">
        <v>8.9999999999999993E-3</v>
      </c>
      <c r="O119" t="s">
        <v>56</v>
      </c>
      <c r="P119" t="s">
        <v>57</v>
      </c>
      <c r="Q119" t="s">
        <v>58</v>
      </c>
      <c r="R119" t="s">
        <v>59</v>
      </c>
      <c r="S119" t="s">
        <v>572</v>
      </c>
      <c r="T119" t="s">
        <v>61</v>
      </c>
      <c r="U119">
        <v>1.5407</v>
      </c>
      <c r="V119" t="s">
        <v>62</v>
      </c>
      <c r="W119">
        <v>0</v>
      </c>
      <c r="X119">
        <v>32.234000000000002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573</v>
      </c>
      <c r="B120" t="s">
        <v>49</v>
      </c>
      <c r="C120" t="s">
        <v>50</v>
      </c>
      <c r="D120">
        <v>440010.42509999999</v>
      </c>
      <c r="E120">
        <v>1827415.6486</v>
      </c>
      <c r="F120">
        <v>33.628999999999998</v>
      </c>
      <c r="G120" t="s">
        <v>574</v>
      </c>
      <c r="H120" t="s">
        <v>52</v>
      </c>
      <c r="I120">
        <v>33.628999999999998</v>
      </c>
      <c r="J120" t="s">
        <v>53</v>
      </c>
      <c r="K120">
        <v>0</v>
      </c>
      <c r="L120" t="s">
        <v>85</v>
      </c>
      <c r="M120" t="s">
        <v>575</v>
      </c>
      <c r="N120">
        <v>1.11E-2</v>
      </c>
      <c r="O120" t="s">
        <v>56</v>
      </c>
      <c r="P120" t="s">
        <v>57</v>
      </c>
      <c r="Q120" t="s">
        <v>58</v>
      </c>
      <c r="R120" t="s">
        <v>59</v>
      </c>
      <c r="S120" t="s">
        <v>576</v>
      </c>
      <c r="T120" t="s">
        <v>61</v>
      </c>
      <c r="U120">
        <v>1.6346000000000001</v>
      </c>
      <c r="V120" t="s">
        <v>62</v>
      </c>
      <c r="W120">
        <v>0</v>
      </c>
      <c r="X120">
        <v>31.994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49</v>
      </c>
      <c r="AT120" t="s">
        <v>71</v>
      </c>
      <c r="AU120">
        <v>0</v>
      </c>
      <c r="AV120">
        <v>0</v>
      </c>
    </row>
    <row r="121" spans="1:48" x14ac:dyDescent="0.25">
      <c r="A121" t="s">
        <v>577</v>
      </c>
      <c r="B121" t="s">
        <v>73</v>
      </c>
      <c r="C121" t="s">
        <v>50</v>
      </c>
      <c r="D121">
        <v>440020.9252</v>
      </c>
      <c r="E121">
        <v>1827415.7683999999</v>
      </c>
      <c r="F121">
        <v>33.424999999999997</v>
      </c>
      <c r="G121" t="s">
        <v>578</v>
      </c>
      <c r="H121" t="s">
        <v>52</v>
      </c>
      <c r="I121">
        <v>33.424999999999997</v>
      </c>
      <c r="J121" t="s">
        <v>53</v>
      </c>
      <c r="K121">
        <v>0</v>
      </c>
      <c r="L121" t="s">
        <v>85</v>
      </c>
      <c r="M121" t="s">
        <v>579</v>
      </c>
      <c r="N121">
        <v>0.13200000000000001</v>
      </c>
      <c r="O121" t="s">
        <v>56</v>
      </c>
      <c r="P121" t="s">
        <v>57</v>
      </c>
      <c r="Q121" t="s">
        <v>59</v>
      </c>
      <c r="R121" t="s">
        <v>58</v>
      </c>
      <c r="S121" t="s">
        <v>580</v>
      </c>
      <c r="T121" t="s">
        <v>61</v>
      </c>
      <c r="U121">
        <v>1.5133000000000001</v>
      </c>
      <c r="V121" t="s">
        <v>62</v>
      </c>
      <c r="W121">
        <v>0</v>
      </c>
      <c r="X121">
        <v>31.911999999999999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73</v>
      </c>
      <c r="AT121" t="s">
        <v>71</v>
      </c>
      <c r="AU121">
        <v>0</v>
      </c>
      <c r="AV121">
        <v>0</v>
      </c>
    </row>
    <row r="122" spans="1:48" x14ac:dyDescent="0.25">
      <c r="A122" t="s">
        <v>581</v>
      </c>
      <c r="B122" t="s">
        <v>49</v>
      </c>
      <c r="C122" t="s">
        <v>50</v>
      </c>
      <c r="D122">
        <v>439950.42509999999</v>
      </c>
      <c r="E122">
        <v>1827425.0486000001</v>
      </c>
      <c r="F122">
        <v>34.119999999999997</v>
      </c>
      <c r="G122" t="s">
        <v>582</v>
      </c>
      <c r="H122" t="s">
        <v>52</v>
      </c>
      <c r="I122">
        <v>34.119999999999997</v>
      </c>
      <c r="J122" t="s">
        <v>53</v>
      </c>
      <c r="K122">
        <v>0</v>
      </c>
      <c r="L122" t="s">
        <v>80</v>
      </c>
      <c r="M122" t="s">
        <v>563</v>
      </c>
      <c r="N122">
        <v>-1.3899999999999999E-2</v>
      </c>
      <c r="O122" t="s">
        <v>56</v>
      </c>
      <c r="P122" t="s">
        <v>57</v>
      </c>
      <c r="Q122" t="s">
        <v>58</v>
      </c>
      <c r="R122" t="s">
        <v>59</v>
      </c>
      <c r="S122" t="s">
        <v>564</v>
      </c>
      <c r="T122" t="s">
        <v>61</v>
      </c>
      <c r="U122">
        <v>1.5763</v>
      </c>
      <c r="V122" t="s">
        <v>62</v>
      </c>
      <c r="W122">
        <v>0</v>
      </c>
      <c r="X122">
        <v>32.543999999999997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49</v>
      </c>
      <c r="AT122" t="s">
        <v>71</v>
      </c>
      <c r="AU122">
        <v>0</v>
      </c>
      <c r="AV122">
        <v>0</v>
      </c>
    </row>
    <row r="123" spans="1:48" x14ac:dyDescent="0.25">
      <c r="A123" t="s">
        <v>583</v>
      </c>
      <c r="B123" t="s">
        <v>49</v>
      </c>
      <c r="C123" t="s">
        <v>50</v>
      </c>
      <c r="D123">
        <v>439970.42509999999</v>
      </c>
      <c r="E123">
        <v>1827425.0486000001</v>
      </c>
      <c r="F123">
        <v>33.939</v>
      </c>
      <c r="G123" t="s">
        <v>584</v>
      </c>
      <c r="H123" t="s">
        <v>52</v>
      </c>
      <c r="I123">
        <v>33.939</v>
      </c>
      <c r="J123" t="s">
        <v>53</v>
      </c>
      <c r="K123">
        <v>0</v>
      </c>
      <c r="L123" t="s">
        <v>80</v>
      </c>
      <c r="M123" t="s">
        <v>567</v>
      </c>
      <c r="N123">
        <v>-2.0500000000000001E-2</v>
      </c>
      <c r="O123" t="s">
        <v>56</v>
      </c>
      <c r="P123" t="s">
        <v>57</v>
      </c>
      <c r="Q123" t="s">
        <v>58</v>
      </c>
      <c r="R123" t="s">
        <v>59</v>
      </c>
      <c r="S123" t="s">
        <v>568</v>
      </c>
      <c r="T123" t="s">
        <v>61</v>
      </c>
      <c r="U123">
        <v>1.5576000000000001</v>
      </c>
      <c r="V123" t="s">
        <v>62</v>
      </c>
      <c r="W123">
        <v>0</v>
      </c>
      <c r="X123">
        <v>32.381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49</v>
      </c>
      <c r="AT123" t="s">
        <v>71</v>
      </c>
      <c r="AU123">
        <v>0</v>
      </c>
      <c r="AV123">
        <v>0</v>
      </c>
    </row>
    <row r="124" spans="1:48" x14ac:dyDescent="0.25">
      <c r="A124" t="s">
        <v>585</v>
      </c>
      <c r="B124" t="s">
        <v>49</v>
      </c>
      <c r="C124" t="s">
        <v>50</v>
      </c>
      <c r="D124">
        <v>439990.42509999999</v>
      </c>
      <c r="E124">
        <v>1827425.0486000001</v>
      </c>
      <c r="F124">
        <v>33.774999999999999</v>
      </c>
      <c r="G124" t="s">
        <v>586</v>
      </c>
      <c r="H124" t="s">
        <v>52</v>
      </c>
      <c r="I124">
        <v>33.774999999999999</v>
      </c>
      <c r="J124" t="s">
        <v>53</v>
      </c>
      <c r="K124">
        <v>0</v>
      </c>
      <c r="L124" t="s">
        <v>80</v>
      </c>
      <c r="M124" t="s">
        <v>571</v>
      </c>
      <c r="N124">
        <v>-2.7E-2</v>
      </c>
      <c r="O124" t="s">
        <v>56</v>
      </c>
      <c r="P124" t="s">
        <v>57</v>
      </c>
      <c r="Q124" t="s">
        <v>58</v>
      </c>
      <c r="R124" t="s">
        <v>59</v>
      </c>
      <c r="S124" t="s">
        <v>572</v>
      </c>
      <c r="T124" t="s">
        <v>61</v>
      </c>
      <c r="U124">
        <v>1.5407</v>
      </c>
      <c r="V124" t="s">
        <v>62</v>
      </c>
      <c r="W124">
        <v>0</v>
      </c>
      <c r="X124">
        <v>32.234000000000002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49</v>
      </c>
      <c r="AT124" t="s">
        <v>71</v>
      </c>
      <c r="AU124">
        <v>0</v>
      </c>
      <c r="AV124">
        <v>0</v>
      </c>
    </row>
    <row r="125" spans="1:48" x14ac:dyDescent="0.25">
      <c r="A125" t="s">
        <v>587</v>
      </c>
      <c r="B125" t="s">
        <v>49</v>
      </c>
      <c r="C125" t="s">
        <v>50</v>
      </c>
      <c r="D125">
        <v>440010.42509999999</v>
      </c>
      <c r="E125">
        <v>1827425.0486000001</v>
      </c>
      <c r="F125">
        <v>33.628999999999998</v>
      </c>
      <c r="G125" t="s">
        <v>588</v>
      </c>
      <c r="H125" t="s">
        <v>52</v>
      </c>
      <c r="I125">
        <v>33.628999999999998</v>
      </c>
      <c r="J125" t="s">
        <v>53</v>
      </c>
      <c r="K125">
        <v>0</v>
      </c>
      <c r="L125" t="s">
        <v>80</v>
      </c>
      <c r="M125" t="s">
        <v>575</v>
      </c>
      <c r="N125">
        <v>-3.3500000000000002E-2</v>
      </c>
      <c r="O125" t="s">
        <v>56</v>
      </c>
      <c r="P125" t="s">
        <v>57</v>
      </c>
      <c r="Q125" t="s">
        <v>58</v>
      </c>
      <c r="R125" t="s">
        <v>59</v>
      </c>
      <c r="S125" t="s">
        <v>589</v>
      </c>
      <c r="T125" t="s">
        <v>61</v>
      </c>
      <c r="U125">
        <v>1.7116</v>
      </c>
      <c r="V125" t="s">
        <v>62</v>
      </c>
      <c r="W125">
        <v>0</v>
      </c>
      <c r="X125">
        <v>31.917000000000002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66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49</v>
      </c>
      <c r="AT125" t="s">
        <v>71</v>
      </c>
      <c r="AU125">
        <v>0</v>
      </c>
      <c r="AV125">
        <v>0</v>
      </c>
    </row>
    <row r="126" spans="1:48" x14ac:dyDescent="0.25">
      <c r="A126" t="s">
        <v>590</v>
      </c>
      <c r="B126" t="s">
        <v>105</v>
      </c>
      <c r="C126" t="s">
        <v>50</v>
      </c>
      <c r="D126">
        <v>440021.00020000001</v>
      </c>
      <c r="E126">
        <v>1827424.9298</v>
      </c>
      <c r="F126">
        <v>33.325000000000003</v>
      </c>
      <c r="G126" t="s">
        <v>591</v>
      </c>
      <c r="H126" t="s">
        <v>52</v>
      </c>
      <c r="I126">
        <v>33.325000000000003</v>
      </c>
      <c r="J126" t="s">
        <v>53</v>
      </c>
      <c r="K126">
        <v>0</v>
      </c>
      <c r="L126" t="s">
        <v>80</v>
      </c>
      <c r="M126" t="s">
        <v>592</v>
      </c>
      <c r="N126">
        <v>-0.15579999999999999</v>
      </c>
      <c r="O126" t="s">
        <v>56</v>
      </c>
      <c r="P126" t="s">
        <v>57</v>
      </c>
      <c r="Q126" t="s">
        <v>59</v>
      </c>
      <c r="R126" t="s">
        <v>109</v>
      </c>
      <c r="S126" t="s">
        <v>593</v>
      </c>
      <c r="T126" t="s">
        <v>61</v>
      </c>
      <c r="U126">
        <v>1.4404999999999999</v>
      </c>
      <c r="V126" t="s">
        <v>62</v>
      </c>
      <c r="W126">
        <v>0</v>
      </c>
      <c r="X126">
        <v>31.885000000000002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111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105</v>
      </c>
      <c r="AT126" t="s">
        <v>71</v>
      </c>
      <c r="AU126">
        <v>0</v>
      </c>
      <c r="AV126">
        <v>0</v>
      </c>
    </row>
    <row r="127" spans="1:48" x14ac:dyDescent="0.25">
      <c r="A127" t="s">
        <v>594</v>
      </c>
      <c r="B127" t="s">
        <v>105</v>
      </c>
      <c r="C127" t="s">
        <v>50</v>
      </c>
      <c r="D127">
        <v>440021.00020000001</v>
      </c>
      <c r="E127">
        <v>1827440.9838</v>
      </c>
      <c r="F127">
        <v>33.390999999999998</v>
      </c>
      <c r="G127" t="s">
        <v>595</v>
      </c>
      <c r="H127" t="s">
        <v>52</v>
      </c>
      <c r="I127">
        <v>33.390999999999998</v>
      </c>
      <c r="J127" t="s">
        <v>53</v>
      </c>
      <c r="K127">
        <v>0</v>
      </c>
      <c r="L127" t="s">
        <v>596</v>
      </c>
      <c r="M127" t="s">
        <v>597</v>
      </c>
      <c r="N127">
        <v>-7.4999999999999997E-2</v>
      </c>
      <c r="O127" t="s">
        <v>56</v>
      </c>
      <c r="P127" t="s">
        <v>57</v>
      </c>
      <c r="Q127" t="s">
        <v>59</v>
      </c>
      <c r="R127" t="s">
        <v>109</v>
      </c>
      <c r="S127" t="s">
        <v>598</v>
      </c>
      <c r="T127" t="s">
        <v>61</v>
      </c>
      <c r="U127">
        <v>1.5435000000000001</v>
      </c>
      <c r="V127" t="s">
        <v>62</v>
      </c>
      <c r="W127">
        <v>0</v>
      </c>
      <c r="X127">
        <v>31.847999999999999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111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105</v>
      </c>
      <c r="AT127" t="s">
        <v>71</v>
      </c>
      <c r="AU127">
        <v>0</v>
      </c>
      <c r="AV127">
        <v>0</v>
      </c>
    </row>
    <row r="128" spans="1:48" x14ac:dyDescent="0.25">
      <c r="A128" t="s">
        <v>599</v>
      </c>
      <c r="B128" t="s">
        <v>105</v>
      </c>
      <c r="C128" t="s">
        <v>50</v>
      </c>
      <c r="D128">
        <v>440021.00020000001</v>
      </c>
      <c r="E128">
        <v>1827460.9838</v>
      </c>
      <c r="F128">
        <v>33.24</v>
      </c>
      <c r="G128" t="s">
        <v>600</v>
      </c>
      <c r="H128" t="s">
        <v>52</v>
      </c>
      <c r="I128">
        <v>33.24</v>
      </c>
      <c r="J128" t="s">
        <v>53</v>
      </c>
      <c r="K128">
        <v>0</v>
      </c>
      <c r="L128" t="s">
        <v>596</v>
      </c>
      <c r="M128" t="s">
        <v>440</v>
      </c>
      <c r="N128">
        <v>-7.4999999999999997E-2</v>
      </c>
      <c r="O128" t="s">
        <v>56</v>
      </c>
      <c r="P128" t="s">
        <v>57</v>
      </c>
      <c r="Q128" t="s">
        <v>59</v>
      </c>
      <c r="R128" t="s">
        <v>109</v>
      </c>
      <c r="S128" t="s">
        <v>601</v>
      </c>
      <c r="T128" t="s">
        <v>61</v>
      </c>
      <c r="U128">
        <v>1.5443</v>
      </c>
      <c r="V128" t="s">
        <v>62</v>
      </c>
      <c r="W128">
        <v>0</v>
      </c>
      <c r="X128">
        <v>31.696000000000002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111</v>
      </c>
      <c r="AG128" t="s">
        <v>65</v>
      </c>
      <c r="AH128" t="s">
        <v>65</v>
      </c>
      <c r="AI128" t="s">
        <v>67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105</v>
      </c>
      <c r="AT128" t="s">
        <v>71</v>
      </c>
      <c r="AU128">
        <v>0</v>
      </c>
      <c r="AV128">
        <v>0</v>
      </c>
    </row>
    <row r="129" spans="1:48" x14ac:dyDescent="0.25">
      <c r="A129" t="s">
        <v>602</v>
      </c>
      <c r="B129" t="s">
        <v>105</v>
      </c>
      <c r="C129" t="s">
        <v>50</v>
      </c>
      <c r="D129">
        <v>440021.00020000001</v>
      </c>
      <c r="E129">
        <v>1827480.9838</v>
      </c>
      <c r="F129">
        <v>33.088999999999999</v>
      </c>
      <c r="G129" t="s">
        <v>603</v>
      </c>
      <c r="H129" t="s">
        <v>52</v>
      </c>
      <c r="I129">
        <v>33.088999999999999</v>
      </c>
      <c r="J129" t="s">
        <v>53</v>
      </c>
      <c r="K129">
        <v>0</v>
      </c>
      <c r="L129" t="s">
        <v>596</v>
      </c>
      <c r="M129" t="s">
        <v>444</v>
      </c>
      <c r="N129">
        <v>-7.4999999999999997E-2</v>
      </c>
      <c r="O129" t="s">
        <v>56</v>
      </c>
      <c r="P129" t="s">
        <v>57</v>
      </c>
      <c r="Q129" t="s">
        <v>59</v>
      </c>
      <c r="R129" t="s">
        <v>109</v>
      </c>
      <c r="S129" t="s">
        <v>604</v>
      </c>
      <c r="T129" t="s">
        <v>61</v>
      </c>
      <c r="U129">
        <v>1.5441</v>
      </c>
      <c r="V129" t="s">
        <v>62</v>
      </c>
      <c r="W129">
        <v>0</v>
      </c>
      <c r="X129">
        <v>31.545000000000002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111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105</v>
      </c>
      <c r="AT129" t="s">
        <v>71</v>
      </c>
      <c r="AU129">
        <v>0</v>
      </c>
      <c r="AV129">
        <v>0</v>
      </c>
    </row>
    <row r="130" spans="1:48" x14ac:dyDescent="0.25">
      <c r="A130" t="s">
        <v>605</v>
      </c>
      <c r="B130" t="s">
        <v>105</v>
      </c>
      <c r="C130" t="s">
        <v>50</v>
      </c>
      <c r="D130">
        <v>440021.00020000001</v>
      </c>
      <c r="E130">
        <v>1827500.9838</v>
      </c>
      <c r="F130">
        <v>32.938000000000002</v>
      </c>
      <c r="G130" t="s">
        <v>606</v>
      </c>
      <c r="H130" t="s">
        <v>52</v>
      </c>
      <c r="I130">
        <v>32.938000000000002</v>
      </c>
      <c r="J130" t="s">
        <v>53</v>
      </c>
      <c r="K130">
        <v>0</v>
      </c>
      <c r="L130" t="s">
        <v>596</v>
      </c>
      <c r="M130" t="s">
        <v>448</v>
      </c>
      <c r="N130">
        <v>-7.4999999999999997E-2</v>
      </c>
      <c r="O130" t="s">
        <v>56</v>
      </c>
      <c r="P130" t="s">
        <v>57</v>
      </c>
      <c r="Q130" t="s">
        <v>59</v>
      </c>
      <c r="R130" t="s">
        <v>109</v>
      </c>
      <c r="S130" t="s">
        <v>607</v>
      </c>
      <c r="T130" t="s">
        <v>61</v>
      </c>
      <c r="U130">
        <v>1.5439000000000001</v>
      </c>
      <c r="V130" t="s">
        <v>62</v>
      </c>
      <c r="W130">
        <v>0</v>
      </c>
      <c r="X130">
        <v>31.393999999999998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111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105</v>
      </c>
      <c r="AT130" t="s">
        <v>71</v>
      </c>
      <c r="AU130">
        <v>0</v>
      </c>
      <c r="AV130">
        <v>0</v>
      </c>
    </row>
    <row r="131" spans="1:48" x14ac:dyDescent="0.25">
      <c r="A131" t="s">
        <v>608</v>
      </c>
      <c r="B131" t="s">
        <v>105</v>
      </c>
      <c r="C131" t="s">
        <v>50</v>
      </c>
      <c r="D131">
        <v>440021.00020000001</v>
      </c>
      <c r="E131">
        <v>1827520.9838</v>
      </c>
      <c r="F131">
        <v>32.786999999999999</v>
      </c>
      <c r="G131" t="s">
        <v>609</v>
      </c>
      <c r="H131" t="s">
        <v>52</v>
      </c>
      <c r="I131">
        <v>32.786999999999999</v>
      </c>
      <c r="J131" t="s">
        <v>53</v>
      </c>
      <c r="K131">
        <v>0</v>
      </c>
      <c r="L131" t="s">
        <v>596</v>
      </c>
      <c r="M131" t="s">
        <v>452</v>
      </c>
      <c r="N131">
        <v>-7.4999999999999997E-2</v>
      </c>
      <c r="O131" t="s">
        <v>56</v>
      </c>
      <c r="P131" t="s">
        <v>57</v>
      </c>
      <c r="Q131" t="s">
        <v>59</v>
      </c>
      <c r="R131" t="s">
        <v>109</v>
      </c>
      <c r="S131" t="s">
        <v>610</v>
      </c>
      <c r="T131" t="s">
        <v>61</v>
      </c>
      <c r="U131">
        <v>1.6547000000000001</v>
      </c>
      <c r="V131" t="s">
        <v>62</v>
      </c>
      <c r="W131">
        <v>0</v>
      </c>
      <c r="X131">
        <v>31.132000000000001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111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105</v>
      </c>
      <c r="AT131" t="s">
        <v>71</v>
      </c>
      <c r="AU131">
        <v>0</v>
      </c>
      <c r="AV131">
        <v>0</v>
      </c>
    </row>
    <row r="132" spans="1:48" x14ac:dyDescent="0.25">
      <c r="A132" t="s">
        <v>611</v>
      </c>
      <c r="B132" t="s">
        <v>125</v>
      </c>
      <c r="C132" t="s">
        <v>50</v>
      </c>
      <c r="D132">
        <v>440020.9252</v>
      </c>
      <c r="E132">
        <v>1827531.6588000001</v>
      </c>
      <c r="F132">
        <v>32.545000000000002</v>
      </c>
      <c r="G132" t="s">
        <v>612</v>
      </c>
      <c r="H132" t="s">
        <v>52</v>
      </c>
      <c r="I132">
        <v>32.545000000000002</v>
      </c>
      <c r="J132" t="s">
        <v>53</v>
      </c>
      <c r="K132">
        <v>0</v>
      </c>
      <c r="L132" t="s">
        <v>127</v>
      </c>
      <c r="M132" t="s">
        <v>613</v>
      </c>
      <c r="N132">
        <v>0.10829999999999999</v>
      </c>
      <c r="O132" t="s">
        <v>56</v>
      </c>
      <c r="P132" t="s">
        <v>57</v>
      </c>
      <c r="Q132" t="s">
        <v>109</v>
      </c>
      <c r="R132" t="s">
        <v>59</v>
      </c>
      <c r="S132" t="s">
        <v>614</v>
      </c>
      <c r="T132" t="s">
        <v>61</v>
      </c>
      <c r="U132">
        <v>2.9365000000000001</v>
      </c>
      <c r="V132" t="s">
        <v>62</v>
      </c>
      <c r="W132">
        <v>0</v>
      </c>
      <c r="X132">
        <v>29.608000000000001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111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125</v>
      </c>
      <c r="AT132" t="s">
        <v>71</v>
      </c>
      <c r="AU132">
        <v>0</v>
      </c>
      <c r="AV132">
        <v>0</v>
      </c>
    </row>
    <row r="133" spans="1:48" x14ac:dyDescent="0.25">
      <c r="A133" t="s">
        <v>615</v>
      </c>
      <c r="B133" t="s">
        <v>73</v>
      </c>
      <c r="C133" t="s">
        <v>50</v>
      </c>
      <c r="D133">
        <v>440030.32520000002</v>
      </c>
      <c r="E133">
        <v>1827277.2726</v>
      </c>
      <c r="F133">
        <v>34.03</v>
      </c>
      <c r="G133" t="s">
        <v>616</v>
      </c>
      <c r="H133" t="s">
        <v>52</v>
      </c>
      <c r="I133">
        <v>34.03</v>
      </c>
      <c r="J133" t="s">
        <v>53</v>
      </c>
      <c r="K133">
        <v>0</v>
      </c>
      <c r="L133" t="s">
        <v>617</v>
      </c>
      <c r="M133" t="s">
        <v>618</v>
      </c>
      <c r="N133">
        <v>0</v>
      </c>
      <c r="O133" t="s">
        <v>56</v>
      </c>
      <c r="P133" t="s">
        <v>57</v>
      </c>
      <c r="Q133" t="s">
        <v>59</v>
      </c>
      <c r="R133" t="s">
        <v>58</v>
      </c>
      <c r="S133" t="s">
        <v>619</v>
      </c>
      <c r="T133" t="s">
        <v>61</v>
      </c>
      <c r="U133">
        <v>1.4748000000000001</v>
      </c>
      <c r="V133" t="s">
        <v>62</v>
      </c>
      <c r="W133">
        <v>0</v>
      </c>
      <c r="X133">
        <v>32.555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73</v>
      </c>
      <c r="AT133" t="s">
        <v>71</v>
      </c>
      <c r="AU133">
        <v>0</v>
      </c>
      <c r="AV133">
        <v>0</v>
      </c>
    </row>
    <row r="134" spans="1:48" x14ac:dyDescent="0.25">
      <c r="A134" t="s">
        <v>620</v>
      </c>
      <c r="B134" t="s">
        <v>73</v>
      </c>
      <c r="C134" t="s">
        <v>50</v>
      </c>
      <c r="D134">
        <v>440030.32520000002</v>
      </c>
      <c r="E134">
        <v>1827297.2726</v>
      </c>
      <c r="F134">
        <v>33.96</v>
      </c>
      <c r="G134" t="s">
        <v>621</v>
      </c>
      <c r="H134" t="s">
        <v>52</v>
      </c>
      <c r="I134">
        <v>33.96</v>
      </c>
      <c r="J134" t="s">
        <v>53</v>
      </c>
      <c r="K134">
        <v>0</v>
      </c>
      <c r="L134" t="s">
        <v>617</v>
      </c>
      <c r="M134" t="s">
        <v>622</v>
      </c>
      <c r="N134">
        <v>0</v>
      </c>
      <c r="O134" t="s">
        <v>56</v>
      </c>
      <c r="P134" t="s">
        <v>57</v>
      </c>
      <c r="Q134" t="s">
        <v>59</v>
      </c>
      <c r="R134" t="s">
        <v>58</v>
      </c>
      <c r="S134" t="s">
        <v>619</v>
      </c>
      <c r="T134" t="s">
        <v>61</v>
      </c>
      <c r="U134">
        <v>1.4748000000000001</v>
      </c>
      <c r="V134" t="s">
        <v>62</v>
      </c>
      <c r="W134">
        <v>0</v>
      </c>
      <c r="X134">
        <v>32.484999999999999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67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73</v>
      </c>
      <c r="AT134" t="s">
        <v>71</v>
      </c>
      <c r="AU134">
        <v>0</v>
      </c>
      <c r="AV134">
        <v>0</v>
      </c>
    </row>
    <row r="135" spans="1:48" x14ac:dyDescent="0.25">
      <c r="A135" t="s">
        <v>623</v>
      </c>
      <c r="B135" t="s">
        <v>73</v>
      </c>
      <c r="C135" t="s">
        <v>50</v>
      </c>
      <c r="D135">
        <v>440030.32520000002</v>
      </c>
      <c r="E135">
        <v>1827317.2726</v>
      </c>
      <c r="F135">
        <v>33.89</v>
      </c>
      <c r="G135" t="s">
        <v>624</v>
      </c>
      <c r="H135" t="s">
        <v>52</v>
      </c>
      <c r="I135">
        <v>33.89</v>
      </c>
      <c r="J135" t="s">
        <v>53</v>
      </c>
      <c r="K135">
        <v>0</v>
      </c>
      <c r="L135" t="s">
        <v>617</v>
      </c>
      <c r="M135" t="s">
        <v>625</v>
      </c>
      <c r="N135">
        <v>0</v>
      </c>
      <c r="O135" t="s">
        <v>56</v>
      </c>
      <c r="P135" t="s">
        <v>57</v>
      </c>
      <c r="Q135" t="s">
        <v>59</v>
      </c>
      <c r="R135" t="s">
        <v>58</v>
      </c>
      <c r="S135" t="s">
        <v>619</v>
      </c>
      <c r="T135" t="s">
        <v>61</v>
      </c>
      <c r="U135">
        <v>1.4748000000000001</v>
      </c>
      <c r="V135" t="s">
        <v>62</v>
      </c>
      <c r="W135">
        <v>0</v>
      </c>
      <c r="X135">
        <v>32.414999999999999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68</v>
      </c>
      <c r="AG135" t="s">
        <v>65</v>
      </c>
      <c r="AH135" t="s">
        <v>65</v>
      </c>
      <c r="AI135" t="s">
        <v>67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73</v>
      </c>
      <c r="AT135" t="s">
        <v>71</v>
      </c>
      <c r="AU135">
        <v>0</v>
      </c>
      <c r="AV135">
        <v>0</v>
      </c>
    </row>
    <row r="136" spans="1:48" x14ac:dyDescent="0.25">
      <c r="A136" t="s">
        <v>626</v>
      </c>
      <c r="B136" t="s">
        <v>73</v>
      </c>
      <c r="C136" t="s">
        <v>50</v>
      </c>
      <c r="D136">
        <v>440030.32520000002</v>
      </c>
      <c r="E136">
        <v>1827337.2726</v>
      </c>
      <c r="F136">
        <v>33.82</v>
      </c>
      <c r="G136" t="s">
        <v>627</v>
      </c>
      <c r="H136" t="s">
        <v>52</v>
      </c>
      <c r="I136">
        <v>33.82</v>
      </c>
      <c r="J136" t="s">
        <v>53</v>
      </c>
      <c r="K136">
        <v>0</v>
      </c>
      <c r="L136" t="s">
        <v>617</v>
      </c>
      <c r="M136" t="s">
        <v>628</v>
      </c>
      <c r="N136">
        <v>0</v>
      </c>
      <c r="O136" t="s">
        <v>56</v>
      </c>
      <c r="P136" t="s">
        <v>57</v>
      </c>
      <c r="Q136" t="s">
        <v>59</v>
      </c>
      <c r="R136" t="s">
        <v>58</v>
      </c>
      <c r="S136" t="s">
        <v>619</v>
      </c>
      <c r="T136" t="s">
        <v>61</v>
      </c>
      <c r="U136">
        <v>1.4748000000000001</v>
      </c>
      <c r="V136" t="s">
        <v>62</v>
      </c>
      <c r="W136">
        <v>0</v>
      </c>
      <c r="X136">
        <v>32.344999999999999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68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73</v>
      </c>
      <c r="AT136" t="s">
        <v>71</v>
      </c>
      <c r="AU136">
        <v>0</v>
      </c>
      <c r="AV136">
        <v>0</v>
      </c>
    </row>
    <row r="137" spans="1:48" x14ac:dyDescent="0.25">
      <c r="A137" t="s">
        <v>629</v>
      </c>
      <c r="B137" t="s">
        <v>73</v>
      </c>
      <c r="C137" t="s">
        <v>50</v>
      </c>
      <c r="D137">
        <v>440030.32520000002</v>
      </c>
      <c r="E137">
        <v>1827357.2726</v>
      </c>
      <c r="F137">
        <v>33.75</v>
      </c>
      <c r="G137" t="s">
        <v>630</v>
      </c>
      <c r="H137" t="s">
        <v>52</v>
      </c>
      <c r="I137">
        <v>33.75</v>
      </c>
      <c r="J137" t="s">
        <v>53</v>
      </c>
      <c r="K137">
        <v>0</v>
      </c>
      <c r="L137" t="s">
        <v>617</v>
      </c>
      <c r="M137" t="s">
        <v>631</v>
      </c>
      <c r="N137">
        <v>0</v>
      </c>
      <c r="O137" t="s">
        <v>56</v>
      </c>
      <c r="P137" t="s">
        <v>57</v>
      </c>
      <c r="Q137" t="s">
        <v>59</v>
      </c>
      <c r="R137" t="s">
        <v>58</v>
      </c>
      <c r="S137" t="s">
        <v>619</v>
      </c>
      <c r="T137" t="s">
        <v>61</v>
      </c>
      <c r="U137">
        <v>1.4748000000000001</v>
      </c>
      <c r="V137" t="s">
        <v>62</v>
      </c>
      <c r="W137">
        <v>0</v>
      </c>
      <c r="X137">
        <v>32.274999999999999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68</v>
      </c>
      <c r="AG137" t="s">
        <v>65</v>
      </c>
      <c r="AH137" t="s">
        <v>65</v>
      </c>
      <c r="AI137" t="s">
        <v>67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73</v>
      </c>
      <c r="AT137" t="s">
        <v>71</v>
      </c>
      <c r="AU137">
        <v>0</v>
      </c>
      <c r="AV137">
        <v>0</v>
      </c>
    </row>
    <row r="138" spans="1:48" x14ac:dyDescent="0.25">
      <c r="A138" t="s">
        <v>632</v>
      </c>
      <c r="B138" t="s">
        <v>73</v>
      </c>
      <c r="C138" t="s">
        <v>50</v>
      </c>
      <c r="D138">
        <v>440030.32520000002</v>
      </c>
      <c r="E138">
        <v>1827377.2726</v>
      </c>
      <c r="F138">
        <v>33.68</v>
      </c>
      <c r="G138" t="s">
        <v>633</v>
      </c>
      <c r="H138" t="s">
        <v>52</v>
      </c>
      <c r="I138">
        <v>33.68</v>
      </c>
      <c r="J138" t="s">
        <v>53</v>
      </c>
      <c r="K138">
        <v>0</v>
      </c>
      <c r="L138" t="s">
        <v>617</v>
      </c>
      <c r="M138" t="s">
        <v>634</v>
      </c>
      <c r="N138">
        <v>0</v>
      </c>
      <c r="O138" t="s">
        <v>56</v>
      </c>
      <c r="P138" t="s">
        <v>57</v>
      </c>
      <c r="Q138" t="s">
        <v>59</v>
      </c>
      <c r="R138" t="s">
        <v>58</v>
      </c>
      <c r="S138" t="s">
        <v>619</v>
      </c>
      <c r="T138" t="s">
        <v>61</v>
      </c>
      <c r="U138">
        <v>1.4748000000000001</v>
      </c>
      <c r="V138" t="s">
        <v>62</v>
      </c>
      <c r="W138">
        <v>0</v>
      </c>
      <c r="X138">
        <v>32.204999999999998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73</v>
      </c>
      <c r="AT138" t="s">
        <v>71</v>
      </c>
      <c r="AU138">
        <v>0</v>
      </c>
      <c r="AV138">
        <v>0</v>
      </c>
    </row>
    <row r="139" spans="1:48" x14ac:dyDescent="0.25">
      <c r="A139" t="s">
        <v>635</v>
      </c>
      <c r="B139" t="s">
        <v>73</v>
      </c>
      <c r="C139" t="s">
        <v>50</v>
      </c>
      <c r="D139">
        <v>440030.32520000002</v>
      </c>
      <c r="E139">
        <v>1827397.2726</v>
      </c>
      <c r="F139">
        <v>33.61</v>
      </c>
      <c r="G139" t="s">
        <v>636</v>
      </c>
      <c r="H139" t="s">
        <v>52</v>
      </c>
      <c r="I139">
        <v>33.61</v>
      </c>
      <c r="J139" t="s">
        <v>53</v>
      </c>
      <c r="K139">
        <v>0</v>
      </c>
      <c r="L139" t="s">
        <v>617</v>
      </c>
      <c r="M139" s="1" t="s">
        <v>637</v>
      </c>
      <c r="N139">
        <v>0</v>
      </c>
      <c r="O139" t="s">
        <v>56</v>
      </c>
      <c r="P139" t="s">
        <v>57</v>
      </c>
      <c r="Q139" t="s">
        <v>59</v>
      </c>
      <c r="R139" t="s">
        <v>58</v>
      </c>
      <c r="S139" t="s">
        <v>638</v>
      </c>
      <c r="T139" t="s">
        <v>61</v>
      </c>
      <c r="U139">
        <v>1.6778</v>
      </c>
      <c r="V139" t="s">
        <v>62</v>
      </c>
      <c r="W139">
        <v>0</v>
      </c>
      <c r="X139">
        <v>31.931999999999999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73</v>
      </c>
      <c r="AT139" t="s">
        <v>71</v>
      </c>
      <c r="AU139">
        <v>0</v>
      </c>
      <c r="AV139">
        <v>0</v>
      </c>
    </row>
    <row r="140" spans="1:48" x14ac:dyDescent="0.25">
      <c r="A140" t="s">
        <v>639</v>
      </c>
      <c r="B140" t="s">
        <v>73</v>
      </c>
      <c r="C140" t="s">
        <v>50</v>
      </c>
      <c r="D140">
        <v>440030.32520000002</v>
      </c>
      <c r="E140">
        <v>1827413.1096000001</v>
      </c>
      <c r="F140">
        <v>33.466999999999999</v>
      </c>
      <c r="G140" t="s">
        <v>640</v>
      </c>
      <c r="H140" t="s">
        <v>52</v>
      </c>
      <c r="I140">
        <v>33.466999999999999</v>
      </c>
      <c r="J140" t="s">
        <v>53</v>
      </c>
      <c r="K140">
        <v>0</v>
      </c>
      <c r="L140" t="s">
        <v>617</v>
      </c>
      <c r="M140" t="s">
        <v>641</v>
      </c>
      <c r="N140">
        <v>0.15820000000000001</v>
      </c>
      <c r="O140" t="s">
        <v>56</v>
      </c>
      <c r="P140" t="s">
        <v>57</v>
      </c>
      <c r="Q140" t="s">
        <v>59</v>
      </c>
      <c r="R140" t="s">
        <v>58</v>
      </c>
      <c r="S140" t="s">
        <v>642</v>
      </c>
      <c r="T140" t="s">
        <v>61</v>
      </c>
      <c r="U140">
        <v>1.5819000000000001</v>
      </c>
      <c r="V140" t="s">
        <v>62</v>
      </c>
      <c r="W140">
        <v>0</v>
      </c>
      <c r="X140">
        <v>31.885000000000002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73</v>
      </c>
      <c r="AT140" t="s">
        <v>71</v>
      </c>
      <c r="AU140">
        <v>0</v>
      </c>
      <c r="AV140">
        <v>0</v>
      </c>
    </row>
    <row r="141" spans="1:48" x14ac:dyDescent="0.25">
      <c r="A141" t="s">
        <v>643</v>
      </c>
      <c r="B141" t="s">
        <v>105</v>
      </c>
      <c r="C141" t="s">
        <v>50</v>
      </c>
      <c r="D141">
        <v>440031.66019999998</v>
      </c>
      <c r="E141">
        <v>1827426.835</v>
      </c>
      <c r="F141">
        <v>33.436999999999998</v>
      </c>
      <c r="G141" t="s">
        <v>644</v>
      </c>
      <c r="H141" t="s">
        <v>52</v>
      </c>
      <c r="I141">
        <v>33.436999999999998</v>
      </c>
      <c r="J141" t="s">
        <v>53</v>
      </c>
      <c r="K141">
        <v>0</v>
      </c>
      <c r="L141" t="s">
        <v>645</v>
      </c>
      <c r="M141" t="s">
        <v>646</v>
      </c>
      <c r="N141">
        <v>0.24340000000000001</v>
      </c>
      <c r="O141" t="s">
        <v>56</v>
      </c>
      <c r="P141" t="s">
        <v>57</v>
      </c>
      <c r="Q141" t="s">
        <v>59</v>
      </c>
      <c r="R141" t="s">
        <v>109</v>
      </c>
      <c r="S141" t="s">
        <v>647</v>
      </c>
      <c r="T141" t="s">
        <v>61</v>
      </c>
      <c r="U141">
        <v>1.5672999999999999</v>
      </c>
      <c r="V141" t="s">
        <v>62</v>
      </c>
      <c r="W141">
        <v>0</v>
      </c>
      <c r="X141">
        <v>31.87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111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105</v>
      </c>
      <c r="AT141" t="s">
        <v>71</v>
      </c>
      <c r="AU141">
        <v>0</v>
      </c>
      <c r="AV141">
        <v>0</v>
      </c>
    </row>
    <row r="142" spans="1:48" x14ac:dyDescent="0.25">
      <c r="A142" t="s">
        <v>648</v>
      </c>
      <c r="B142" t="s">
        <v>105</v>
      </c>
      <c r="C142" t="s">
        <v>50</v>
      </c>
      <c r="D142">
        <v>440031.65019999997</v>
      </c>
      <c r="E142">
        <v>1827440.9838</v>
      </c>
      <c r="F142">
        <v>33.390999999999998</v>
      </c>
      <c r="G142" t="s">
        <v>649</v>
      </c>
      <c r="H142" t="s">
        <v>52</v>
      </c>
      <c r="I142">
        <v>33.390999999999998</v>
      </c>
      <c r="J142" t="s">
        <v>53</v>
      </c>
      <c r="K142">
        <v>0</v>
      </c>
      <c r="L142" t="s">
        <v>645</v>
      </c>
      <c r="M142" t="s">
        <v>597</v>
      </c>
      <c r="N142">
        <v>0.2535</v>
      </c>
      <c r="O142" t="s">
        <v>56</v>
      </c>
      <c r="P142" t="s">
        <v>57</v>
      </c>
      <c r="Q142" t="s">
        <v>59</v>
      </c>
      <c r="R142" t="s">
        <v>109</v>
      </c>
      <c r="S142" t="s">
        <v>598</v>
      </c>
      <c r="T142" t="s">
        <v>61</v>
      </c>
      <c r="U142">
        <v>1.5435000000000001</v>
      </c>
      <c r="V142" t="s">
        <v>62</v>
      </c>
      <c r="W142">
        <v>0</v>
      </c>
      <c r="X142">
        <v>31.847999999999999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111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105</v>
      </c>
      <c r="AT142" t="s">
        <v>71</v>
      </c>
      <c r="AU142">
        <v>0</v>
      </c>
      <c r="AV142">
        <v>0</v>
      </c>
    </row>
    <row r="143" spans="1:48" x14ac:dyDescent="0.25">
      <c r="A143" t="s">
        <v>650</v>
      </c>
      <c r="B143" t="s">
        <v>105</v>
      </c>
      <c r="C143" t="s">
        <v>50</v>
      </c>
      <c r="D143">
        <v>440031.65019999997</v>
      </c>
      <c r="E143">
        <v>1827460.9838</v>
      </c>
      <c r="F143">
        <v>33.24</v>
      </c>
      <c r="G143" t="s">
        <v>651</v>
      </c>
      <c r="H143" t="s">
        <v>52</v>
      </c>
      <c r="I143">
        <v>33.24</v>
      </c>
      <c r="J143" t="s">
        <v>53</v>
      </c>
      <c r="K143">
        <v>0</v>
      </c>
      <c r="L143" t="s">
        <v>645</v>
      </c>
      <c r="M143" t="s">
        <v>440</v>
      </c>
      <c r="N143">
        <v>0.2535</v>
      </c>
      <c r="O143" t="s">
        <v>56</v>
      </c>
      <c r="P143" t="s">
        <v>57</v>
      </c>
      <c r="Q143" t="s">
        <v>59</v>
      </c>
      <c r="R143" t="s">
        <v>109</v>
      </c>
      <c r="S143" t="s">
        <v>601</v>
      </c>
      <c r="T143" t="s">
        <v>61</v>
      </c>
      <c r="U143">
        <v>1.5443</v>
      </c>
      <c r="V143" t="s">
        <v>62</v>
      </c>
      <c r="W143">
        <v>0</v>
      </c>
      <c r="X143">
        <v>31.696000000000002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111</v>
      </c>
      <c r="AG143" t="s">
        <v>65</v>
      </c>
      <c r="AH143" t="s">
        <v>65</v>
      </c>
      <c r="AI143" t="s">
        <v>67</v>
      </c>
      <c r="AK143" t="s">
        <v>66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105</v>
      </c>
      <c r="AT143" t="s">
        <v>71</v>
      </c>
      <c r="AU143">
        <v>0</v>
      </c>
      <c r="AV143">
        <v>0</v>
      </c>
    </row>
    <row r="144" spans="1:48" x14ac:dyDescent="0.25">
      <c r="A144" t="s">
        <v>652</v>
      </c>
      <c r="B144" t="s">
        <v>105</v>
      </c>
      <c r="C144" t="s">
        <v>50</v>
      </c>
      <c r="D144">
        <v>440031.65019999997</v>
      </c>
      <c r="E144">
        <v>1827480.9838</v>
      </c>
      <c r="F144">
        <v>33.088999999999999</v>
      </c>
      <c r="G144" t="s">
        <v>653</v>
      </c>
      <c r="H144" t="s">
        <v>52</v>
      </c>
      <c r="I144">
        <v>33.088999999999999</v>
      </c>
      <c r="J144" t="s">
        <v>53</v>
      </c>
      <c r="K144">
        <v>0</v>
      </c>
      <c r="L144" t="s">
        <v>645</v>
      </c>
      <c r="M144" t="s">
        <v>444</v>
      </c>
      <c r="N144">
        <v>0.2535</v>
      </c>
      <c r="O144" t="s">
        <v>56</v>
      </c>
      <c r="P144" t="s">
        <v>57</v>
      </c>
      <c r="Q144" t="s">
        <v>59</v>
      </c>
      <c r="R144" t="s">
        <v>109</v>
      </c>
      <c r="S144" t="s">
        <v>604</v>
      </c>
      <c r="T144" t="s">
        <v>61</v>
      </c>
      <c r="U144">
        <v>1.5441</v>
      </c>
      <c r="V144" t="s">
        <v>62</v>
      </c>
      <c r="W144">
        <v>0</v>
      </c>
      <c r="X144">
        <v>31.545000000000002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111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105</v>
      </c>
      <c r="AT144" t="s">
        <v>71</v>
      </c>
      <c r="AU144">
        <v>0</v>
      </c>
      <c r="AV144">
        <v>0</v>
      </c>
    </row>
    <row r="145" spans="1:48" x14ac:dyDescent="0.25">
      <c r="A145" t="s">
        <v>654</v>
      </c>
      <c r="B145" t="s">
        <v>105</v>
      </c>
      <c r="C145" t="s">
        <v>50</v>
      </c>
      <c r="D145">
        <v>440031.65019999997</v>
      </c>
      <c r="E145">
        <v>1827500.9838</v>
      </c>
      <c r="F145">
        <v>32.938000000000002</v>
      </c>
      <c r="G145" t="s">
        <v>655</v>
      </c>
      <c r="H145" t="s">
        <v>52</v>
      </c>
      <c r="I145">
        <v>32.938000000000002</v>
      </c>
      <c r="J145" t="s">
        <v>53</v>
      </c>
      <c r="K145">
        <v>0</v>
      </c>
      <c r="L145" t="s">
        <v>645</v>
      </c>
      <c r="M145" t="s">
        <v>448</v>
      </c>
      <c r="N145">
        <v>0.2535</v>
      </c>
      <c r="O145" t="s">
        <v>56</v>
      </c>
      <c r="P145" t="s">
        <v>57</v>
      </c>
      <c r="Q145" t="s">
        <v>59</v>
      </c>
      <c r="R145" t="s">
        <v>109</v>
      </c>
      <c r="S145" t="s">
        <v>607</v>
      </c>
      <c r="T145" t="s">
        <v>61</v>
      </c>
      <c r="U145">
        <v>1.5439000000000001</v>
      </c>
      <c r="V145" t="s">
        <v>62</v>
      </c>
      <c r="W145">
        <v>0</v>
      </c>
      <c r="X145">
        <v>31.393999999999998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111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105</v>
      </c>
      <c r="AT145" t="s">
        <v>71</v>
      </c>
      <c r="AU145">
        <v>0</v>
      </c>
      <c r="AV145">
        <v>0</v>
      </c>
    </row>
    <row r="146" spans="1:48" x14ac:dyDescent="0.25">
      <c r="A146" t="s">
        <v>656</v>
      </c>
      <c r="B146" t="s">
        <v>105</v>
      </c>
      <c r="C146" t="s">
        <v>50</v>
      </c>
      <c r="D146">
        <v>440031.65019999997</v>
      </c>
      <c r="E146">
        <v>1827520.9838</v>
      </c>
      <c r="F146">
        <v>32.786999999999999</v>
      </c>
      <c r="G146" t="s">
        <v>657</v>
      </c>
      <c r="H146" t="s">
        <v>52</v>
      </c>
      <c r="I146">
        <v>32.786999999999999</v>
      </c>
      <c r="J146" t="s">
        <v>53</v>
      </c>
      <c r="K146">
        <v>0</v>
      </c>
      <c r="L146" t="s">
        <v>645</v>
      </c>
      <c r="M146" t="s">
        <v>452</v>
      </c>
      <c r="N146">
        <v>0.2535</v>
      </c>
      <c r="O146" t="s">
        <v>56</v>
      </c>
      <c r="P146" t="s">
        <v>57</v>
      </c>
      <c r="Q146" t="s">
        <v>59</v>
      </c>
      <c r="R146" t="s">
        <v>109</v>
      </c>
      <c r="S146" t="s">
        <v>610</v>
      </c>
      <c r="T146" t="s">
        <v>61</v>
      </c>
      <c r="U146">
        <v>1.6547000000000001</v>
      </c>
      <c r="V146" t="s">
        <v>62</v>
      </c>
      <c r="W146">
        <v>0</v>
      </c>
      <c r="X146">
        <v>31.132000000000001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111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105</v>
      </c>
      <c r="AT146" t="s">
        <v>71</v>
      </c>
      <c r="AU146">
        <v>0</v>
      </c>
      <c r="AV146">
        <v>0</v>
      </c>
    </row>
    <row r="147" spans="1:48" x14ac:dyDescent="0.25">
      <c r="A147" t="s">
        <v>658</v>
      </c>
      <c r="B147" t="s">
        <v>125</v>
      </c>
      <c r="C147" t="s">
        <v>50</v>
      </c>
      <c r="D147">
        <v>440031.6153</v>
      </c>
      <c r="E147">
        <v>1827531.6588000001</v>
      </c>
      <c r="F147">
        <v>32.545999999999999</v>
      </c>
      <c r="G147" t="s">
        <v>659</v>
      </c>
      <c r="H147" t="s">
        <v>52</v>
      </c>
      <c r="I147">
        <v>32.545999999999999</v>
      </c>
      <c r="J147" t="s">
        <v>53</v>
      </c>
      <c r="K147">
        <v>0</v>
      </c>
      <c r="L147" t="s">
        <v>127</v>
      </c>
      <c r="M147" t="s">
        <v>660</v>
      </c>
      <c r="N147">
        <v>0.10829999999999999</v>
      </c>
      <c r="O147" t="s">
        <v>56</v>
      </c>
      <c r="P147" t="s">
        <v>57</v>
      </c>
      <c r="Q147" t="s">
        <v>109</v>
      </c>
      <c r="R147" t="s">
        <v>59</v>
      </c>
      <c r="S147" t="s">
        <v>661</v>
      </c>
      <c r="T147" t="s">
        <v>61</v>
      </c>
      <c r="U147">
        <v>2.9504000000000001</v>
      </c>
      <c r="V147" t="s">
        <v>62</v>
      </c>
      <c r="W147">
        <v>0</v>
      </c>
      <c r="X147">
        <v>29.596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111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125</v>
      </c>
      <c r="AT147" t="s">
        <v>71</v>
      </c>
      <c r="AU147">
        <v>0</v>
      </c>
      <c r="AV147">
        <v>0</v>
      </c>
    </row>
    <row r="148" spans="1:48" x14ac:dyDescent="0.25">
      <c r="A148" t="s">
        <v>662</v>
      </c>
      <c r="B148" t="s">
        <v>125</v>
      </c>
      <c r="C148" t="s">
        <v>50</v>
      </c>
      <c r="D148">
        <v>440048.22489999997</v>
      </c>
      <c r="E148">
        <v>1827531.6588000001</v>
      </c>
      <c r="F148">
        <v>32.423000000000002</v>
      </c>
      <c r="G148" t="s">
        <v>663</v>
      </c>
      <c r="H148" t="s">
        <v>52</v>
      </c>
      <c r="I148">
        <v>32.423000000000002</v>
      </c>
      <c r="J148" t="s">
        <v>53</v>
      </c>
      <c r="K148">
        <v>0</v>
      </c>
      <c r="L148" t="s">
        <v>127</v>
      </c>
      <c r="M148" t="s">
        <v>424</v>
      </c>
      <c r="N148">
        <v>0.10829999999999999</v>
      </c>
      <c r="O148" t="s">
        <v>56</v>
      </c>
      <c r="P148" t="s">
        <v>57</v>
      </c>
      <c r="Q148" t="s">
        <v>109</v>
      </c>
      <c r="R148" t="s">
        <v>59</v>
      </c>
      <c r="S148" t="s">
        <v>664</v>
      </c>
      <c r="T148" t="s">
        <v>61</v>
      </c>
      <c r="U148">
        <v>2.8435000000000001</v>
      </c>
      <c r="V148" t="s">
        <v>62</v>
      </c>
      <c r="W148">
        <v>0</v>
      </c>
      <c r="X148">
        <v>29.579000000000001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67</v>
      </c>
      <c r="AK148" t="s">
        <v>111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125</v>
      </c>
      <c r="AT148" t="s">
        <v>71</v>
      </c>
      <c r="AU148">
        <v>0</v>
      </c>
      <c r="AV148">
        <v>0</v>
      </c>
    </row>
    <row r="149" spans="1:48" x14ac:dyDescent="0.25">
      <c r="A149" t="s">
        <v>665</v>
      </c>
      <c r="B149" t="s">
        <v>125</v>
      </c>
      <c r="C149" t="s">
        <v>50</v>
      </c>
      <c r="D149">
        <v>440068.22489999997</v>
      </c>
      <c r="E149">
        <v>1827531.6588000001</v>
      </c>
      <c r="F149">
        <v>32.320999999999998</v>
      </c>
      <c r="G149" t="s">
        <v>666</v>
      </c>
      <c r="H149" t="s">
        <v>52</v>
      </c>
      <c r="I149">
        <v>32.320999999999998</v>
      </c>
      <c r="J149" t="s">
        <v>53</v>
      </c>
      <c r="K149">
        <v>0</v>
      </c>
      <c r="L149" t="s">
        <v>127</v>
      </c>
      <c r="M149" t="s">
        <v>428</v>
      </c>
      <c r="N149">
        <v>0.10829999999999999</v>
      </c>
      <c r="O149" t="s">
        <v>56</v>
      </c>
      <c r="P149" t="s">
        <v>57</v>
      </c>
      <c r="Q149" t="s">
        <v>109</v>
      </c>
      <c r="R149" t="s">
        <v>59</v>
      </c>
      <c r="S149" t="s">
        <v>667</v>
      </c>
      <c r="T149" t="s">
        <v>61</v>
      </c>
      <c r="U149">
        <v>2.8561999999999999</v>
      </c>
      <c r="V149" t="s">
        <v>62</v>
      </c>
      <c r="W149">
        <v>0</v>
      </c>
      <c r="X149">
        <v>29.465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111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125</v>
      </c>
      <c r="AT149" t="s">
        <v>71</v>
      </c>
      <c r="AU149">
        <v>0</v>
      </c>
      <c r="AV149">
        <v>0</v>
      </c>
    </row>
    <row r="150" spans="1:48" x14ac:dyDescent="0.25">
      <c r="A150" t="s">
        <v>668</v>
      </c>
      <c r="B150" t="s">
        <v>125</v>
      </c>
      <c r="C150" t="s">
        <v>50</v>
      </c>
      <c r="D150">
        <v>440088.22489999997</v>
      </c>
      <c r="E150">
        <v>1827531.6588000001</v>
      </c>
      <c r="F150">
        <v>32.207000000000001</v>
      </c>
      <c r="G150" t="s">
        <v>669</v>
      </c>
      <c r="H150" t="s">
        <v>52</v>
      </c>
      <c r="I150">
        <v>32.207000000000001</v>
      </c>
      <c r="J150" t="s">
        <v>53</v>
      </c>
      <c r="K150">
        <v>0</v>
      </c>
      <c r="L150" t="s">
        <v>127</v>
      </c>
      <c r="M150" t="s">
        <v>432</v>
      </c>
      <c r="N150">
        <v>0.10829999999999999</v>
      </c>
      <c r="O150" t="s">
        <v>56</v>
      </c>
      <c r="P150" t="s">
        <v>57</v>
      </c>
      <c r="Q150" t="s">
        <v>109</v>
      </c>
      <c r="R150" t="s">
        <v>59</v>
      </c>
      <c r="S150" t="s">
        <v>670</v>
      </c>
      <c r="T150" t="s">
        <v>61</v>
      </c>
      <c r="U150">
        <v>2.8563999999999998</v>
      </c>
      <c r="V150" t="s">
        <v>62</v>
      </c>
      <c r="W150">
        <v>0</v>
      </c>
      <c r="X150">
        <v>29.350999999999999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67</v>
      </c>
      <c r="AK150" t="s">
        <v>111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125</v>
      </c>
      <c r="AT150" t="s">
        <v>71</v>
      </c>
      <c r="AU150">
        <v>0</v>
      </c>
      <c r="AV150">
        <v>0</v>
      </c>
    </row>
    <row r="151" spans="1:48" x14ac:dyDescent="0.25">
      <c r="A151" t="s">
        <v>671</v>
      </c>
      <c r="B151" t="s">
        <v>125</v>
      </c>
      <c r="C151" t="s">
        <v>50</v>
      </c>
      <c r="D151">
        <v>440108.22489999997</v>
      </c>
      <c r="E151">
        <v>1827531.6588000001</v>
      </c>
      <c r="F151">
        <v>32.094000000000001</v>
      </c>
      <c r="G151" t="s">
        <v>672</v>
      </c>
      <c r="H151" t="s">
        <v>52</v>
      </c>
      <c r="I151">
        <v>32.094000000000001</v>
      </c>
      <c r="J151" t="s">
        <v>53</v>
      </c>
      <c r="K151">
        <v>0</v>
      </c>
      <c r="L151" t="s">
        <v>127</v>
      </c>
      <c r="M151" t="s">
        <v>597</v>
      </c>
      <c r="N151">
        <v>0.10829999999999999</v>
      </c>
      <c r="O151" t="s">
        <v>56</v>
      </c>
      <c r="P151" t="s">
        <v>57</v>
      </c>
      <c r="Q151" t="s">
        <v>109</v>
      </c>
      <c r="R151" t="s">
        <v>59</v>
      </c>
      <c r="S151" t="s">
        <v>673</v>
      </c>
      <c r="T151" t="s">
        <v>61</v>
      </c>
      <c r="U151">
        <v>2.8576000000000001</v>
      </c>
      <c r="V151" t="s">
        <v>62</v>
      </c>
      <c r="W151">
        <v>0</v>
      </c>
      <c r="X151">
        <v>29.236000000000001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67</v>
      </c>
      <c r="AK151" t="s">
        <v>111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125</v>
      </c>
      <c r="AT151" t="s">
        <v>71</v>
      </c>
      <c r="AU151">
        <v>0</v>
      </c>
      <c r="AV151">
        <v>0</v>
      </c>
    </row>
    <row r="152" spans="1:48" x14ac:dyDescent="0.25">
      <c r="A152" t="s">
        <v>674</v>
      </c>
      <c r="B152" t="s">
        <v>73</v>
      </c>
      <c r="C152" t="s">
        <v>50</v>
      </c>
      <c r="D152">
        <v>440127.02500000002</v>
      </c>
      <c r="E152">
        <v>1827427.9246</v>
      </c>
      <c r="F152">
        <v>32.848999999999997</v>
      </c>
      <c r="G152" t="s">
        <v>675</v>
      </c>
      <c r="H152" t="s">
        <v>52</v>
      </c>
      <c r="I152">
        <v>32.848999999999997</v>
      </c>
      <c r="J152" t="s">
        <v>53</v>
      </c>
      <c r="K152">
        <v>0</v>
      </c>
      <c r="L152" t="s">
        <v>307</v>
      </c>
      <c r="M152" t="s">
        <v>676</v>
      </c>
      <c r="N152">
        <v>-2.0000000000000001E-4</v>
      </c>
      <c r="O152" t="s">
        <v>56</v>
      </c>
      <c r="P152" t="s">
        <v>57</v>
      </c>
      <c r="Q152" t="s">
        <v>59</v>
      </c>
      <c r="R152" t="s">
        <v>58</v>
      </c>
      <c r="S152" t="s">
        <v>677</v>
      </c>
      <c r="T152" t="s">
        <v>61</v>
      </c>
      <c r="U152">
        <v>1.5708</v>
      </c>
      <c r="V152" t="s">
        <v>62</v>
      </c>
      <c r="W152">
        <v>0</v>
      </c>
      <c r="X152">
        <v>31.277999999999999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66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73</v>
      </c>
      <c r="AT152" t="s">
        <v>71</v>
      </c>
      <c r="AU152">
        <v>0</v>
      </c>
      <c r="AV152">
        <v>0</v>
      </c>
    </row>
    <row r="153" spans="1:48" x14ac:dyDescent="0.25">
      <c r="A153" t="s">
        <v>678</v>
      </c>
      <c r="B153" t="s">
        <v>73</v>
      </c>
      <c r="C153" t="s">
        <v>50</v>
      </c>
      <c r="D153">
        <v>440127.02500000002</v>
      </c>
      <c r="E153">
        <v>1827462.595</v>
      </c>
      <c r="F153">
        <v>32.698</v>
      </c>
      <c r="G153" t="s">
        <v>679</v>
      </c>
      <c r="H153" t="s">
        <v>52</v>
      </c>
      <c r="I153">
        <v>32.698</v>
      </c>
      <c r="J153" t="s">
        <v>53</v>
      </c>
      <c r="K153">
        <v>0</v>
      </c>
      <c r="L153" t="s">
        <v>307</v>
      </c>
      <c r="M153" t="s">
        <v>680</v>
      </c>
      <c r="N153">
        <v>-8.3999999999999995E-3</v>
      </c>
      <c r="O153" t="s">
        <v>56</v>
      </c>
      <c r="P153" t="s">
        <v>57</v>
      </c>
      <c r="Q153" t="s">
        <v>59</v>
      </c>
      <c r="R153" t="s">
        <v>58</v>
      </c>
      <c r="S153" t="s">
        <v>681</v>
      </c>
      <c r="T153" t="s">
        <v>61</v>
      </c>
      <c r="U153">
        <v>1.4899</v>
      </c>
      <c r="V153" t="s">
        <v>62</v>
      </c>
      <c r="W153">
        <v>0</v>
      </c>
      <c r="X153">
        <v>31.207999999999998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66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73</v>
      </c>
      <c r="AT153" t="s">
        <v>71</v>
      </c>
      <c r="AU153">
        <v>0</v>
      </c>
      <c r="AV153">
        <v>0</v>
      </c>
    </row>
    <row r="154" spans="1:48" x14ac:dyDescent="0.25">
      <c r="A154" t="s">
        <v>682</v>
      </c>
      <c r="B154" t="s">
        <v>73</v>
      </c>
      <c r="C154" t="s">
        <v>50</v>
      </c>
      <c r="D154">
        <v>440127.02500000002</v>
      </c>
      <c r="E154">
        <v>1827479.4831999999</v>
      </c>
      <c r="F154">
        <v>32.612000000000002</v>
      </c>
      <c r="G154" t="s">
        <v>683</v>
      </c>
      <c r="H154" t="s">
        <v>52</v>
      </c>
      <c r="I154">
        <v>32.612000000000002</v>
      </c>
      <c r="J154" t="s">
        <v>53</v>
      </c>
      <c r="K154">
        <v>0</v>
      </c>
      <c r="L154" t="s">
        <v>307</v>
      </c>
      <c r="M154" t="s">
        <v>448</v>
      </c>
      <c r="N154">
        <v>-1.2500000000000001E-2</v>
      </c>
      <c r="O154" t="s">
        <v>56</v>
      </c>
      <c r="P154" t="s">
        <v>57</v>
      </c>
      <c r="Q154" t="s">
        <v>59</v>
      </c>
      <c r="R154" t="s">
        <v>58</v>
      </c>
      <c r="S154" t="s">
        <v>684</v>
      </c>
      <c r="T154" t="s">
        <v>61</v>
      </c>
      <c r="U154">
        <v>1.4959</v>
      </c>
      <c r="V154" t="s">
        <v>62</v>
      </c>
      <c r="W154">
        <v>0</v>
      </c>
      <c r="X154">
        <v>31.116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68</v>
      </c>
      <c r="AG154" t="s">
        <v>65</v>
      </c>
      <c r="AH154" t="s">
        <v>65</v>
      </c>
      <c r="AI154" t="s">
        <v>67</v>
      </c>
      <c r="AK154" t="s">
        <v>66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73</v>
      </c>
      <c r="AT154" t="s">
        <v>71</v>
      </c>
      <c r="AU154">
        <v>0</v>
      </c>
      <c r="AV154">
        <v>0</v>
      </c>
    </row>
    <row r="155" spans="1:48" x14ac:dyDescent="0.25">
      <c r="A155" t="s">
        <v>685</v>
      </c>
      <c r="B155" t="s">
        <v>73</v>
      </c>
      <c r="C155" t="s">
        <v>50</v>
      </c>
      <c r="D155">
        <v>440127.02500000002</v>
      </c>
      <c r="E155">
        <v>1827499.4831999999</v>
      </c>
      <c r="F155">
        <v>32.51</v>
      </c>
      <c r="G155" t="s">
        <v>686</v>
      </c>
      <c r="H155" t="s">
        <v>52</v>
      </c>
      <c r="I155">
        <v>32.51</v>
      </c>
      <c r="J155" t="s">
        <v>53</v>
      </c>
      <c r="K155">
        <v>0</v>
      </c>
      <c r="L155" t="s">
        <v>307</v>
      </c>
      <c r="M155" s="1" t="s">
        <v>452</v>
      </c>
      <c r="N155">
        <v>-1.72E-2</v>
      </c>
      <c r="O155" t="s">
        <v>56</v>
      </c>
      <c r="P155" t="s">
        <v>57</v>
      </c>
      <c r="Q155" t="s">
        <v>59</v>
      </c>
      <c r="R155" t="s">
        <v>58</v>
      </c>
      <c r="S155" t="s">
        <v>687</v>
      </c>
      <c r="T155" t="s">
        <v>61</v>
      </c>
      <c r="U155">
        <v>1.496</v>
      </c>
      <c r="V155" t="s">
        <v>62</v>
      </c>
      <c r="W155">
        <v>0</v>
      </c>
      <c r="X155">
        <v>31.013999999999999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68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73</v>
      </c>
      <c r="AT155" t="s">
        <v>71</v>
      </c>
      <c r="AU155">
        <v>0</v>
      </c>
      <c r="AV155">
        <v>0</v>
      </c>
    </row>
    <row r="156" spans="1:48" x14ac:dyDescent="0.25">
      <c r="A156" t="s">
        <v>688</v>
      </c>
      <c r="B156" t="s">
        <v>49</v>
      </c>
      <c r="C156" t="s">
        <v>50</v>
      </c>
      <c r="D156">
        <v>440044.59409999999</v>
      </c>
      <c r="E156">
        <v>1827425.0486000001</v>
      </c>
      <c r="F156">
        <v>33.408000000000001</v>
      </c>
      <c r="G156" t="s">
        <v>689</v>
      </c>
      <c r="H156" t="s">
        <v>52</v>
      </c>
      <c r="I156">
        <v>33.408000000000001</v>
      </c>
      <c r="J156" t="s">
        <v>53</v>
      </c>
      <c r="K156">
        <v>0</v>
      </c>
      <c r="L156" t="s">
        <v>80</v>
      </c>
      <c r="M156" s="1" t="s">
        <v>690</v>
      </c>
      <c r="N156">
        <v>-4.4699999999999997E-2</v>
      </c>
      <c r="O156" t="s">
        <v>56</v>
      </c>
      <c r="P156" t="s">
        <v>57</v>
      </c>
      <c r="Q156" t="s">
        <v>58</v>
      </c>
      <c r="R156" t="s">
        <v>59</v>
      </c>
      <c r="S156" t="s">
        <v>691</v>
      </c>
      <c r="T156" t="s">
        <v>61</v>
      </c>
      <c r="U156">
        <v>1.5583</v>
      </c>
      <c r="V156" t="s">
        <v>62</v>
      </c>
      <c r="W156">
        <v>0</v>
      </c>
      <c r="X156">
        <v>31.85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49</v>
      </c>
      <c r="AT156" t="s">
        <v>71</v>
      </c>
      <c r="AU156">
        <v>0</v>
      </c>
      <c r="AV156">
        <v>0</v>
      </c>
    </row>
    <row r="157" spans="1:48" x14ac:dyDescent="0.25">
      <c r="A157" t="s">
        <v>692</v>
      </c>
      <c r="B157" t="s">
        <v>49</v>
      </c>
      <c r="C157" t="s">
        <v>50</v>
      </c>
      <c r="D157">
        <v>440064.59409999999</v>
      </c>
      <c r="E157">
        <v>1827425.0486000001</v>
      </c>
      <c r="F157">
        <v>33.280999999999999</v>
      </c>
      <c r="G157" t="s">
        <v>693</v>
      </c>
      <c r="H157" t="s">
        <v>52</v>
      </c>
      <c r="I157">
        <v>33.280999999999999</v>
      </c>
      <c r="J157" t="s">
        <v>53</v>
      </c>
      <c r="K157">
        <v>0</v>
      </c>
      <c r="L157" t="s">
        <v>80</v>
      </c>
      <c r="M157" t="s">
        <v>694</v>
      </c>
      <c r="N157">
        <v>-5.1299999999999998E-2</v>
      </c>
      <c r="O157" t="s">
        <v>56</v>
      </c>
      <c r="P157" t="s">
        <v>57</v>
      </c>
      <c r="Q157" t="s">
        <v>58</v>
      </c>
      <c r="R157" t="s">
        <v>59</v>
      </c>
      <c r="S157" t="s">
        <v>695</v>
      </c>
      <c r="T157" t="s">
        <v>61</v>
      </c>
      <c r="U157">
        <v>1.5589</v>
      </c>
      <c r="V157" t="s">
        <v>62</v>
      </c>
      <c r="W157">
        <v>0</v>
      </c>
      <c r="X157">
        <v>31.722000000000001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696</v>
      </c>
      <c r="B158" t="s">
        <v>49</v>
      </c>
      <c r="C158" t="s">
        <v>50</v>
      </c>
      <c r="D158">
        <v>440084.59409999999</v>
      </c>
      <c r="E158">
        <v>1827425.0486000001</v>
      </c>
      <c r="F158">
        <v>33.154000000000003</v>
      </c>
      <c r="G158" t="s">
        <v>697</v>
      </c>
      <c r="H158" t="s">
        <v>52</v>
      </c>
      <c r="I158">
        <v>33.154000000000003</v>
      </c>
      <c r="J158" t="s">
        <v>53</v>
      </c>
      <c r="K158">
        <v>0</v>
      </c>
      <c r="L158" t="s">
        <v>80</v>
      </c>
      <c r="M158" t="s">
        <v>698</v>
      </c>
      <c r="N158">
        <v>-5.7799999999999997E-2</v>
      </c>
      <c r="O158" t="s">
        <v>56</v>
      </c>
      <c r="P158" t="s">
        <v>57</v>
      </c>
      <c r="Q158" t="s">
        <v>58</v>
      </c>
      <c r="R158" t="s">
        <v>59</v>
      </c>
      <c r="S158" t="s">
        <v>699</v>
      </c>
      <c r="T158" t="s">
        <v>61</v>
      </c>
      <c r="U158">
        <v>1.5236000000000001</v>
      </c>
      <c r="V158" t="s">
        <v>62</v>
      </c>
      <c r="W158">
        <v>0</v>
      </c>
      <c r="X158">
        <v>31.63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700</v>
      </c>
      <c r="B159" t="s">
        <v>49</v>
      </c>
      <c r="C159" t="s">
        <v>50</v>
      </c>
      <c r="D159">
        <v>440044.59409999999</v>
      </c>
      <c r="E159">
        <v>1827415.6486</v>
      </c>
      <c r="F159">
        <v>33.408000000000001</v>
      </c>
      <c r="G159" t="s">
        <v>701</v>
      </c>
      <c r="H159" t="s">
        <v>52</v>
      </c>
      <c r="I159">
        <v>33.408000000000001</v>
      </c>
      <c r="J159" t="s">
        <v>53</v>
      </c>
      <c r="K159">
        <v>0</v>
      </c>
      <c r="L159" t="s">
        <v>85</v>
      </c>
      <c r="M159" t="s">
        <v>690</v>
      </c>
      <c r="N159">
        <v>1.4800000000000001E-2</v>
      </c>
      <c r="O159" t="s">
        <v>56</v>
      </c>
      <c r="P159" t="s">
        <v>57</v>
      </c>
      <c r="Q159" t="s">
        <v>58</v>
      </c>
      <c r="R159" t="s">
        <v>59</v>
      </c>
      <c r="S159" t="s">
        <v>691</v>
      </c>
      <c r="T159" t="s">
        <v>61</v>
      </c>
      <c r="U159">
        <v>1.5583</v>
      </c>
      <c r="V159" t="s">
        <v>62</v>
      </c>
      <c r="W159">
        <v>0</v>
      </c>
      <c r="X159">
        <v>31.85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702</v>
      </c>
      <c r="B160" t="s">
        <v>49</v>
      </c>
      <c r="C160" t="s">
        <v>50</v>
      </c>
      <c r="D160">
        <v>440064.59409999999</v>
      </c>
      <c r="E160">
        <v>1827415.6486</v>
      </c>
      <c r="F160">
        <v>33.280999999999999</v>
      </c>
      <c r="G160" t="s">
        <v>703</v>
      </c>
      <c r="H160" t="s">
        <v>52</v>
      </c>
      <c r="I160">
        <v>33.280999999999999</v>
      </c>
      <c r="J160" t="s">
        <v>53</v>
      </c>
      <c r="K160">
        <v>0</v>
      </c>
      <c r="L160" t="s">
        <v>85</v>
      </c>
      <c r="M160" t="s">
        <v>694</v>
      </c>
      <c r="N160">
        <v>1.7000000000000001E-2</v>
      </c>
      <c r="O160" t="s">
        <v>56</v>
      </c>
      <c r="P160" t="s">
        <v>57</v>
      </c>
      <c r="Q160" t="s">
        <v>58</v>
      </c>
      <c r="R160" t="s">
        <v>59</v>
      </c>
      <c r="S160" t="s">
        <v>695</v>
      </c>
      <c r="T160" t="s">
        <v>61</v>
      </c>
      <c r="U160">
        <v>1.5589</v>
      </c>
      <c r="V160" t="s">
        <v>62</v>
      </c>
      <c r="W160">
        <v>0</v>
      </c>
      <c r="X160">
        <v>31.722000000000001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49</v>
      </c>
      <c r="AT160" t="s">
        <v>71</v>
      </c>
      <c r="AU160">
        <v>0</v>
      </c>
      <c r="AV160">
        <v>0</v>
      </c>
    </row>
    <row r="161" spans="1:48" x14ac:dyDescent="0.25">
      <c r="A161" t="s">
        <v>704</v>
      </c>
      <c r="B161" t="s">
        <v>49</v>
      </c>
      <c r="C161" t="s">
        <v>50</v>
      </c>
      <c r="D161">
        <v>440084.59409999999</v>
      </c>
      <c r="E161">
        <v>1827415.6486</v>
      </c>
      <c r="F161">
        <v>33.154000000000003</v>
      </c>
      <c r="G161" t="s">
        <v>705</v>
      </c>
      <c r="H161" t="s">
        <v>52</v>
      </c>
      <c r="I161">
        <v>33.154000000000003</v>
      </c>
      <c r="J161" t="s">
        <v>53</v>
      </c>
      <c r="K161">
        <v>0</v>
      </c>
      <c r="L161" t="s">
        <v>85</v>
      </c>
      <c r="M161" t="s">
        <v>698</v>
      </c>
      <c r="N161">
        <v>1.9199999999999998E-2</v>
      </c>
      <c r="O161" t="s">
        <v>56</v>
      </c>
      <c r="P161" t="s">
        <v>57</v>
      </c>
      <c r="Q161" t="s">
        <v>58</v>
      </c>
      <c r="R161" t="s">
        <v>59</v>
      </c>
      <c r="S161" t="s">
        <v>699</v>
      </c>
      <c r="T161" t="s">
        <v>61</v>
      </c>
      <c r="U161">
        <v>1.5236000000000001</v>
      </c>
      <c r="V161" t="s">
        <v>62</v>
      </c>
      <c r="W161">
        <v>0</v>
      </c>
      <c r="X161">
        <v>31.63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706</v>
      </c>
      <c r="B162" t="s">
        <v>73</v>
      </c>
      <c r="C162" t="s">
        <v>50</v>
      </c>
      <c r="D162">
        <v>440117.625</v>
      </c>
      <c r="E162">
        <v>1827415.8485999999</v>
      </c>
      <c r="F162">
        <v>32.939</v>
      </c>
      <c r="G162" t="s">
        <v>707</v>
      </c>
      <c r="H162" t="s">
        <v>52</v>
      </c>
      <c r="I162">
        <v>32.939</v>
      </c>
      <c r="J162" t="s">
        <v>53</v>
      </c>
      <c r="K162">
        <v>0</v>
      </c>
      <c r="L162" t="s">
        <v>85</v>
      </c>
      <c r="M162" t="s">
        <v>708</v>
      </c>
      <c r="N162">
        <v>0.2228</v>
      </c>
      <c r="O162" t="s">
        <v>56</v>
      </c>
      <c r="P162" t="s">
        <v>57</v>
      </c>
      <c r="Q162" t="s">
        <v>59</v>
      </c>
      <c r="R162" t="s">
        <v>58</v>
      </c>
      <c r="S162" t="s">
        <v>709</v>
      </c>
      <c r="T162" t="s">
        <v>61</v>
      </c>
      <c r="U162">
        <v>1.6342000000000001</v>
      </c>
      <c r="V162" t="s">
        <v>62</v>
      </c>
      <c r="W162">
        <v>0</v>
      </c>
      <c r="X162">
        <v>31.305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73</v>
      </c>
      <c r="AT162" t="s">
        <v>71</v>
      </c>
      <c r="AU162">
        <v>0</v>
      </c>
      <c r="AV162">
        <v>0</v>
      </c>
    </row>
    <row r="163" spans="1:48" x14ac:dyDescent="0.25">
      <c r="A163" t="s">
        <v>710</v>
      </c>
      <c r="B163" t="s">
        <v>73</v>
      </c>
      <c r="C163" t="s">
        <v>50</v>
      </c>
      <c r="D163">
        <v>440117.625</v>
      </c>
      <c r="E163">
        <v>1827424.9083</v>
      </c>
      <c r="F163">
        <v>32.722999999999999</v>
      </c>
      <c r="G163" t="s">
        <v>711</v>
      </c>
      <c r="H163" t="s">
        <v>52</v>
      </c>
      <c r="I163">
        <v>32.722999999999999</v>
      </c>
      <c r="J163" t="s">
        <v>53</v>
      </c>
      <c r="K163">
        <v>0</v>
      </c>
      <c r="L163" t="s">
        <v>80</v>
      </c>
      <c r="M163" t="s">
        <v>708</v>
      </c>
      <c r="N163">
        <v>-0.2089</v>
      </c>
      <c r="O163" t="s">
        <v>56</v>
      </c>
      <c r="P163" t="s">
        <v>57</v>
      </c>
      <c r="Q163" t="s">
        <v>59</v>
      </c>
      <c r="R163" t="s">
        <v>58</v>
      </c>
      <c r="S163" t="s">
        <v>712</v>
      </c>
      <c r="T163" t="s">
        <v>61</v>
      </c>
      <c r="U163">
        <v>1.4447000000000001</v>
      </c>
      <c r="V163" t="s">
        <v>62</v>
      </c>
      <c r="W163">
        <v>0</v>
      </c>
      <c r="X163">
        <v>31.277999999999999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73</v>
      </c>
      <c r="AT163" t="s">
        <v>71</v>
      </c>
      <c r="AU163">
        <v>0</v>
      </c>
      <c r="AV163">
        <v>0</v>
      </c>
    </row>
    <row r="164" spans="1:48" x14ac:dyDescent="0.25">
      <c r="A164" t="s">
        <v>713</v>
      </c>
      <c r="B164" t="s">
        <v>73</v>
      </c>
      <c r="C164" t="s">
        <v>50</v>
      </c>
      <c r="D164">
        <v>440117.625</v>
      </c>
      <c r="E164">
        <v>1827439.4831999999</v>
      </c>
      <c r="F164">
        <v>32.816000000000003</v>
      </c>
      <c r="G164" t="s">
        <v>714</v>
      </c>
      <c r="H164" t="s">
        <v>52</v>
      </c>
      <c r="I164">
        <v>32.816000000000003</v>
      </c>
      <c r="J164" t="s">
        <v>53</v>
      </c>
      <c r="K164">
        <v>0</v>
      </c>
      <c r="L164" t="s">
        <v>715</v>
      </c>
      <c r="M164" t="s">
        <v>440</v>
      </c>
      <c r="N164">
        <v>4.2299999999999997E-2</v>
      </c>
      <c r="O164" t="s">
        <v>56</v>
      </c>
      <c r="P164" t="s">
        <v>57</v>
      </c>
      <c r="Q164" t="s">
        <v>59</v>
      </c>
      <c r="R164" t="s">
        <v>58</v>
      </c>
      <c r="S164" t="s">
        <v>716</v>
      </c>
      <c r="T164" t="s">
        <v>61</v>
      </c>
      <c r="U164">
        <v>1.5516000000000001</v>
      </c>
      <c r="V164" t="s">
        <v>62</v>
      </c>
      <c r="W164">
        <v>0</v>
      </c>
      <c r="X164">
        <v>31.263999999999999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73</v>
      </c>
      <c r="AT164" t="s">
        <v>71</v>
      </c>
      <c r="AU164">
        <v>0</v>
      </c>
      <c r="AV164">
        <v>0</v>
      </c>
    </row>
    <row r="165" spans="1:48" x14ac:dyDescent="0.25">
      <c r="A165" t="s">
        <v>717</v>
      </c>
      <c r="B165" t="s">
        <v>73</v>
      </c>
      <c r="C165" t="s">
        <v>50</v>
      </c>
      <c r="D165">
        <v>440117.625</v>
      </c>
      <c r="E165">
        <v>1827459.4831999999</v>
      </c>
      <c r="F165">
        <v>32.713999999999999</v>
      </c>
      <c r="G165" t="s">
        <v>718</v>
      </c>
      <c r="H165" t="s">
        <v>52</v>
      </c>
      <c r="I165">
        <v>32.713999999999999</v>
      </c>
      <c r="J165" t="s">
        <v>53</v>
      </c>
      <c r="K165">
        <v>0</v>
      </c>
      <c r="L165" t="s">
        <v>715</v>
      </c>
      <c r="M165" t="s">
        <v>444</v>
      </c>
      <c r="N165">
        <v>4.2299999999999997E-2</v>
      </c>
      <c r="O165" t="s">
        <v>56</v>
      </c>
      <c r="P165" t="s">
        <v>57</v>
      </c>
      <c r="Q165" t="s">
        <v>59</v>
      </c>
      <c r="R165" t="s">
        <v>58</v>
      </c>
      <c r="S165" t="s">
        <v>719</v>
      </c>
      <c r="T165" t="s">
        <v>61</v>
      </c>
      <c r="U165">
        <v>1.4957</v>
      </c>
      <c r="V165" t="s">
        <v>62</v>
      </c>
      <c r="W165">
        <v>0</v>
      </c>
      <c r="X165">
        <v>31.218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68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73</v>
      </c>
      <c r="AT165" t="s">
        <v>71</v>
      </c>
      <c r="AU165">
        <v>0</v>
      </c>
      <c r="AV165">
        <v>0</v>
      </c>
    </row>
    <row r="166" spans="1:48" x14ac:dyDescent="0.25">
      <c r="A166" t="s">
        <v>720</v>
      </c>
      <c r="B166" t="s">
        <v>73</v>
      </c>
      <c r="C166" t="s">
        <v>50</v>
      </c>
      <c r="D166">
        <v>440117.7</v>
      </c>
      <c r="E166">
        <v>1827479.4831999999</v>
      </c>
      <c r="F166">
        <v>32.61</v>
      </c>
      <c r="G166" t="s">
        <v>721</v>
      </c>
      <c r="H166" t="s">
        <v>52</v>
      </c>
      <c r="I166">
        <v>32.61</v>
      </c>
      <c r="J166" t="s">
        <v>53</v>
      </c>
      <c r="K166">
        <v>0</v>
      </c>
      <c r="L166" t="s">
        <v>715</v>
      </c>
      <c r="M166" t="s">
        <v>448</v>
      </c>
      <c r="N166">
        <v>-3.27E-2</v>
      </c>
      <c r="O166" t="s">
        <v>56</v>
      </c>
      <c r="P166" t="s">
        <v>57</v>
      </c>
      <c r="Q166" t="s">
        <v>59</v>
      </c>
      <c r="R166" t="s">
        <v>58</v>
      </c>
      <c r="S166" t="s">
        <v>722</v>
      </c>
      <c r="T166" t="s">
        <v>61</v>
      </c>
      <c r="U166">
        <v>1.4944</v>
      </c>
      <c r="V166" t="s">
        <v>62</v>
      </c>
      <c r="W166">
        <v>0</v>
      </c>
      <c r="X166">
        <v>31.116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73</v>
      </c>
      <c r="AT166" t="s">
        <v>71</v>
      </c>
      <c r="AU166">
        <v>0</v>
      </c>
      <c r="AV166">
        <v>0</v>
      </c>
    </row>
    <row r="167" spans="1:48" x14ac:dyDescent="0.25">
      <c r="A167" t="s">
        <v>723</v>
      </c>
      <c r="B167" t="s">
        <v>73</v>
      </c>
      <c r="C167" t="s">
        <v>50</v>
      </c>
      <c r="D167">
        <v>440117.7</v>
      </c>
      <c r="E167">
        <v>1827499.4831999999</v>
      </c>
      <c r="F167">
        <v>32.509</v>
      </c>
      <c r="G167" t="s">
        <v>724</v>
      </c>
      <c r="H167" t="s">
        <v>52</v>
      </c>
      <c r="I167">
        <v>32.509</v>
      </c>
      <c r="J167" t="s">
        <v>53</v>
      </c>
      <c r="K167">
        <v>0</v>
      </c>
      <c r="L167" t="s">
        <v>715</v>
      </c>
      <c r="M167" t="s">
        <v>452</v>
      </c>
      <c r="N167">
        <v>-3.27E-2</v>
      </c>
      <c r="O167" t="s">
        <v>56</v>
      </c>
      <c r="P167" t="s">
        <v>57</v>
      </c>
      <c r="Q167" t="s">
        <v>59</v>
      </c>
      <c r="R167" t="s">
        <v>58</v>
      </c>
      <c r="S167" t="s">
        <v>725</v>
      </c>
      <c r="T167" t="s">
        <v>61</v>
      </c>
      <c r="U167">
        <v>1.4944999999999999</v>
      </c>
      <c r="V167" t="s">
        <v>62</v>
      </c>
      <c r="W167">
        <v>0</v>
      </c>
      <c r="X167">
        <v>31.013999999999999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73</v>
      </c>
      <c r="AT167" t="s">
        <v>71</v>
      </c>
      <c r="AU167">
        <v>0</v>
      </c>
      <c r="AV167">
        <v>0</v>
      </c>
    </row>
    <row r="168" spans="1:48" x14ac:dyDescent="0.25">
      <c r="A168" t="s">
        <v>726</v>
      </c>
      <c r="B168" t="s">
        <v>73</v>
      </c>
      <c r="C168" t="s">
        <v>50</v>
      </c>
      <c r="D168">
        <v>440117.7</v>
      </c>
      <c r="E168">
        <v>1827518.3062</v>
      </c>
      <c r="F168">
        <v>32.412999999999997</v>
      </c>
      <c r="G168" t="s">
        <v>727</v>
      </c>
      <c r="H168" t="s">
        <v>52</v>
      </c>
      <c r="I168">
        <v>32.412999999999997</v>
      </c>
      <c r="J168" t="s">
        <v>53</v>
      </c>
      <c r="K168">
        <v>0</v>
      </c>
      <c r="L168" t="s">
        <v>715</v>
      </c>
      <c r="M168" t="s">
        <v>728</v>
      </c>
      <c r="N168">
        <v>-3.27E-2</v>
      </c>
      <c r="O168" t="s">
        <v>56</v>
      </c>
      <c r="P168" t="s">
        <v>57</v>
      </c>
      <c r="Q168" t="s">
        <v>59</v>
      </c>
      <c r="R168" t="s">
        <v>58</v>
      </c>
      <c r="S168" t="s">
        <v>729</v>
      </c>
      <c r="T168" t="s">
        <v>61</v>
      </c>
      <c r="U168">
        <v>1.4587000000000001</v>
      </c>
      <c r="V168" t="s">
        <v>62</v>
      </c>
      <c r="W168">
        <v>0</v>
      </c>
      <c r="X168">
        <v>30.954000000000001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73</v>
      </c>
      <c r="AT168" t="s">
        <v>71</v>
      </c>
      <c r="AU168">
        <v>0</v>
      </c>
      <c r="AV168">
        <v>0</v>
      </c>
    </row>
    <row r="169" spans="1:48" x14ac:dyDescent="0.25">
      <c r="A169" t="s">
        <v>730</v>
      </c>
      <c r="B169" t="s">
        <v>125</v>
      </c>
      <c r="C169" t="s">
        <v>50</v>
      </c>
      <c r="D169">
        <v>440127</v>
      </c>
      <c r="E169">
        <v>1827531.6588000001</v>
      </c>
      <c r="F169">
        <v>31.986999999999998</v>
      </c>
      <c r="G169" t="s">
        <v>731</v>
      </c>
      <c r="H169" t="s">
        <v>52</v>
      </c>
      <c r="I169">
        <v>31.986999999999998</v>
      </c>
      <c r="J169" t="s">
        <v>53</v>
      </c>
      <c r="K169">
        <v>0</v>
      </c>
      <c r="L169" t="s">
        <v>127</v>
      </c>
      <c r="M169" t="s">
        <v>732</v>
      </c>
      <c r="N169">
        <v>0.10829999999999999</v>
      </c>
      <c r="O169" t="s">
        <v>56</v>
      </c>
      <c r="P169" t="s">
        <v>57</v>
      </c>
      <c r="Q169" t="s">
        <v>109</v>
      </c>
      <c r="R169" t="s">
        <v>59</v>
      </c>
      <c r="S169" t="s">
        <v>733</v>
      </c>
      <c r="T169" t="s">
        <v>61</v>
      </c>
      <c r="U169">
        <v>2.8647</v>
      </c>
      <c r="V169" t="s">
        <v>62</v>
      </c>
      <c r="W169">
        <v>0</v>
      </c>
      <c r="X169">
        <v>29.122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111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125</v>
      </c>
      <c r="AT169" t="s">
        <v>71</v>
      </c>
      <c r="AU169">
        <v>0</v>
      </c>
      <c r="AV169">
        <v>0</v>
      </c>
    </row>
    <row r="170" spans="1:48" x14ac:dyDescent="0.25">
      <c r="A170" t="s">
        <v>734</v>
      </c>
      <c r="B170" t="s">
        <v>125</v>
      </c>
      <c r="C170" t="s">
        <v>50</v>
      </c>
      <c r="D170">
        <v>440148.22489999997</v>
      </c>
      <c r="E170">
        <v>1827531.6588000001</v>
      </c>
      <c r="F170">
        <v>31.866</v>
      </c>
      <c r="G170" t="s">
        <v>735</v>
      </c>
      <c r="H170" t="s">
        <v>52</v>
      </c>
      <c r="I170">
        <v>31.866</v>
      </c>
      <c r="J170" t="s">
        <v>53</v>
      </c>
      <c r="K170">
        <v>0</v>
      </c>
      <c r="L170" t="s">
        <v>127</v>
      </c>
      <c r="M170" t="s">
        <v>444</v>
      </c>
      <c r="N170">
        <v>0.10829999999999999</v>
      </c>
      <c r="O170" t="s">
        <v>56</v>
      </c>
      <c r="P170" t="s">
        <v>57</v>
      </c>
      <c r="Q170" t="s">
        <v>109</v>
      </c>
      <c r="R170" t="s">
        <v>59</v>
      </c>
      <c r="S170" t="s">
        <v>736</v>
      </c>
      <c r="T170" t="s">
        <v>61</v>
      </c>
      <c r="U170">
        <v>2.8569</v>
      </c>
      <c r="V170" t="s">
        <v>62</v>
      </c>
      <c r="W170">
        <v>0</v>
      </c>
      <c r="X170">
        <v>29.009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111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125</v>
      </c>
      <c r="AT170" t="s">
        <v>71</v>
      </c>
      <c r="AU170">
        <v>0</v>
      </c>
      <c r="AV170">
        <v>0</v>
      </c>
    </row>
    <row r="171" spans="1:48" x14ac:dyDescent="0.25">
      <c r="A171" t="s">
        <v>737</v>
      </c>
      <c r="B171" t="s">
        <v>125</v>
      </c>
      <c r="C171" t="s">
        <v>50</v>
      </c>
      <c r="D171">
        <v>440166.79350000003</v>
      </c>
      <c r="E171">
        <v>1827531.6088</v>
      </c>
      <c r="F171">
        <v>31.760999999999999</v>
      </c>
      <c r="G171" t="s">
        <v>738</v>
      </c>
      <c r="H171" t="s">
        <v>52</v>
      </c>
      <c r="I171">
        <v>31.760999999999999</v>
      </c>
      <c r="J171" t="s">
        <v>53</v>
      </c>
      <c r="K171">
        <v>0</v>
      </c>
      <c r="L171" t="s">
        <v>127</v>
      </c>
      <c r="M171" t="s">
        <v>739</v>
      </c>
      <c r="N171">
        <v>5.8400000000000001E-2</v>
      </c>
      <c r="O171" t="s">
        <v>56</v>
      </c>
      <c r="P171" t="s">
        <v>57</v>
      </c>
      <c r="Q171" t="s">
        <v>109</v>
      </c>
      <c r="R171" t="s">
        <v>59</v>
      </c>
      <c r="S171" t="s">
        <v>740</v>
      </c>
      <c r="T171" t="s">
        <v>61</v>
      </c>
      <c r="U171">
        <v>2.8313000000000001</v>
      </c>
      <c r="V171" t="s">
        <v>62</v>
      </c>
      <c r="W171">
        <v>0</v>
      </c>
      <c r="X171">
        <v>28.93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67</v>
      </c>
      <c r="AK171" t="s">
        <v>111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125</v>
      </c>
      <c r="AT171" t="s">
        <v>71</v>
      </c>
      <c r="AU171">
        <v>0</v>
      </c>
      <c r="AV171">
        <v>0</v>
      </c>
    </row>
    <row r="172" spans="1:48" x14ac:dyDescent="0.25">
      <c r="A172" t="s">
        <v>741</v>
      </c>
      <c r="B172" t="s">
        <v>73</v>
      </c>
      <c r="C172" t="s">
        <v>50</v>
      </c>
      <c r="D172">
        <v>440192.6249</v>
      </c>
      <c r="E172">
        <v>1827439.4838</v>
      </c>
      <c r="F172">
        <v>32.365000000000002</v>
      </c>
      <c r="G172" t="s">
        <v>742</v>
      </c>
      <c r="H172" t="s">
        <v>52</v>
      </c>
      <c r="I172">
        <v>32.365000000000002</v>
      </c>
      <c r="J172" t="s">
        <v>53</v>
      </c>
      <c r="K172">
        <v>0</v>
      </c>
      <c r="L172" t="s">
        <v>298</v>
      </c>
      <c r="M172" t="s">
        <v>440</v>
      </c>
      <c r="N172">
        <v>0</v>
      </c>
      <c r="O172" t="s">
        <v>56</v>
      </c>
      <c r="P172" t="s">
        <v>57</v>
      </c>
      <c r="Q172" t="s">
        <v>59</v>
      </c>
      <c r="R172" t="s">
        <v>58</v>
      </c>
      <c r="S172" t="s">
        <v>743</v>
      </c>
      <c r="T172" t="s">
        <v>61</v>
      </c>
      <c r="U172">
        <v>1.5179</v>
      </c>
      <c r="V172" t="s">
        <v>62</v>
      </c>
      <c r="W172">
        <v>0</v>
      </c>
      <c r="X172">
        <v>30.847000000000001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73</v>
      </c>
      <c r="AT172" t="s">
        <v>71</v>
      </c>
      <c r="AU172">
        <v>0</v>
      </c>
      <c r="AV172">
        <v>0</v>
      </c>
    </row>
    <row r="173" spans="1:48" x14ac:dyDescent="0.25">
      <c r="A173" t="s">
        <v>744</v>
      </c>
      <c r="B173" t="s">
        <v>73</v>
      </c>
      <c r="C173" t="s">
        <v>50</v>
      </c>
      <c r="D173">
        <v>440192.6249</v>
      </c>
      <c r="E173">
        <v>1827456.0003</v>
      </c>
      <c r="F173">
        <v>32.253</v>
      </c>
      <c r="G173" t="s">
        <v>745</v>
      </c>
      <c r="H173" t="s">
        <v>52</v>
      </c>
      <c r="I173">
        <v>32.253</v>
      </c>
      <c r="J173" t="s">
        <v>53</v>
      </c>
      <c r="K173">
        <v>0</v>
      </c>
      <c r="L173" t="s">
        <v>298</v>
      </c>
      <c r="M173" t="s">
        <v>746</v>
      </c>
      <c r="N173">
        <v>0</v>
      </c>
      <c r="O173" t="s">
        <v>56</v>
      </c>
      <c r="P173" t="s">
        <v>57</v>
      </c>
      <c r="Q173" t="s">
        <v>59</v>
      </c>
      <c r="R173" t="s">
        <v>58</v>
      </c>
      <c r="S173" t="s">
        <v>747</v>
      </c>
      <c r="T173" t="s">
        <v>61</v>
      </c>
      <c r="U173">
        <v>1.4865999999999999</v>
      </c>
      <c r="V173" t="s">
        <v>62</v>
      </c>
      <c r="W173">
        <v>0</v>
      </c>
      <c r="X173">
        <v>30.765999999999998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73</v>
      </c>
      <c r="AT173" t="s">
        <v>71</v>
      </c>
      <c r="AU173">
        <v>0</v>
      </c>
      <c r="AV173">
        <v>0</v>
      </c>
    </row>
    <row r="174" spans="1:48" x14ac:dyDescent="0.25">
      <c r="A174" t="s">
        <v>748</v>
      </c>
      <c r="B174" t="s">
        <v>73</v>
      </c>
      <c r="C174" t="s">
        <v>50</v>
      </c>
      <c r="D174">
        <v>440192.6249</v>
      </c>
      <c r="E174">
        <v>1827479.4838</v>
      </c>
      <c r="F174">
        <v>32.093000000000004</v>
      </c>
      <c r="G174" t="s">
        <v>749</v>
      </c>
      <c r="H174" t="s">
        <v>52</v>
      </c>
      <c r="I174">
        <v>32.093000000000004</v>
      </c>
      <c r="J174" t="s">
        <v>53</v>
      </c>
      <c r="K174">
        <v>0</v>
      </c>
      <c r="L174" t="s">
        <v>298</v>
      </c>
      <c r="M174" t="s">
        <v>448</v>
      </c>
      <c r="N174">
        <v>0</v>
      </c>
      <c r="O174" t="s">
        <v>56</v>
      </c>
      <c r="P174" t="s">
        <v>57</v>
      </c>
      <c r="Q174" t="s">
        <v>59</v>
      </c>
      <c r="R174" t="s">
        <v>58</v>
      </c>
      <c r="S174" t="s">
        <v>750</v>
      </c>
      <c r="T174" t="s">
        <v>61</v>
      </c>
      <c r="U174">
        <v>1.5299</v>
      </c>
      <c r="V174" t="s">
        <v>62</v>
      </c>
      <c r="W174">
        <v>0</v>
      </c>
      <c r="X174">
        <v>30.562999999999999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73</v>
      </c>
      <c r="AT174" t="s">
        <v>71</v>
      </c>
      <c r="AU174">
        <v>0</v>
      </c>
      <c r="AV174">
        <v>0</v>
      </c>
    </row>
    <row r="175" spans="1:48" x14ac:dyDescent="0.25">
      <c r="A175" t="s">
        <v>751</v>
      </c>
      <c r="B175" t="s">
        <v>73</v>
      </c>
      <c r="C175" t="s">
        <v>50</v>
      </c>
      <c r="D175">
        <v>440192.6249</v>
      </c>
      <c r="E175">
        <v>1827499.4838</v>
      </c>
      <c r="F175">
        <v>31.957000000000001</v>
      </c>
      <c r="G175" t="s">
        <v>752</v>
      </c>
      <c r="H175" t="s">
        <v>52</v>
      </c>
      <c r="I175">
        <v>31.957000000000001</v>
      </c>
      <c r="J175" t="s">
        <v>53</v>
      </c>
      <c r="K175">
        <v>0</v>
      </c>
      <c r="L175" t="s">
        <v>298</v>
      </c>
      <c r="M175" t="s">
        <v>452</v>
      </c>
      <c r="N175">
        <v>0</v>
      </c>
      <c r="O175" t="s">
        <v>56</v>
      </c>
      <c r="P175" t="s">
        <v>57</v>
      </c>
      <c r="Q175" t="s">
        <v>59</v>
      </c>
      <c r="R175" t="s">
        <v>58</v>
      </c>
      <c r="S175" t="s">
        <v>750</v>
      </c>
      <c r="T175" t="s">
        <v>61</v>
      </c>
      <c r="U175">
        <v>1.5299</v>
      </c>
      <c r="V175" t="s">
        <v>62</v>
      </c>
      <c r="W175">
        <v>0</v>
      </c>
      <c r="X175">
        <v>30.427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73</v>
      </c>
      <c r="AT175" t="s">
        <v>71</v>
      </c>
      <c r="AU175">
        <v>0</v>
      </c>
      <c r="AV175">
        <v>0</v>
      </c>
    </row>
    <row r="176" spans="1:48" x14ac:dyDescent="0.25">
      <c r="A176" t="s">
        <v>753</v>
      </c>
      <c r="B176" t="s">
        <v>73</v>
      </c>
      <c r="C176" t="s">
        <v>50</v>
      </c>
      <c r="D176">
        <v>440183.22489999997</v>
      </c>
      <c r="E176">
        <v>1827439.4838</v>
      </c>
      <c r="F176">
        <v>32.365000000000002</v>
      </c>
      <c r="G176" t="s">
        <v>754</v>
      </c>
      <c r="H176" t="s">
        <v>52</v>
      </c>
      <c r="I176">
        <v>32.365000000000002</v>
      </c>
      <c r="J176" t="s">
        <v>53</v>
      </c>
      <c r="K176">
        <v>0</v>
      </c>
      <c r="L176" t="s">
        <v>293</v>
      </c>
      <c r="M176" t="s">
        <v>440</v>
      </c>
      <c r="N176">
        <v>-0.1953</v>
      </c>
      <c r="O176" t="s">
        <v>56</v>
      </c>
      <c r="P176" t="s">
        <v>57</v>
      </c>
      <c r="Q176" t="s">
        <v>59</v>
      </c>
      <c r="R176" t="s">
        <v>58</v>
      </c>
      <c r="S176" t="s">
        <v>755</v>
      </c>
      <c r="T176" t="s">
        <v>61</v>
      </c>
      <c r="U176">
        <v>1.5168999999999999</v>
      </c>
      <c r="V176" t="s">
        <v>62</v>
      </c>
      <c r="W176">
        <v>0</v>
      </c>
      <c r="X176">
        <v>30.847999999999999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73</v>
      </c>
      <c r="AT176" t="s">
        <v>71</v>
      </c>
      <c r="AU176">
        <v>0</v>
      </c>
      <c r="AV176">
        <v>0</v>
      </c>
    </row>
    <row r="177" spans="1:48" x14ac:dyDescent="0.25">
      <c r="A177" t="s">
        <v>756</v>
      </c>
      <c r="B177" t="s">
        <v>73</v>
      </c>
      <c r="C177" t="s">
        <v>50</v>
      </c>
      <c r="D177">
        <v>440183.22489999997</v>
      </c>
      <c r="E177">
        <v>1827455.8842</v>
      </c>
      <c r="F177">
        <v>32.253</v>
      </c>
      <c r="G177" t="s">
        <v>757</v>
      </c>
      <c r="H177" t="s">
        <v>52</v>
      </c>
      <c r="I177">
        <v>32.253</v>
      </c>
      <c r="J177" t="s">
        <v>53</v>
      </c>
      <c r="K177">
        <v>0</v>
      </c>
      <c r="L177" t="s">
        <v>293</v>
      </c>
      <c r="M177" t="s">
        <v>758</v>
      </c>
      <c r="N177">
        <v>-0.1953</v>
      </c>
      <c r="O177" t="s">
        <v>56</v>
      </c>
      <c r="P177" t="s">
        <v>57</v>
      </c>
      <c r="Q177" t="s">
        <v>59</v>
      </c>
      <c r="R177" t="s">
        <v>58</v>
      </c>
      <c r="S177" t="s">
        <v>759</v>
      </c>
      <c r="T177" t="s">
        <v>61</v>
      </c>
      <c r="U177">
        <v>1.4854000000000001</v>
      </c>
      <c r="V177" t="s">
        <v>62</v>
      </c>
      <c r="W177">
        <v>0</v>
      </c>
      <c r="X177">
        <v>30.768000000000001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73</v>
      </c>
      <c r="AT177" t="s">
        <v>71</v>
      </c>
      <c r="AU177">
        <v>0</v>
      </c>
      <c r="AV177">
        <v>0</v>
      </c>
    </row>
    <row r="178" spans="1:48" x14ac:dyDescent="0.25">
      <c r="A178" t="s">
        <v>760</v>
      </c>
      <c r="B178" t="s">
        <v>73</v>
      </c>
      <c r="C178" t="s">
        <v>50</v>
      </c>
      <c r="D178">
        <v>440183.22489999997</v>
      </c>
      <c r="E178">
        <v>1827479.4838</v>
      </c>
      <c r="F178">
        <v>32.093000000000004</v>
      </c>
      <c r="G178" t="s">
        <v>761</v>
      </c>
      <c r="H178" t="s">
        <v>52</v>
      </c>
      <c r="I178">
        <v>32.093000000000004</v>
      </c>
      <c r="J178" t="s">
        <v>53</v>
      </c>
      <c r="K178">
        <v>0</v>
      </c>
      <c r="L178" t="s">
        <v>293</v>
      </c>
      <c r="M178" t="s">
        <v>448</v>
      </c>
      <c r="N178">
        <v>-0.1953</v>
      </c>
      <c r="O178" t="s">
        <v>56</v>
      </c>
      <c r="P178" t="s">
        <v>57</v>
      </c>
      <c r="Q178" t="s">
        <v>59</v>
      </c>
      <c r="R178" t="s">
        <v>58</v>
      </c>
      <c r="S178" t="s">
        <v>750</v>
      </c>
      <c r="T178" t="s">
        <v>61</v>
      </c>
      <c r="U178">
        <v>1.5299</v>
      </c>
      <c r="V178" t="s">
        <v>62</v>
      </c>
      <c r="W178">
        <v>0</v>
      </c>
      <c r="X178">
        <v>30.562999999999999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73</v>
      </c>
      <c r="AT178" t="s">
        <v>71</v>
      </c>
      <c r="AU178">
        <v>0</v>
      </c>
      <c r="AV178">
        <v>0</v>
      </c>
    </row>
    <row r="179" spans="1:48" x14ac:dyDescent="0.25">
      <c r="A179" t="s">
        <v>762</v>
      </c>
      <c r="B179" t="s">
        <v>73</v>
      </c>
      <c r="C179" t="s">
        <v>50</v>
      </c>
      <c r="D179">
        <v>440183.22489999997</v>
      </c>
      <c r="E179">
        <v>1827499.4838</v>
      </c>
      <c r="F179">
        <v>31.957000000000001</v>
      </c>
      <c r="G179" t="s">
        <v>763</v>
      </c>
      <c r="H179" t="s">
        <v>52</v>
      </c>
      <c r="I179">
        <v>31.957000000000001</v>
      </c>
      <c r="J179" t="s">
        <v>53</v>
      </c>
      <c r="K179">
        <v>0</v>
      </c>
      <c r="L179" t="s">
        <v>293</v>
      </c>
      <c r="M179" t="s">
        <v>452</v>
      </c>
      <c r="N179">
        <v>-0.1953</v>
      </c>
      <c r="O179" t="s">
        <v>56</v>
      </c>
      <c r="P179" t="s">
        <v>57</v>
      </c>
      <c r="Q179" t="s">
        <v>59</v>
      </c>
      <c r="R179" t="s">
        <v>58</v>
      </c>
      <c r="S179" t="s">
        <v>750</v>
      </c>
      <c r="T179" t="s">
        <v>61</v>
      </c>
      <c r="U179">
        <v>1.5299</v>
      </c>
      <c r="V179" t="s">
        <v>62</v>
      </c>
      <c r="W179">
        <v>0</v>
      </c>
      <c r="X179">
        <v>30.427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73</v>
      </c>
      <c r="AT179" t="s">
        <v>71</v>
      </c>
      <c r="AU179">
        <v>0</v>
      </c>
      <c r="AV179">
        <v>0</v>
      </c>
    </row>
    <row r="180" spans="1:48" x14ac:dyDescent="0.25">
      <c r="A180" t="s">
        <v>764</v>
      </c>
      <c r="B180" t="s">
        <v>49</v>
      </c>
      <c r="C180" t="s">
        <v>50</v>
      </c>
      <c r="D180">
        <v>440183.07490000001</v>
      </c>
      <c r="E180">
        <v>1827518.4138</v>
      </c>
      <c r="F180">
        <v>31.831</v>
      </c>
      <c r="G180" t="s">
        <v>765</v>
      </c>
      <c r="H180" t="s">
        <v>52</v>
      </c>
      <c r="I180">
        <v>31.831</v>
      </c>
      <c r="J180" t="s">
        <v>53</v>
      </c>
      <c r="K180">
        <v>0</v>
      </c>
      <c r="L180" t="s">
        <v>293</v>
      </c>
      <c r="M180" t="s">
        <v>766</v>
      </c>
      <c r="N180">
        <v>-4.53E-2</v>
      </c>
      <c r="O180" t="s">
        <v>56</v>
      </c>
      <c r="P180" t="s">
        <v>57</v>
      </c>
      <c r="Q180" t="s">
        <v>58</v>
      </c>
      <c r="R180" t="s">
        <v>59</v>
      </c>
      <c r="S180" t="s">
        <v>767</v>
      </c>
      <c r="T180" t="s">
        <v>61</v>
      </c>
      <c r="U180">
        <v>1.4641999999999999</v>
      </c>
      <c r="V180" t="s">
        <v>62</v>
      </c>
      <c r="W180">
        <v>0</v>
      </c>
      <c r="X180">
        <v>30.367000000000001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768</v>
      </c>
      <c r="B181" t="s">
        <v>125</v>
      </c>
      <c r="C181" t="s">
        <v>50</v>
      </c>
      <c r="D181">
        <v>440192.6249</v>
      </c>
      <c r="E181">
        <v>1827531.6588000001</v>
      </c>
      <c r="F181">
        <v>31.600999999999999</v>
      </c>
      <c r="G181" t="s">
        <v>769</v>
      </c>
      <c r="H181" t="s">
        <v>52</v>
      </c>
      <c r="I181">
        <v>31.600999999999999</v>
      </c>
      <c r="J181" t="s">
        <v>53</v>
      </c>
      <c r="K181">
        <v>0</v>
      </c>
      <c r="L181" t="s">
        <v>127</v>
      </c>
      <c r="M181" t="s">
        <v>770</v>
      </c>
      <c r="N181">
        <v>0.1084</v>
      </c>
      <c r="O181" t="s">
        <v>56</v>
      </c>
      <c r="P181" t="s">
        <v>57</v>
      </c>
      <c r="Q181" t="s">
        <v>109</v>
      </c>
      <c r="R181" t="s">
        <v>59</v>
      </c>
      <c r="S181" t="s">
        <v>771</v>
      </c>
      <c r="T181" t="s">
        <v>61</v>
      </c>
      <c r="U181">
        <v>2.8508</v>
      </c>
      <c r="V181" t="s">
        <v>62</v>
      </c>
      <c r="W181">
        <v>0</v>
      </c>
      <c r="X181">
        <v>28.75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111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125</v>
      </c>
      <c r="AT181" t="s">
        <v>71</v>
      </c>
      <c r="AU181">
        <v>0</v>
      </c>
      <c r="AV181">
        <v>0</v>
      </c>
    </row>
    <row r="182" spans="1:48" x14ac:dyDescent="0.25">
      <c r="A182" t="s">
        <v>772</v>
      </c>
      <c r="B182" t="s">
        <v>125</v>
      </c>
      <c r="C182" t="s">
        <v>50</v>
      </c>
      <c r="D182">
        <v>440208.22489999997</v>
      </c>
      <c r="E182">
        <v>1827531.6588000001</v>
      </c>
      <c r="F182">
        <v>31.512</v>
      </c>
      <c r="G182" t="s">
        <v>773</v>
      </c>
      <c r="H182" t="s">
        <v>52</v>
      </c>
      <c r="I182">
        <v>31.512</v>
      </c>
      <c r="J182" t="s">
        <v>53</v>
      </c>
      <c r="K182">
        <v>0</v>
      </c>
      <c r="L182" t="s">
        <v>127</v>
      </c>
      <c r="M182" t="s">
        <v>774</v>
      </c>
      <c r="N182">
        <v>0.1084</v>
      </c>
      <c r="O182" t="s">
        <v>56</v>
      </c>
      <c r="P182" t="s">
        <v>57</v>
      </c>
      <c r="Q182" t="s">
        <v>109</v>
      </c>
      <c r="R182" t="s">
        <v>59</v>
      </c>
      <c r="S182" t="s">
        <v>775</v>
      </c>
      <c r="T182" t="s">
        <v>61</v>
      </c>
      <c r="U182">
        <v>2.8330000000000002</v>
      </c>
      <c r="V182" t="s">
        <v>62</v>
      </c>
      <c r="W182">
        <v>0</v>
      </c>
      <c r="X182">
        <v>28.678999999999998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111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125</v>
      </c>
      <c r="AT182" t="s">
        <v>71</v>
      </c>
      <c r="AU182">
        <v>0</v>
      </c>
      <c r="AV182">
        <v>0</v>
      </c>
    </row>
    <row r="183" spans="1:48" x14ac:dyDescent="0.25">
      <c r="A183" t="s">
        <v>776</v>
      </c>
      <c r="B183" t="s">
        <v>125</v>
      </c>
      <c r="C183" t="s">
        <v>50</v>
      </c>
      <c r="D183">
        <v>440220.25550000003</v>
      </c>
      <c r="E183">
        <v>1827531.6588000001</v>
      </c>
      <c r="F183">
        <v>31.445</v>
      </c>
      <c r="G183" t="s">
        <v>777</v>
      </c>
      <c r="H183" t="s">
        <v>52</v>
      </c>
      <c r="I183">
        <v>31.445</v>
      </c>
      <c r="J183" t="s">
        <v>53</v>
      </c>
      <c r="K183">
        <v>0</v>
      </c>
      <c r="L183" t="s">
        <v>141</v>
      </c>
      <c r="M183" t="s">
        <v>778</v>
      </c>
      <c r="N183">
        <v>0.1084</v>
      </c>
      <c r="O183" t="s">
        <v>56</v>
      </c>
      <c r="P183" t="s">
        <v>57</v>
      </c>
      <c r="Q183" t="s">
        <v>109</v>
      </c>
      <c r="R183" t="s">
        <v>59</v>
      </c>
      <c r="S183" t="s">
        <v>779</v>
      </c>
      <c r="T183" t="s">
        <v>61</v>
      </c>
      <c r="U183">
        <v>2.8412999999999999</v>
      </c>
      <c r="V183" t="s">
        <v>62</v>
      </c>
      <c r="W183">
        <v>0</v>
      </c>
      <c r="X183">
        <v>28.603999999999999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66</v>
      </c>
      <c r="AG183" t="s">
        <v>65</v>
      </c>
      <c r="AH183" t="s">
        <v>65</v>
      </c>
      <c r="AI183" t="s">
        <v>67</v>
      </c>
      <c r="AK183" t="s">
        <v>111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125</v>
      </c>
      <c r="AT183" t="s">
        <v>71</v>
      </c>
      <c r="AU183">
        <v>0</v>
      </c>
      <c r="AV183">
        <v>0</v>
      </c>
    </row>
    <row r="184" spans="1:48" x14ac:dyDescent="0.25">
      <c r="A184" t="s">
        <v>780</v>
      </c>
      <c r="B184" t="s">
        <v>125</v>
      </c>
      <c r="C184" t="s">
        <v>50</v>
      </c>
      <c r="D184">
        <v>440240.25550000003</v>
      </c>
      <c r="E184">
        <v>1827531.6588000001</v>
      </c>
      <c r="F184">
        <v>31.347000000000001</v>
      </c>
      <c r="G184" t="s">
        <v>781</v>
      </c>
      <c r="H184" t="s">
        <v>52</v>
      </c>
      <c r="I184">
        <v>31.347000000000001</v>
      </c>
      <c r="J184" t="s">
        <v>53</v>
      </c>
      <c r="K184">
        <v>0</v>
      </c>
      <c r="L184" t="s">
        <v>141</v>
      </c>
      <c r="M184" t="s">
        <v>782</v>
      </c>
      <c r="N184">
        <v>0.1084</v>
      </c>
      <c r="O184" t="s">
        <v>56</v>
      </c>
      <c r="P184" t="s">
        <v>57</v>
      </c>
      <c r="Q184" t="s">
        <v>109</v>
      </c>
      <c r="R184" t="s">
        <v>59</v>
      </c>
      <c r="S184" t="s">
        <v>783</v>
      </c>
      <c r="T184" t="s">
        <v>61</v>
      </c>
      <c r="U184">
        <v>2.8540000000000001</v>
      </c>
      <c r="V184" t="s">
        <v>62</v>
      </c>
      <c r="W184">
        <v>0</v>
      </c>
      <c r="X184">
        <v>28.492999999999999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111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125</v>
      </c>
      <c r="AT184" t="s">
        <v>71</v>
      </c>
      <c r="AU184">
        <v>0</v>
      </c>
      <c r="AV184">
        <v>0</v>
      </c>
    </row>
    <row r="185" spans="1:48" x14ac:dyDescent="0.25">
      <c r="A185" t="s">
        <v>784</v>
      </c>
      <c r="B185" t="s">
        <v>73</v>
      </c>
      <c r="C185" t="s">
        <v>50</v>
      </c>
      <c r="D185">
        <v>440258.22489999997</v>
      </c>
      <c r="E185">
        <v>1827439.4838</v>
      </c>
      <c r="F185">
        <v>32.01</v>
      </c>
      <c r="G185" t="s">
        <v>785</v>
      </c>
      <c r="H185" t="s">
        <v>52</v>
      </c>
      <c r="I185">
        <v>32.01</v>
      </c>
      <c r="J185" t="s">
        <v>53</v>
      </c>
      <c r="K185">
        <v>0</v>
      </c>
      <c r="L185" t="s">
        <v>367</v>
      </c>
      <c r="M185" t="s">
        <v>440</v>
      </c>
      <c r="N185">
        <v>-2.5000000000000001E-2</v>
      </c>
      <c r="O185" t="s">
        <v>56</v>
      </c>
      <c r="P185" t="s">
        <v>57</v>
      </c>
      <c r="Q185" t="s">
        <v>59</v>
      </c>
      <c r="R185" t="s">
        <v>58</v>
      </c>
      <c r="S185" t="s">
        <v>786</v>
      </c>
      <c r="T185" t="s">
        <v>61</v>
      </c>
      <c r="U185">
        <v>1.4542999999999999</v>
      </c>
      <c r="V185" t="s">
        <v>62</v>
      </c>
      <c r="W185">
        <v>0</v>
      </c>
      <c r="X185">
        <v>30.556000000000001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73</v>
      </c>
      <c r="AT185" t="s">
        <v>71</v>
      </c>
      <c r="AU185">
        <v>0</v>
      </c>
      <c r="AV185">
        <v>0</v>
      </c>
    </row>
    <row r="186" spans="1:48" x14ac:dyDescent="0.25">
      <c r="A186" t="s">
        <v>787</v>
      </c>
      <c r="B186" t="s">
        <v>73</v>
      </c>
      <c r="C186" t="s">
        <v>50</v>
      </c>
      <c r="D186">
        <v>440585.72509999998</v>
      </c>
      <c r="E186">
        <v>1827688.3254</v>
      </c>
      <c r="F186">
        <v>29.699000000000002</v>
      </c>
      <c r="G186" t="s">
        <v>788</v>
      </c>
      <c r="H186" t="s">
        <v>52</v>
      </c>
      <c r="I186">
        <v>29.699000000000002</v>
      </c>
      <c r="J186" t="s">
        <v>53</v>
      </c>
      <c r="K186">
        <v>0</v>
      </c>
      <c r="L186" t="s">
        <v>357</v>
      </c>
      <c r="M186" t="s">
        <v>789</v>
      </c>
      <c r="N186">
        <v>-0.2286</v>
      </c>
      <c r="O186" t="s">
        <v>56</v>
      </c>
      <c r="P186" t="s">
        <v>57</v>
      </c>
      <c r="Q186" t="s">
        <v>59</v>
      </c>
      <c r="R186" t="s">
        <v>58</v>
      </c>
      <c r="S186" t="s">
        <v>790</v>
      </c>
      <c r="T186" t="s">
        <v>61</v>
      </c>
      <c r="U186">
        <v>1.5765</v>
      </c>
      <c r="V186" t="s">
        <v>62</v>
      </c>
      <c r="W186">
        <v>0</v>
      </c>
      <c r="X186">
        <v>28.123000000000001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73</v>
      </c>
      <c r="AT186" t="s">
        <v>71</v>
      </c>
      <c r="AU186">
        <v>0</v>
      </c>
      <c r="AV186">
        <v>0</v>
      </c>
    </row>
    <row r="187" spans="1:48" x14ac:dyDescent="0.25">
      <c r="A187" t="s">
        <v>791</v>
      </c>
      <c r="B187" t="s">
        <v>73</v>
      </c>
      <c r="C187" t="s">
        <v>50</v>
      </c>
      <c r="D187">
        <v>440258.22489999997</v>
      </c>
      <c r="E187">
        <v>1827459.3592000001</v>
      </c>
      <c r="F187">
        <v>31.94</v>
      </c>
      <c r="G187" t="s">
        <v>792</v>
      </c>
      <c r="H187" t="s">
        <v>52</v>
      </c>
      <c r="I187">
        <v>31.94</v>
      </c>
      <c r="J187" t="s">
        <v>53</v>
      </c>
      <c r="K187">
        <v>0</v>
      </c>
      <c r="L187" t="s">
        <v>367</v>
      </c>
      <c r="M187" t="s">
        <v>793</v>
      </c>
      <c r="N187">
        <v>-2.5000000000000001E-2</v>
      </c>
      <c r="O187" t="s">
        <v>56</v>
      </c>
      <c r="P187" t="s">
        <v>57</v>
      </c>
      <c r="Q187" t="s">
        <v>59</v>
      </c>
      <c r="R187" t="s">
        <v>58</v>
      </c>
      <c r="S187" t="s">
        <v>794</v>
      </c>
      <c r="T187" t="s">
        <v>61</v>
      </c>
      <c r="U187">
        <v>1.4650000000000001</v>
      </c>
      <c r="V187" t="s">
        <v>62</v>
      </c>
      <c r="W187">
        <v>0</v>
      </c>
      <c r="X187">
        <v>30.475000000000001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73</v>
      </c>
      <c r="AT187" t="s">
        <v>71</v>
      </c>
      <c r="AU187">
        <v>0</v>
      </c>
      <c r="AV187">
        <v>0</v>
      </c>
    </row>
    <row r="188" spans="1:48" x14ac:dyDescent="0.25">
      <c r="A188" t="s">
        <v>795</v>
      </c>
      <c r="B188" t="s">
        <v>73</v>
      </c>
      <c r="C188" t="s">
        <v>50</v>
      </c>
      <c r="D188">
        <v>440595.1251</v>
      </c>
      <c r="E188">
        <v>1827688.6952</v>
      </c>
      <c r="F188">
        <v>29.661000000000001</v>
      </c>
      <c r="G188" t="s">
        <v>796</v>
      </c>
      <c r="H188" t="s">
        <v>52</v>
      </c>
      <c r="I188">
        <v>29.661000000000001</v>
      </c>
      <c r="J188" t="s">
        <v>53</v>
      </c>
      <c r="K188">
        <v>0</v>
      </c>
      <c r="L188" t="s">
        <v>797</v>
      </c>
      <c r="M188" s="1" t="s">
        <v>798</v>
      </c>
      <c r="N188">
        <v>0.18310000000000001</v>
      </c>
      <c r="O188" t="s">
        <v>56</v>
      </c>
      <c r="P188" t="s">
        <v>57</v>
      </c>
      <c r="Q188" t="s">
        <v>59</v>
      </c>
      <c r="R188" t="s">
        <v>58</v>
      </c>
      <c r="S188" t="s">
        <v>799</v>
      </c>
      <c r="T188" t="s">
        <v>61</v>
      </c>
      <c r="U188">
        <v>1.4838</v>
      </c>
      <c r="V188" t="s">
        <v>62</v>
      </c>
      <c r="W188">
        <v>0</v>
      </c>
      <c r="X188">
        <v>28.177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68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73</v>
      </c>
      <c r="AT188" t="s">
        <v>71</v>
      </c>
      <c r="AU188">
        <v>0</v>
      </c>
      <c r="AV188">
        <v>0</v>
      </c>
    </row>
    <row r="189" spans="1:48" x14ac:dyDescent="0.25">
      <c r="A189" t="s">
        <v>800</v>
      </c>
      <c r="B189" t="s">
        <v>73</v>
      </c>
      <c r="C189" t="s">
        <v>50</v>
      </c>
      <c r="D189">
        <v>440258.22489999997</v>
      </c>
      <c r="E189">
        <v>1827479.4838</v>
      </c>
      <c r="F189">
        <v>31.869</v>
      </c>
      <c r="G189" t="s">
        <v>801</v>
      </c>
      <c r="H189" t="s">
        <v>52</v>
      </c>
      <c r="I189">
        <v>31.869</v>
      </c>
      <c r="J189" t="s">
        <v>53</v>
      </c>
      <c r="K189">
        <v>0</v>
      </c>
      <c r="L189" t="s">
        <v>367</v>
      </c>
      <c r="M189" t="s">
        <v>448</v>
      </c>
      <c r="N189">
        <v>-2.5000000000000001E-2</v>
      </c>
      <c r="O189" t="s">
        <v>56</v>
      </c>
      <c r="P189" t="s">
        <v>57</v>
      </c>
      <c r="Q189" t="s">
        <v>59</v>
      </c>
      <c r="R189" t="s">
        <v>58</v>
      </c>
      <c r="S189" t="s">
        <v>802</v>
      </c>
      <c r="T189" t="s">
        <v>61</v>
      </c>
      <c r="U189">
        <v>1.4648000000000001</v>
      </c>
      <c r="V189" t="s">
        <v>62</v>
      </c>
      <c r="W189">
        <v>0</v>
      </c>
      <c r="X189">
        <v>30.404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73</v>
      </c>
      <c r="AT189" t="s">
        <v>71</v>
      </c>
      <c r="AU189">
        <v>0</v>
      </c>
      <c r="AV189">
        <v>0</v>
      </c>
    </row>
    <row r="190" spans="1:48" x14ac:dyDescent="0.25">
      <c r="A190" t="s">
        <v>803</v>
      </c>
      <c r="B190" t="s">
        <v>105</v>
      </c>
      <c r="C190" t="s">
        <v>50</v>
      </c>
      <c r="D190">
        <v>440387.60009999998</v>
      </c>
      <c r="E190">
        <v>1827555.9924999999</v>
      </c>
      <c r="F190">
        <v>30.568999999999999</v>
      </c>
      <c r="G190" t="s">
        <v>804</v>
      </c>
      <c r="H190" t="s">
        <v>52</v>
      </c>
      <c r="I190">
        <v>30.568999999999999</v>
      </c>
      <c r="J190" t="s">
        <v>53</v>
      </c>
      <c r="K190">
        <v>0</v>
      </c>
      <c r="L190" t="s">
        <v>117</v>
      </c>
      <c r="M190" t="s">
        <v>805</v>
      </c>
      <c r="N190">
        <v>-0.18859999999999999</v>
      </c>
      <c r="O190" t="s">
        <v>56</v>
      </c>
      <c r="P190" t="s">
        <v>57</v>
      </c>
      <c r="Q190" t="s">
        <v>59</v>
      </c>
      <c r="R190" t="s">
        <v>109</v>
      </c>
      <c r="S190" t="s">
        <v>806</v>
      </c>
      <c r="T190" t="s">
        <v>61</v>
      </c>
      <c r="U190">
        <v>1.4882</v>
      </c>
      <c r="V190" t="s">
        <v>62</v>
      </c>
      <c r="W190">
        <v>0</v>
      </c>
      <c r="X190">
        <v>29.081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111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105</v>
      </c>
      <c r="AT190" t="s">
        <v>71</v>
      </c>
      <c r="AU190">
        <v>0</v>
      </c>
      <c r="AV190">
        <v>0</v>
      </c>
    </row>
    <row r="191" spans="1:48" x14ac:dyDescent="0.25">
      <c r="A191" t="s">
        <v>807</v>
      </c>
      <c r="B191" t="s">
        <v>73</v>
      </c>
      <c r="C191" t="s">
        <v>50</v>
      </c>
      <c r="D191">
        <v>440258.22489999997</v>
      </c>
      <c r="E191">
        <v>1827499.4838</v>
      </c>
      <c r="F191">
        <v>31.797999999999998</v>
      </c>
      <c r="G191" t="s">
        <v>808</v>
      </c>
      <c r="H191" t="s">
        <v>52</v>
      </c>
      <c r="I191">
        <v>31.797999999999998</v>
      </c>
      <c r="J191" t="s">
        <v>53</v>
      </c>
      <c r="K191">
        <v>0</v>
      </c>
      <c r="L191" t="s">
        <v>367</v>
      </c>
      <c r="M191" t="s">
        <v>452</v>
      </c>
      <c r="N191">
        <v>-2.5000000000000001E-2</v>
      </c>
      <c r="O191" t="s">
        <v>56</v>
      </c>
      <c r="P191" t="s">
        <v>57</v>
      </c>
      <c r="Q191" t="s">
        <v>59</v>
      </c>
      <c r="R191" t="s">
        <v>58</v>
      </c>
      <c r="S191" t="s">
        <v>809</v>
      </c>
      <c r="T191" t="s">
        <v>61</v>
      </c>
      <c r="U191">
        <v>1.4651000000000001</v>
      </c>
      <c r="V191" t="s">
        <v>62</v>
      </c>
      <c r="W191">
        <v>0</v>
      </c>
      <c r="X191">
        <v>30.332999999999998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73</v>
      </c>
      <c r="AT191" t="s">
        <v>71</v>
      </c>
      <c r="AU191">
        <v>0</v>
      </c>
      <c r="AV191">
        <v>0</v>
      </c>
    </row>
    <row r="192" spans="1:48" x14ac:dyDescent="0.25">
      <c r="A192" t="s">
        <v>810</v>
      </c>
      <c r="B192" t="s">
        <v>105</v>
      </c>
      <c r="C192" t="s">
        <v>50</v>
      </c>
      <c r="D192">
        <v>440398.2501</v>
      </c>
      <c r="E192">
        <v>1827555.7757999999</v>
      </c>
      <c r="F192">
        <v>30.524999999999999</v>
      </c>
      <c r="G192" t="s">
        <v>811</v>
      </c>
      <c r="H192" t="s">
        <v>52</v>
      </c>
      <c r="I192">
        <v>30.524999999999999</v>
      </c>
      <c r="J192" t="s">
        <v>53</v>
      </c>
      <c r="K192">
        <v>0</v>
      </c>
      <c r="L192" t="s">
        <v>107</v>
      </c>
      <c r="M192" t="s">
        <v>812</v>
      </c>
      <c r="N192">
        <v>0.2248</v>
      </c>
      <c r="O192" t="s">
        <v>56</v>
      </c>
      <c r="P192" t="s">
        <v>57</v>
      </c>
      <c r="Q192" t="s">
        <v>59</v>
      </c>
      <c r="R192" t="s">
        <v>109</v>
      </c>
      <c r="S192" t="s">
        <v>813</v>
      </c>
      <c r="T192" t="s">
        <v>61</v>
      </c>
      <c r="U192">
        <v>1.4444999999999999</v>
      </c>
      <c r="V192" t="s">
        <v>62</v>
      </c>
      <c r="W192">
        <v>0</v>
      </c>
      <c r="X192">
        <v>29.081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111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105</v>
      </c>
      <c r="AT192" t="s">
        <v>71</v>
      </c>
      <c r="AU192">
        <v>0</v>
      </c>
      <c r="AV192">
        <v>0</v>
      </c>
    </row>
    <row r="193" spans="1:48" x14ac:dyDescent="0.25">
      <c r="A193" t="s">
        <v>814</v>
      </c>
      <c r="B193" t="s">
        <v>49</v>
      </c>
      <c r="C193" t="s">
        <v>50</v>
      </c>
      <c r="D193">
        <v>440130.42509999999</v>
      </c>
      <c r="E193">
        <v>1827425.0486000001</v>
      </c>
      <c r="F193">
        <v>32.869999999999997</v>
      </c>
      <c r="G193" t="s">
        <v>815</v>
      </c>
      <c r="H193" t="s">
        <v>52</v>
      </c>
      <c r="I193">
        <v>32.869999999999997</v>
      </c>
      <c r="J193" t="s">
        <v>53</v>
      </c>
      <c r="K193">
        <v>0</v>
      </c>
      <c r="L193" t="s">
        <v>80</v>
      </c>
      <c r="M193" t="s">
        <v>816</v>
      </c>
      <c r="N193">
        <v>-7.2800000000000004E-2</v>
      </c>
      <c r="O193" t="s">
        <v>56</v>
      </c>
      <c r="P193" t="s">
        <v>57</v>
      </c>
      <c r="Q193" t="s">
        <v>58</v>
      </c>
      <c r="R193" t="s">
        <v>59</v>
      </c>
      <c r="S193" t="s">
        <v>817</v>
      </c>
      <c r="T193" t="s">
        <v>61</v>
      </c>
      <c r="U193">
        <v>1.5296000000000001</v>
      </c>
      <c r="V193" t="s">
        <v>62</v>
      </c>
      <c r="W193">
        <v>0</v>
      </c>
      <c r="X193">
        <v>31.34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49</v>
      </c>
      <c r="AT193" t="s">
        <v>71</v>
      </c>
      <c r="AU193">
        <v>0</v>
      </c>
      <c r="AV193">
        <v>0</v>
      </c>
    </row>
    <row r="194" spans="1:48" x14ac:dyDescent="0.25">
      <c r="A194" t="s">
        <v>818</v>
      </c>
      <c r="B194" t="s">
        <v>73</v>
      </c>
      <c r="C194" t="s">
        <v>50</v>
      </c>
      <c r="D194">
        <v>440454.52510000003</v>
      </c>
      <c r="E194">
        <v>1827880.7651</v>
      </c>
      <c r="F194">
        <v>31.013000000000002</v>
      </c>
      <c r="G194" t="s">
        <v>819</v>
      </c>
      <c r="H194" t="s">
        <v>52</v>
      </c>
      <c r="I194">
        <v>31.013000000000002</v>
      </c>
      <c r="J194" t="s">
        <v>53</v>
      </c>
      <c r="K194">
        <v>0</v>
      </c>
      <c r="L194" t="s">
        <v>232</v>
      </c>
      <c r="M194" t="s">
        <v>820</v>
      </c>
      <c r="N194">
        <v>2.8400000000000002E-2</v>
      </c>
      <c r="O194" t="s">
        <v>56</v>
      </c>
      <c r="P194" t="s">
        <v>57</v>
      </c>
      <c r="Q194" t="s">
        <v>59</v>
      </c>
      <c r="R194" t="s">
        <v>58</v>
      </c>
      <c r="S194" t="s">
        <v>821</v>
      </c>
      <c r="T194" t="s">
        <v>61</v>
      </c>
      <c r="U194">
        <v>1.5729</v>
      </c>
      <c r="V194" t="s">
        <v>62</v>
      </c>
      <c r="W194">
        <v>0</v>
      </c>
      <c r="X194">
        <v>29.44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68</v>
      </c>
      <c r="AG194" t="s">
        <v>65</v>
      </c>
      <c r="AH194" t="s">
        <v>65</v>
      </c>
      <c r="AI194" t="s">
        <v>67</v>
      </c>
      <c r="AK194" t="s">
        <v>66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73</v>
      </c>
      <c r="AT194" t="s">
        <v>71</v>
      </c>
      <c r="AU194">
        <v>0</v>
      </c>
      <c r="AV194">
        <v>0</v>
      </c>
    </row>
    <row r="195" spans="1:48" x14ac:dyDescent="0.25">
      <c r="A195" t="s">
        <v>822</v>
      </c>
      <c r="B195" t="s">
        <v>49</v>
      </c>
      <c r="C195" t="s">
        <v>50</v>
      </c>
      <c r="D195">
        <v>440150.42509999999</v>
      </c>
      <c r="E195">
        <v>1827425.0486000001</v>
      </c>
      <c r="F195">
        <v>32.734000000000002</v>
      </c>
      <c r="G195" t="s">
        <v>823</v>
      </c>
      <c r="H195" t="s">
        <v>52</v>
      </c>
      <c r="I195">
        <v>32.734000000000002</v>
      </c>
      <c r="J195" t="s">
        <v>53</v>
      </c>
      <c r="K195">
        <v>0</v>
      </c>
      <c r="L195" t="s">
        <v>80</v>
      </c>
      <c r="M195" t="s">
        <v>824</v>
      </c>
      <c r="N195">
        <v>-7.9399999999999998E-2</v>
      </c>
      <c r="O195" t="s">
        <v>56</v>
      </c>
      <c r="P195" t="s">
        <v>57</v>
      </c>
      <c r="Q195" t="s">
        <v>58</v>
      </c>
      <c r="R195" t="s">
        <v>59</v>
      </c>
      <c r="S195" t="s">
        <v>825</v>
      </c>
      <c r="T195" t="s">
        <v>61</v>
      </c>
      <c r="U195">
        <v>1.5213000000000001</v>
      </c>
      <c r="V195" t="s">
        <v>62</v>
      </c>
      <c r="W195">
        <v>0</v>
      </c>
      <c r="X195">
        <v>31.213000000000001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49</v>
      </c>
      <c r="AT195" t="s">
        <v>71</v>
      </c>
      <c r="AU195">
        <v>0</v>
      </c>
      <c r="AV195">
        <v>0</v>
      </c>
    </row>
    <row r="196" spans="1:48" x14ac:dyDescent="0.25">
      <c r="A196" t="s">
        <v>826</v>
      </c>
      <c r="B196" t="s">
        <v>73</v>
      </c>
      <c r="C196" t="s">
        <v>50</v>
      </c>
      <c r="D196">
        <v>440463.92509999999</v>
      </c>
      <c r="E196">
        <v>1827881.1262999999</v>
      </c>
      <c r="F196">
        <v>31.010999999999999</v>
      </c>
      <c r="G196" t="s">
        <v>827</v>
      </c>
      <c r="H196" t="s">
        <v>52</v>
      </c>
      <c r="I196">
        <v>31.010999999999999</v>
      </c>
      <c r="J196" t="s">
        <v>53</v>
      </c>
      <c r="K196">
        <v>0</v>
      </c>
      <c r="L196" t="s">
        <v>210</v>
      </c>
      <c r="M196" t="s">
        <v>828</v>
      </c>
      <c r="N196">
        <v>0.15</v>
      </c>
      <c r="O196" t="s">
        <v>56</v>
      </c>
      <c r="P196" t="s">
        <v>57</v>
      </c>
      <c r="Q196" t="s">
        <v>59</v>
      </c>
      <c r="R196" t="s">
        <v>58</v>
      </c>
      <c r="S196" t="s">
        <v>829</v>
      </c>
      <c r="T196" t="s">
        <v>61</v>
      </c>
      <c r="U196">
        <v>1.5714999999999999</v>
      </c>
      <c r="V196" t="s">
        <v>62</v>
      </c>
      <c r="W196">
        <v>0</v>
      </c>
      <c r="X196">
        <v>29.44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73</v>
      </c>
      <c r="AT196" t="s">
        <v>71</v>
      </c>
      <c r="AU196">
        <v>0</v>
      </c>
      <c r="AV196">
        <v>0</v>
      </c>
    </row>
    <row r="197" spans="1:48" x14ac:dyDescent="0.25">
      <c r="A197" t="s">
        <v>830</v>
      </c>
      <c r="B197" t="s">
        <v>49</v>
      </c>
      <c r="C197" t="s">
        <v>50</v>
      </c>
      <c r="D197">
        <v>440170.42509999999</v>
      </c>
      <c r="E197">
        <v>1827425.0486000001</v>
      </c>
      <c r="F197">
        <v>32.606999999999999</v>
      </c>
      <c r="G197" t="s">
        <v>831</v>
      </c>
      <c r="H197" t="s">
        <v>52</v>
      </c>
      <c r="I197">
        <v>32.606999999999999</v>
      </c>
      <c r="J197" t="s">
        <v>53</v>
      </c>
      <c r="K197">
        <v>0</v>
      </c>
      <c r="L197" t="s">
        <v>80</v>
      </c>
      <c r="M197" t="s">
        <v>832</v>
      </c>
      <c r="N197">
        <v>-8.5900000000000004E-2</v>
      </c>
      <c r="O197" t="s">
        <v>56</v>
      </c>
      <c r="P197" t="s">
        <v>57</v>
      </c>
      <c r="Q197" t="s">
        <v>58</v>
      </c>
      <c r="R197" t="s">
        <v>59</v>
      </c>
      <c r="S197" t="s">
        <v>833</v>
      </c>
      <c r="T197" t="s">
        <v>61</v>
      </c>
      <c r="U197">
        <v>1.6738999999999999</v>
      </c>
      <c r="V197" t="s">
        <v>62</v>
      </c>
      <c r="W197">
        <v>0</v>
      </c>
      <c r="X197">
        <v>30.933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49</v>
      </c>
      <c r="AT197" t="s">
        <v>71</v>
      </c>
      <c r="AU197">
        <v>0</v>
      </c>
      <c r="AV197">
        <v>0</v>
      </c>
    </row>
    <row r="198" spans="1:48" x14ac:dyDescent="0.25">
      <c r="A198" t="s">
        <v>834</v>
      </c>
      <c r="B198" t="s">
        <v>49</v>
      </c>
      <c r="C198" t="s">
        <v>50</v>
      </c>
      <c r="D198">
        <v>440388.57520000002</v>
      </c>
      <c r="E198">
        <v>1827894.4609000001</v>
      </c>
      <c r="F198">
        <v>30.812999999999999</v>
      </c>
      <c r="G198" t="s">
        <v>835</v>
      </c>
      <c r="H198" t="s">
        <v>52</v>
      </c>
      <c r="I198">
        <v>30.812999999999999</v>
      </c>
      <c r="J198" t="s">
        <v>53</v>
      </c>
      <c r="K198">
        <v>0</v>
      </c>
      <c r="L198" t="s">
        <v>260</v>
      </c>
      <c r="M198" t="s">
        <v>836</v>
      </c>
      <c r="N198">
        <v>-5.9999999999999995E-4</v>
      </c>
      <c r="O198" t="s">
        <v>56</v>
      </c>
      <c r="P198" t="s">
        <v>57</v>
      </c>
      <c r="Q198" t="s">
        <v>58</v>
      </c>
      <c r="R198" t="s">
        <v>59</v>
      </c>
      <c r="S198" t="s">
        <v>837</v>
      </c>
      <c r="T198" t="s">
        <v>61</v>
      </c>
      <c r="U198">
        <v>1.4832000000000001</v>
      </c>
      <c r="V198" t="s">
        <v>62</v>
      </c>
      <c r="W198">
        <v>0</v>
      </c>
      <c r="X198">
        <v>29.33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49</v>
      </c>
      <c r="AT198" t="s">
        <v>71</v>
      </c>
      <c r="AU198">
        <v>0</v>
      </c>
      <c r="AV198">
        <v>0</v>
      </c>
    </row>
    <row r="199" spans="1:48" x14ac:dyDescent="0.25">
      <c r="A199" t="s">
        <v>838</v>
      </c>
      <c r="B199" t="s">
        <v>49</v>
      </c>
      <c r="C199" t="s">
        <v>50</v>
      </c>
      <c r="D199">
        <v>440194.65590000001</v>
      </c>
      <c r="E199">
        <v>1827425.0486000001</v>
      </c>
      <c r="F199">
        <v>32.424999999999997</v>
      </c>
      <c r="G199" t="s">
        <v>839</v>
      </c>
      <c r="H199" t="s">
        <v>52</v>
      </c>
      <c r="I199">
        <v>32.424999999999997</v>
      </c>
      <c r="J199" t="s">
        <v>53</v>
      </c>
      <c r="K199">
        <v>0</v>
      </c>
      <c r="L199" t="s">
        <v>80</v>
      </c>
      <c r="M199" t="s">
        <v>840</v>
      </c>
      <c r="N199">
        <v>-9.3799999999999994E-2</v>
      </c>
      <c r="O199" t="s">
        <v>56</v>
      </c>
      <c r="P199" t="s">
        <v>57</v>
      </c>
      <c r="Q199" t="s">
        <v>58</v>
      </c>
      <c r="R199" t="s">
        <v>59</v>
      </c>
      <c r="S199" t="s">
        <v>841</v>
      </c>
      <c r="T199" t="s">
        <v>61</v>
      </c>
      <c r="U199">
        <v>1.5510999999999999</v>
      </c>
      <c r="V199" t="s">
        <v>62</v>
      </c>
      <c r="W199">
        <v>0</v>
      </c>
      <c r="X199">
        <v>30.873999999999999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49</v>
      </c>
      <c r="AT199" t="s">
        <v>71</v>
      </c>
      <c r="AU199">
        <v>0</v>
      </c>
      <c r="AV199">
        <v>0</v>
      </c>
    </row>
    <row r="200" spans="1:48" x14ac:dyDescent="0.25">
      <c r="A200" t="s">
        <v>842</v>
      </c>
      <c r="B200" t="s">
        <v>49</v>
      </c>
      <c r="C200" t="s">
        <v>50</v>
      </c>
      <c r="D200">
        <v>440387.91149999999</v>
      </c>
      <c r="E200">
        <v>1827885.0608999999</v>
      </c>
      <c r="F200">
        <v>30.754999999999999</v>
      </c>
      <c r="G200" t="s">
        <v>843</v>
      </c>
      <c r="H200" t="s">
        <v>52</v>
      </c>
      <c r="I200">
        <v>30.754999999999999</v>
      </c>
      <c r="J200" t="s">
        <v>53</v>
      </c>
      <c r="K200">
        <v>0</v>
      </c>
      <c r="L200" t="s">
        <v>844</v>
      </c>
      <c r="M200" t="s">
        <v>845</v>
      </c>
      <c r="N200">
        <v>7.4999999999999997E-2</v>
      </c>
      <c r="O200" t="s">
        <v>56</v>
      </c>
      <c r="P200" t="s">
        <v>57</v>
      </c>
      <c r="Q200" t="s">
        <v>58</v>
      </c>
      <c r="R200" t="s">
        <v>59</v>
      </c>
      <c r="S200" t="s">
        <v>846</v>
      </c>
      <c r="T200" t="s">
        <v>61</v>
      </c>
      <c r="U200">
        <v>1.4251</v>
      </c>
      <c r="V200" t="s">
        <v>62</v>
      </c>
      <c r="W200">
        <v>0</v>
      </c>
      <c r="X200">
        <v>29.33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66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49</v>
      </c>
      <c r="AT200" t="s">
        <v>71</v>
      </c>
      <c r="AU200">
        <v>0</v>
      </c>
      <c r="AV200">
        <v>0</v>
      </c>
    </row>
    <row r="201" spans="1:48" x14ac:dyDescent="0.25">
      <c r="A201" t="s">
        <v>847</v>
      </c>
      <c r="B201" t="s">
        <v>49</v>
      </c>
      <c r="C201" t="s">
        <v>50</v>
      </c>
      <c r="D201">
        <v>440210.42509999999</v>
      </c>
      <c r="E201">
        <v>1827425.0486000001</v>
      </c>
      <c r="F201">
        <v>32.351999999999997</v>
      </c>
      <c r="G201" t="s">
        <v>848</v>
      </c>
      <c r="H201" t="s">
        <v>52</v>
      </c>
      <c r="I201">
        <v>32.351999999999997</v>
      </c>
      <c r="J201" t="s">
        <v>53</v>
      </c>
      <c r="K201">
        <v>0</v>
      </c>
      <c r="L201" t="s">
        <v>80</v>
      </c>
      <c r="M201" t="s">
        <v>849</v>
      </c>
      <c r="N201">
        <v>-9.9000000000000005E-2</v>
      </c>
      <c r="O201" t="s">
        <v>56</v>
      </c>
      <c r="P201" t="s">
        <v>57</v>
      </c>
      <c r="Q201" t="s">
        <v>58</v>
      </c>
      <c r="R201" t="s">
        <v>59</v>
      </c>
      <c r="S201" t="s">
        <v>850</v>
      </c>
      <c r="T201" t="s">
        <v>61</v>
      </c>
      <c r="U201">
        <v>1.5212000000000001</v>
      </c>
      <c r="V201" t="s">
        <v>62</v>
      </c>
      <c r="W201">
        <v>0</v>
      </c>
      <c r="X201">
        <v>30.831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49</v>
      </c>
      <c r="AT201" t="s">
        <v>71</v>
      </c>
      <c r="AU201">
        <v>0</v>
      </c>
      <c r="AV201">
        <v>0</v>
      </c>
    </row>
    <row r="202" spans="1:48" x14ac:dyDescent="0.25">
      <c r="A202" t="s">
        <v>851</v>
      </c>
      <c r="B202" t="s">
        <v>49</v>
      </c>
      <c r="C202" t="s">
        <v>50</v>
      </c>
      <c r="D202">
        <v>440230.42509999999</v>
      </c>
      <c r="E202">
        <v>1827425.0486000001</v>
      </c>
      <c r="F202">
        <v>32.225000000000001</v>
      </c>
      <c r="G202" t="s">
        <v>852</v>
      </c>
      <c r="H202" t="s">
        <v>52</v>
      </c>
      <c r="I202">
        <v>32.225000000000001</v>
      </c>
      <c r="J202" t="s">
        <v>53</v>
      </c>
      <c r="K202">
        <v>0</v>
      </c>
      <c r="L202" t="s">
        <v>80</v>
      </c>
      <c r="M202" t="s">
        <v>853</v>
      </c>
      <c r="N202">
        <v>-0.1055</v>
      </c>
      <c r="O202" t="s">
        <v>56</v>
      </c>
      <c r="P202" t="s">
        <v>57</v>
      </c>
      <c r="Q202" t="s">
        <v>58</v>
      </c>
      <c r="R202" t="s">
        <v>59</v>
      </c>
      <c r="S202" t="s">
        <v>854</v>
      </c>
      <c r="T202" t="s">
        <v>61</v>
      </c>
      <c r="U202">
        <v>1.7148000000000001</v>
      </c>
      <c r="V202" t="s">
        <v>62</v>
      </c>
      <c r="W202">
        <v>0</v>
      </c>
      <c r="X202">
        <v>30.51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66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49</v>
      </c>
      <c r="AT202" t="s">
        <v>71</v>
      </c>
      <c r="AU202">
        <v>0</v>
      </c>
      <c r="AV202">
        <v>0</v>
      </c>
    </row>
    <row r="203" spans="1:48" x14ac:dyDescent="0.25">
      <c r="A203" t="s">
        <v>855</v>
      </c>
      <c r="B203" t="s">
        <v>49</v>
      </c>
      <c r="C203" t="s">
        <v>50</v>
      </c>
      <c r="D203">
        <v>440130.42509999999</v>
      </c>
      <c r="E203">
        <v>1827415.6486</v>
      </c>
      <c r="F203">
        <v>32.862000000000002</v>
      </c>
      <c r="G203" t="s">
        <v>856</v>
      </c>
      <c r="H203" t="s">
        <v>52</v>
      </c>
      <c r="I203">
        <v>32.862000000000002</v>
      </c>
      <c r="J203" t="s">
        <v>53</v>
      </c>
      <c r="K203">
        <v>0</v>
      </c>
      <c r="L203" t="s">
        <v>85</v>
      </c>
      <c r="M203" t="s">
        <v>816</v>
      </c>
      <c r="N203">
        <v>2.4199999999999999E-2</v>
      </c>
      <c r="O203" t="s">
        <v>56</v>
      </c>
      <c r="P203" t="s">
        <v>57</v>
      </c>
      <c r="Q203" t="s">
        <v>58</v>
      </c>
      <c r="R203" t="s">
        <v>59</v>
      </c>
      <c r="S203" t="s">
        <v>857</v>
      </c>
      <c r="T203" t="s">
        <v>61</v>
      </c>
      <c r="U203">
        <v>1.5217000000000001</v>
      </c>
      <c r="V203" t="s">
        <v>62</v>
      </c>
      <c r="W203">
        <v>0</v>
      </c>
      <c r="X203">
        <v>31.34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66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49</v>
      </c>
      <c r="AT203" t="s">
        <v>71</v>
      </c>
      <c r="AU203">
        <v>0</v>
      </c>
      <c r="AV203">
        <v>0</v>
      </c>
    </row>
    <row r="204" spans="1:48" x14ac:dyDescent="0.25">
      <c r="A204" t="s">
        <v>858</v>
      </c>
      <c r="B204" t="s">
        <v>49</v>
      </c>
      <c r="C204" t="s">
        <v>50</v>
      </c>
      <c r="D204">
        <v>440150.42509999999</v>
      </c>
      <c r="E204">
        <v>1827415.6486</v>
      </c>
      <c r="F204">
        <v>32.734000000000002</v>
      </c>
      <c r="G204" t="s">
        <v>859</v>
      </c>
      <c r="H204" t="s">
        <v>52</v>
      </c>
      <c r="I204">
        <v>32.734000000000002</v>
      </c>
      <c r="J204" t="s">
        <v>53</v>
      </c>
      <c r="K204">
        <v>0</v>
      </c>
      <c r="L204" t="s">
        <v>85</v>
      </c>
      <c r="M204" t="s">
        <v>824</v>
      </c>
      <c r="N204">
        <v>2.63E-2</v>
      </c>
      <c r="O204" t="s">
        <v>56</v>
      </c>
      <c r="P204" t="s">
        <v>57</v>
      </c>
      <c r="Q204" t="s">
        <v>58</v>
      </c>
      <c r="R204" t="s">
        <v>59</v>
      </c>
      <c r="S204" t="s">
        <v>825</v>
      </c>
      <c r="T204" t="s">
        <v>61</v>
      </c>
      <c r="U204">
        <v>1.5213000000000001</v>
      </c>
      <c r="V204" t="s">
        <v>62</v>
      </c>
      <c r="W204">
        <v>0</v>
      </c>
      <c r="X204">
        <v>31.213000000000001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68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49</v>
      </c>
      <c r="AT204" t="s">
        <v>71</v>
      </c>
      <c r="AU204">
        <v>0</v>
      </c>
      <c r="AV204">
        <v>0</v>
      </c>
    </row>
    <row r="205" spans="1:48" x14ac:dyDescent="0.25">
      <c r="A205" t="s">
        <v>860</v>
      </c>
      <c r="B205" t="s">
        <v>49</v>
      </c>
      <c r="C205" t="s">
        <v>50</v>
      </c>
      <c r="D205">
        <v>440170.42509999999</v>
      </c>
      <c r="E205">
        <v>1827415.6486</v>
      </c>
      <c r="F205">
        <v>32.606999999999999</v>
      </c>
      <c r="G205" t="s">
        <v>861</v>
      </c>
      <c r="H205" t="s">
        <v>52</v>
      </c>
      <c r="I205">
        <v>32.606999999999999</v>
      </c>
      <c r="J205" t="s">
        <v>53</v>
      </c>
      <c r="K205">
        <v>0</v>
      </c>
      <c r="L205" t="s">
        <v>85</v>
      </c>
      <c r="M205" t="s">
        <v>832</v>
      </c>
      <c r="N205">
        <v>2.8500000000000001E-2</v>
      </c>
      <c r="O205" t="s">
        <v>56</v>
      </c>
      <c r="P205" t="s">
        <v>57</v>
      </c>
      <c r="Q205" t="s">
        <v>58</v>
      </c>
      <c r="R205" t="s">
        <v>59</v>
      </c>
      <c r="S205" t="s">
        <v>862</v>
      </c>
      <c r="T205" t="s">
        <v>61</v>
      </c>
      <c r="U205">
        <v>1.5219</v>
      </c>
      <c r="V205" t="s">
        <v>62</v>
      </c>
      <c r="W205">
        <v>0</v>
      </c>
      <c r="X205">
        <v>31.085000000000001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68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49</v>
      </c>
      <c r="AT205" t="s">
        <v>71</v>
      </c>
      <c r="AU205">
        <v>0</v>
      </c>
      <c r="AV205">
        <v>0</v>
      </c>
    </row>
    <row r="206" spans="1:48" x14ac:dyDescent="0.25">
      <c r="A206" t="s">
        <v>863</v>
      </c>
      <c r="B206" t="s">
        <v>49</v>
      </c>
      <c r="C206" t="s">
        <v>50</v>
      </c>
      <c r="D206">
        <v>440190.42509999999</v>
      </c>
      <c r="E206">
        <v>1827415.6486</v>
      </c>
      <c r="F206">
        <v>32.479999999999997</v>
      </c>
      <c r="G206" t="s">
        <v>864</v>
      </c>
      <c r="H206" t="s">
        <v>52</v>
      </c>
      <c r="I206">
        <v>32.479999999999997</v>
      </c>
      <c r="J206" t="s">
        <v>53</v>
      </c>
      <c r="K206">
        <v>0</v>
      </c>
      <c r="L206" t="s">
        <v>85</v>
      </c>
      <c r="M206" t="s">
        <v>865</v>
      </c>
      <c r="N206">
        <v>3.0700000000000002E-2</v>
      </c>
      <c r="O206" t="s">
        <v>56</v>
      </c>
      <c r="P206" t="s">
        <v>57</v>
      </c>
      <c r="Q206" t="s">
        <v>58</v>
      </c>
      <c r="R206" t="s">
        <v>59</v>
      </c>
      <c r="S206" t="s">
        <v>866</v>
      </c>
      <c r="T206" t="s">
        <v>61</v>
      </c>
      <c r="U206">
        <v>1.5215000000000001</v>
      </c>
      <c r="V206" t="s">
        <v>62</v>
      </c>
      <c r="W206">
        <v>0</v>
      </c>
      <c r="X206">
        <v>30.957999999999998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67</v>
      </c>
      <c r="AK206" t="s">
        <v>68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49</v>
      </c>
      <c r="AT206" t="s">
        <v>71</v>
      </c>
      <c r="AU206">
        <v>0</v>
      </c>
      <c r="AV206">
        <v>0</v>
      </c>
    </row>
    <row r="207" spans="1:48" x14ac:dyDescent="0.25">
      <c r="A207" t="s">
        <v>867</v>
      </c>
      <c r="B207" t="s">
        <v>49</v>
      </c>
      <c r="C207" t="s">
        <v>50</v>
      </c>
      <c r="D207">
        <v>440210.42509999999</v>
      </c>
      <c r="E207">
        <v>1827415.6486</v>
      </c>
      <c r="F207">
        <v>32.351999999999997</v>
      </c>
      <c r="G207" t="s">
        <v>868</v>
      </c>
      <c r="H207" t="s">
        <v>52</v>
      </c>
      <c r="I207">
        <v>32.351999999999997</v>
      </c>
      <c r="J207" t="s">
        <v>53</v>
      </c>
      <c r="K207">
        <v>0</v>
      </c>
      <c r="L207" t="s">
        <v>85</v>
      </c>
      <c r="M207" s="1" t="s">
        <v>849</v>
      </c>
      <c r="N207">
        <v>3.2899999999999999E-2</v>
      </c>
      <c r="O207" t="s">
        <v>56</v>
      </c>
      <c r="P207" t="s">
        <v>57</v>
      </c>
      <c r="Q207" t="s">
        <v>58</v>
      </c>
      <c r="R207" t="s">
        <v>59</v>
      </c>
      <c r="S207" t="s">
        <v>850</v>
      </c>
      <c r="T207" t="s">
        <v>61</v>
      </c>
      <c r="U207">
        <v>1.5212000000000001</v>
      </c>
      <c r="V207" t="s">
        <v>62</v>
      </c>
      <c r="W207">
        <v>0</v>
      </c>
      <c r="X207">
        <v>30.831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68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49</v>
      </c>
      <c r="AT207" t="s">
        <v>71</v>
      </c>
      <c r="AU207">
        <v>0</v>
      </c>
      <c r="AV207">
        <v>0</v>
      </c>
    </row>
    <row r="208" spans="1:48" x14ac:dyDescent="0.25">
      <c r="A208" t="s">
        <v>869</v>
      </c>
      <c r="B208" t="s">
        <v>49</v>
      </c>
      <c r="C208" t="s">
        <v>50</v>
      </c>
      <c r="D208">
        <v>440230.42509999999</v>
      </c>
      <c r="E208">
        <v>1827415.6486</v>
      </c>
      <c r="F208">
        <v>32.225000000000001</v>
      </c>
      <c r="G208" t="s">
        <v>870</v>
      </c>
      <c r="H208" t="s">
        <v>52</v>
      </c>
      <c r="I208">
        <v>32.225000000000001</v>
      </c>
      <c r="J208" t="s">
        <v>53</v>
      </c>
      <c r="K208">
        <v>0</v>
      </c>
      <c r="L208" t="s">
        <v>85</v>
      </c>
      <c r="M208" t="s">
        <v>853</v>
      </c>
      <c r="N208">
        <v>3.5000000000000003E-2</v>
      </c>
      <c r="O208" t="s">
        <v>56</v>
      </c>
      <c r="P208" t="s">
        <v>57</v>
      </c>
      <c r="Q208" t="s">
        <v>58</v>
      </c>
      <c r="R208" t="s">
        <v>59</v>
      </c>
      <c r="S208" t="s">
        <v>871</v>
      </c>
      <c r="T208" t="s">
        <v>61</v>
      </c>
      <c r="U208">
        <v>1.5167999999999999</v>
      </c>
      <c r="V208" t="s">
        <v>62</v>
      </c>
      <c r="W208">
        <v>0</v>
      </c>
      <c r="X208">
        <v>30.707999999999998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67</v>
      </c>
      <c r="AK208" t="s">
        <v>68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49</v>
      </c>
      <c r="AT208" t="s">
        <v>71</v>
      </c>
      <c r="AU208">
        <v>0</v>
      </c>
      <c r="AV208">
        <v>0</v>
      </c>
    </row>
    <row r="209" spans="1:48" x14ac:dyDescent="0.25">
      <c r="A209" t="s">
        <v>872</v>
      </c>
      <c r="B209" t="s">
        <v>73</v>
      </c>
      <c r="C209" t="s">
        <v>50</v>
      </c>
      <c r="D209">
        <v>440248.82490000001</v>
      </c>
      <c r="E209">
        <v>1827415.8485999999</v>
      </c>
      <c r="F209">
        <v>32.103999999999999</v>
      </c>
      <c r="G209" t="s">
        <v>873</v>
      </c>
      <c r="H209" t="s">
        <v>52</v>
      </c>
      <c r="I209">
        <v>32.103999999999999</v>
      </c>
      <c r="J209" t="s">
        <v>53</v>
      </c>
      <c r="K209">
        <v>0</v>
      </c>
      <c r="L209" t="s">
        <v>85</v>
      </c>
      <c r="M209" t="s">
        <v>874</v>
      </c>
      <c r="N209">
        <v>0.23699999999999999</v>
      </c>
      <c r="O209" t="s">
        <v>56</v>
      </c>
      <c r="P209" t="s">
        <v>57</v>
      </c>
      <c r="Q209" t="s">
        <v>59</v>
      </c>
      <c r="R209" t="s">
        <v>58</v>
      </c>
      <c r="S209" t="s">
        <v>875</v>
      </c>
      <c r="T209" t="s">
        <v>61</v>
      </c>
      <c r="U209">
        <v>1.6215999999999999</v>
      </c>
      <c r="V209" t="s">
        <v>62</v>
      </c>
      <c r="W209">
        <v>0</v>
      </c>
      <c r="X209">
        <v>30.481999999999999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73</v>
      </c>
      <c r="AT209" t="s">
        <v>71</v>
      </c>
      <c r="AU209">
        <v>0</v>
      </c>
      <c r="AV209">
        <v>0</v>
      </c>
    </row>
    <row r="210" spans="1:48" x14ac:dyDescent="0.25">
      <c r="A210" t="s">
        <v>876</v>
      </c>
      <c r="B210" t="s">
        <v>73</v>
      </c>
      <c r="C210" t="s">
        <v>50</v>
      </c>
      <c r="D210">
        <v>440248.82490000001</v>
      </c>
      <c r="E210">
        <v>1827424.9442</v>
      </c>
      <c r="F210">
        <v>31.895</v>
      </c>
      <c r="G210" t="s">
        <v>877</v>
      </c>
      <c r="H210" t="s">
        <v>52</v>
      </c>
      <c r="I210">
        <v>31.895</v>
      </c>
      <c r="J210" t="s">
        <v>53</v>
      </c>
      <c r="K210">
        <v>0</v>
      </c>
      <c r="L210" t="s">
        <v>80</v>
      </c>
      <c r="M210" t="s">
        <v>874</v>
      </c>
      <c r="N210">
        <v>-0.216</v>
      </c>
      <c r="O210" t="s">
        <v>56</v>
      </c>
      <c r="P210" t="s">
        <v>57</v>
      </c>
      <c r="Q210" t="s">
        <v>59</v>
      </c>
      <c r="R210" t="s">
        <v>58</v>
      </c>
      <c r="S210" t="s">
        <v>878</v>
      </c>
      <c r="T210" t="s">
        <v>61</v>
      </c>
      <c r="U210">
        <v>1.4402999999999999</v>
      </c>
      <c r="V210" t="s">
        <v>62</v>
      </c>
      <c r="W210">
        <v>0</v>
      </c>
      <c r="X210">
        <v>30.454999999999998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73</v>
      </c>
      <c r="AT210" t="s">
        <v>71</v>
      </c>
      <c r="AU210">
        <v>0</v>
      </c>
      <c r="AV210">
        <v>0</v>
      </c>
    </row>
    <row r="211" spans="1:48" x14ac:dyDescent="0.25">
      <c r="A211" t="s">
        <v>879</v>
      </c>
      <c r="B211" t="s">
        <v>73</v>
      </c>
      <c r="C211" t="s">
        <v>50</v>
      </c>
      <c r="D211">
        <v>440248.82490000001</v>
      </c>
      <c r="E211">
        <v>1827439.4838</v>
      </c>
      <c r="F211">
        <v>32.01</v>
      </c>
      <c r="G211" t="s">
        <v>880</v>
      </c>
      <c r="H211" t="s">
        <v>52</v>
      </c>
      <c r="I211">
        <v>32.01</v>
      </c>
      <c r="J211" t="s">
        <v>53</v>
      </c>
      <c r="K211">
        <v>0</v>
      </c>
      <c r="L211" t="s">
        <v>881</v>
      </c>
      <c r="M211" t="s">
        <v>440</v>
      </c>
      <c r="N211">
        <v>0</v>
      </c>
      <c r="O211" t="s">
        <v>56</v>
      </c>
      <c r="P211" t="s">
        <v>57</v>
      </c>
      <c r="Q211" t="s">
        <v>59</v>
      </c>
      <c r="R211" t="s">
        <v>58</v>
      </c>
      <c r="S211" t="s">
        <v>882</v>
      </c>
      <c r="T211" t="s">
        <v>61</v>
      </c>
      <c r="U211">
        <v>1.5703</v>
      </c>
      <c r="V211" t="s">
        <v>62</v>
      </c>
      <c r="W211">
        <v>0</v>
      </c>
      <c r="X211">
        <v>30.44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73</v>
      </c>
      <c r="AT211" t="s">
        <v>71</v>
      </c>
      <c r="AU211">
        <v>0</v>
      </c>
      <c r="AV211">
        <v>0</v>
      </c>
    </row>
    <row r="212" spans="1:48" x14ac:dyDescent="0.25">
      <c r="A212" t="s">
        <v>883</v>
      </c>
      <c r="B212" t="s">
        <v>73</v>
      </c>
      <c r="C212" t="s">
        <v>50</v>
      </c>
      <c r="D212">
        <v>440248.82490000001</v>
      </c>
      <c r="E212">
        <v>1827459.2461000001</v>
      </c>
      <c r="F212">
        <v>31.94</v>
      </c>
      <c r="G212" t="s">
        <v>884</v>
      </c>
      <c r="H212" t="s">
        <v>52</v>
      </c>
      <c r="I212">
        <v>31.94</v>
      </c>
      <c r="J212" t="s">
        <v>53</v>
      </c>
      <c r="K212">
        <v>0</v>
      </c>
      <c r="L212" t="s">
        <v>881</v>
      </c>
      <c r="M212" t="s">
        <v>885</v>
      </c>
      <c r="N212">
        <v>0</v>
      </c>
      <c r="O212" t="s">
        <v>56</v>
      </c>
      <c r="P212" t="s">
        <v>57</v>
      </c>
      <c r="Q212" t="s">
        <v>59</v>
      </c>
      <c r="R212" t="s">
        <v>58</v>
      </c>
      <c r="S212" t="s">
        <v>886</v>
      </c>
      <c r="T212" t="s">
        <v>61</v>
      </c>
      <c r="U212">
        <v>1.5204</v>
      </c>
      <c r="V212" t="s">
        <v>62</v>
      </c>
      <c r="W212">
        <v>0</v>
      </c>
      <c r="X212">
        <v>30.42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73</v>
      </c>
      <c r="AT212" t="s">
        <v>71</v>
      </c>
      <c r="AU212">
        <v>0</v>
      </c>
      <c r="AV212">
        <v>0</v>
      </c>
    </row>
    <row r="213" spans="1:48" x14ac:dyDescent="0.25">
      <c r="A213" t="s">
        <v>887</v>
      </c>
      <c r="B213" t="s">
        <v>73</v>
      </c>
      <c r="C213" t="s">
        <v>50</v>
      </c>
      <c r="D213">
        <v>440248.82490000001</v>
      </c>
      <c r="E213">
        <v>1827479.4838</v>
      </c>
      <c r="F213">
        <v>31.869</v>
      </c>
      <c r="G213" t="s">
        <v>888</v>
      </c>
      <c r="H213" t="s">
        <v>52</v>
      </c>
      <c r="I213">
        <v>31.869</v>
      </c>
      <c r="J213" t="s">
        <v>53</v>
      </c>
      <c r="K213">
        <v>0</v>
      </c>
      <c r="L213" t="s">
        <v>881</v>
      </c>
      <c r="M213" t="s">
        <v>448</v>
      </c>
      <c r="N213">
        <v>0</v>
      </c>
      <c r="O213" t="s">
        <v>56</v>
      </c>
      <c r="P213" t="s">
        <v>57</v>
      </c>
      <c r="Q213" t="s">
        <v>59</v>
      </c>
      <c r="R213" t="s">
        <v>58</v>
      </c>
      <c r="S213" t="s">
        <v>889</v>
      </c>
      <c r="T213" t="s">
        <v>61</v>
      </c>
      <c r="U213">
        <v>1.4688000000000001</v>
      </c>
      <c r="V213" t="s">
        <v>62</v>
      </c>
      <c r="W213">
        <v>0</v>
      </c>
      <c r="X213">
        <v>30.4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73</v>
      </c>
      <c r="AT213" t="s">
        <v>71</v>
      </c>
      <c r="AU213">
        <v>0</v>
      </c>
      <c r="AV213">
        <v>0</v>
      </c>
    </row>
    <row r="214" spans="1:48" x14ac:dyDescent="0.25">
      <c r="A214" t="s">
        <v>890</v>
      </c>
      <c r="B214" t="s">
        <v>73</v>
      </c>
      <c r="C214" t="s">
        <v>50</v>
      </c>
      <c r="D214">
        <v>440248.82490000001</v>
      </c>
      <c r="E214">
        <v>1827499.4838</v>
      </c>
      <c r="F214">
        <v>31.797999999999998</v>
      </c>
      <c r="G214" t="s">
        <v>891</v>
      </c>
      <c r="H214" t="s">
        <v>52</v>
      </c>
      <c r="I214">
        <v>31.797999999999998</v>
      </c>
      <c r="J214" t="s">
        <v>53</v>
      </c>
      <c r="K214">
        <v>0</v>
      </c>
      <c r="L214" t="s">
        <v>881</v>
      </c>
      <c r="M214" t="s">
        <v>452</v>
      </c>
      <c r="N214">
        <v>0</v>
      </c>
      <c r="O214" t="s">
        <v>56</v>
      </c>
      <c r="P214" t="s">
        <v>57</v>
      </c>
      <c r="Q214" t="s">
        <v>59</v>
      </c>
      <c r="R214" t="s">
        <v>58</v>
      </c>
      <c r="S214" t="s">
        <v>809</v>
      </c>
      <c r="T214" t="s">
        <v>61</v>
      </c>
      <c r="U214">
        <v>1.4651000000000001</v>
      </c>
      <c r="V214" t="s">
        <v>62</v>
      </c>
      <c r="W214">
        <v>0</v>
      </c>
      <c r="X214">
        <v>30.332999999999998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73</v>
      </c>
      <c r="AT214" t="s">
        <v>71</v>
      </c>
      <c r="AU214">
        <v>0</v>
      </c>
      <c r="AV214">
        <v>0</v>
      </c>
    </row>
    <row r="215" spans="1:48" x14ac:dyDescent="0.25">
      <c r="A215" t="s">
        <v>892</v>
      </c>
      <c r="B215" t="s">
        <v>73</v>
      </c>
      <c r="C215" t="s">
        <v>50</v>
      </c>
      <c r="D215">
        <v>440248.82490000001</v>
      </c>
      <c r="E215">
        <v>1827518.7348</v>
      </c>
      <c r="F215">
        <v>31.73</v>
      </c>
      <c r="G215" t="s">
        <v>893</v>
      </c>
      <c r="H215" t="s">
        <v>52</v>
      </c>
      <c r="I215">
        <v>31.73</v>
      </c>
      <c r="J215" t="s">
        <v>53</v>
      </c>
      <c r="K215">
        <v>0</v>
      </c>
      <c r="L215" t="s">
        <v>881</v>
      </c>
      <c r="M215" t="s">
        <v>894</v>
      </c>
      <c r="N215">
        <v>0</v>
      </c>
      <c r="O215" t="s">
        <v>56</v>
      </c>
      <c r="P215" t="s">
        <v>57</v>
      </c>
      <c r="Q215" t="s">
        <v>59</v>
      </c>
      <c r="R215" t="s">
        <v>58</v>
      </c>
      <c r="S215" t="s">
        <v>895</v>
      </c>
      <c r="T215" t="s">
        <v>61</v>
      </c>
      <c r="U215">
        <v>1.4570000000000001</v>
      </c>
      <c r="V215" t="s">
        <v>62</v>
      </c>
      <c r="W215">
        <v>0</v>
      </c>
      <c r="X215">
        <v>30.273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73</v>
      </c>
      <c r="AT215" t="s">
        <v>71</v>
      </c>
      <c r="AU215">
        <v>0</v>
      </c>
      <c r="AV215">
        <v>0</v>
      </c>
    </row>
    <row r="216" spans="1:48" x14ac:dyDescent="0.25">
      <c r="A216" t="s">
        <v>896</v>
      </c>
      <c r="B216" t="s">
        <v>125</v>
      </c>
      <c r="C216" t="s">
        <v>50</v>
      </c>
      <c r="D216">
        <v>440258.19990000001</v>
      </c>
      <c r="E216">
        <v>1827531.6588000001</v>
      </c>
      <c r="F216">
        <v>31.247</v>
      </c>
      <c r="G216" t="s">
        <v>897</v>
      </c>
      <c r="H216" t="s">
        <v>52</v>
      </c>
      <c r="I216">
        <v>31.247</v>
      </c>
      <c r="J216" t="s">
        <v>53</v>
      </c>
      <c r="K216">
        <v>0</v>
      </c>
      <c r="L216" t="s">
        <v>141</v>
      </c>
      <c r="M216" t="s">
        <v>898</v>
      </c>
      <c r="N216">
        <v>0.1084</v>
      </c>
      <c r="O216" t="s">
        <v>56</v>
      </c>
      <c r="P216" t="s">
        <v>57</v>
      </c>
      <c r="Q216" t="s">
        <v>109</v>
      </c>
      <c r="R216" t="s">
        <v>59</v>
      </c>
      <c r="S216" t="s">
        <v>899</v>
      </c>
      <c r="T216" t="s">
        <v>61</v>
      </c>
      <c r="U216">
        <v>2.8435000000000001</v>
      </c>
      <c r="V216" t="s">
        <v>62</v>
      </c>
      <c r="W216">
        <v>0</v>
      </c>
      <c r="X216">
        <v>28.404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111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125</v>
      </c>
      <c r="AT216" t="s">
        <v>71</v>
      </c>
      <c r="AU216">
        <v>0</v>
      </c>
      <c r="AV216">
        <v>0</v>
      </c>
    </row>
    <row r="217" spans="1:48" x14ac:dyDescent="0.25">
      <c r="A217" t="s">
        <v>900</v>
      </c>
      <c r="B217" t="s">
        <v>125</v>
      </c>
      <c r="C217" t="s">
        <v>50</v>
      </c>
      <c r="D217">
        <v>440300.25550000003</v>
      </c>
      <c r="E217">
        <v>1827531.6588000001</v>
      </c>
      <c r="F217">
        <v>31.013999999999999</v>
      </c>
      <c r="G217" t="s">
        <v>901</v>
      </c>
      <c r="H217" t="s">
        <v>52</v>
      </c>
      <c r="I217">
        <v>31.013999999999999</v>
      </c>
      <c r="J217" t="s">
        <v>53</v>
      </c>
      <c r="K217">
        <v>0</v>
      </c>
      <c r="L217" t="s">
        <v>141</v>
      </c>
      <c r="M217" t="s">
        <v>902</v>
      </c>
      <c r="N217">
        <v>0.1084</v>
      </c>
      <c r="O217" t="s">
        <v>56</v>
      </c>
      <c r="P217" t="s">
        <v>57</v>
      </c>
      <c r="Q217" t="s">
        <v>109</v>
      </c>
      <c r="R217" t="s">
        <v>59</v>
      </c>
      <c r="S217" t="s">
        <v>903</v>
      </c>
      <c r="T217" t="s">
        <v>61</v>
      </c>
      <c r="U217">
        <v>2.8212999999999999</v>
      </c>
      <c r="V217" t="s">
        <v>62</v>
      </c>
      <c r="W217">
        <v>0</v>
      </c>
      <c r="X217">
        <v>28.193000000000001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111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125</v>
      </c>
      <c r="AT217" t="s">
        <v>71</v>
      </c>
      <c r="AU217">
        <v>0</v>
      </c>
      <c r="AV217">
        <v>0</v>
      </c>
    </row>
    <row r="218" spans="1:48" x14ac:dyDescent="0.25">
      <c r="A218" t="s">
        <v>904</v>
      </c>
      <c r="B218" t="s">
        <v>73</v>
      </c>
      <c r="C218" t="s">
        <v>50</v>
      </c>
      <c r="D218">
        <v>440323.82490000001</v>
      </c>
      <c r="E218">
        <v>1827424.8485999999</v>
      </c>
      <c r="F218">
        <v>31.475000000000001</v>
      </c>
      <c r="G218" t="s">
        <v>905</v>
      </c>
      <c r="H218" t="s">
        <v>52</v>
      </c>
      <c r="I218">
        <v>31.475000000000001</v>
      </c>
      <c r="J218" t="s">
        <v>53</v>
      </c>
      <c r="K218">
        <v>0</v>
      </c>
      <c r="L218" t="s">
        <v>372</v>
      </c>
      <c r="M218" s="1" t="s">
        <v>436</v>
      </c>
      <c r="N218">
        <v>0</v>
      </c>
      <c r="O218" t="s">
        <v>56</v>
      </c>
      <c r="P218" t="s">
        <v>57</v>
      </c>
      <c r="Q218" t="s">
        <v>59</v>
      </c>
      <c r="R218" t="s">
        <v>58</v>
      </c>
      <c r="S218" t="s">
        <v>906</v>
      </c>
      <c r="T218" t="s">
        <v>61</v>
      </c>
      <c r="U218">
        <v>1.448</v>
      </c>
      <c r="V218" t="s">
        <v>62</v>
      </c>
      <c r="W218">
        <v>0</v>
      </c>
      <c r="X218">
        <v>30.027000000000001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73</v>
      </c>
      <c r="AT218" t="s">
        <v>71</v>
      </c>
      <c r="AU218">
        <v>0</v>
      </c>
      <c r="AV218">
        <v>0</v>
      </c>
    </row>
    <row r="219" spans="1:48" x14ac:dyDescent="0.25">
      <c r="A219" t="s">
        <v>907</v>
      </c>
      <c r="B219" t="s">
        <v>73</v>
      </c>
      <c r="C219" t="s">
        <v>50</v>
      </c>
      <c r="D219">
        <v>440323.82490000001</v>
      </c>
      <c r="E219">
        <v>1827439.4838</v>
      </c>
      <c r="F219">
        <v>31.568000000000001</v>
      </c>
      <c r="G219" t="s">
        <v>908</v>
      </c>
      <c r="H219" t="s">
        <v>52</v>
      </c>
      <c r="I219">
        <v>31.568000000000001</v>
      </c>
      <c r="J219" t="s">
        <v>53</v>
      </c>
      <c r="K219">
        <v>0</v>
      </c>
      <c r="L219" t="s">
        <v>372</v>
      </c>
      <c r="M219" t="s">
        <v>440</v>
      </c>
      <c r="N219">
        <v>0</v>
      </c>
      <c r="O219" t="s">
        <v>56</v>
      </c>
      <c r="P219" t="s">
        <v>57</v>
      </c>
      <c r="Q219" t="s">
        <v>59</v>
      </c>
      <c r="R219" t="s">
        <v>58</v>
      </c>
      <c r="S219" t="s">
        <v>909</v>
      </c>
      <c r="T219" t="s">
        <v>61</v>
      </c>
      <c r="U219">
        <v>1.5548999999999999</v>
      </c>
      <c r="V219" t="s">
        <v>62</v>
      </c>
      <c r="W219">
        <v>0</v>
      </c>
      <c r="X219">
        <v>30.013000000000002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73</v>
      </c>
      <c r="AT219" t="s">
        <v>71</v>
      </c>
      <c r="AU219">
        <v>0</v>
      </c>
      <c r="AV219">
        <v>0</v>
      </c>
    </row>
    <row r="220" spans="1:48" x14ac:dyDescent="0.25">
      <c r="A220" t="s">
        <v>910</v>
      </c>
      <c r="B220" t="s">
        <v>73</v>
      </c>
      <c r="C220" t="s">
        <v>50</v>
      </c>
      <c r="D220">
        <v>440323.82490000001</v>
      </c>
      <c r="E220">
        <v>1827459.4838</v>
      </c>
      <c r="F220">
        <v>31.472000000000001</v>
      </c>
      <c r="G220" t="s">
        <v>911</v>
      </c>
      <c r="H220" t="s">
        <v>52</v>
      </c>
      <c r="I220">
        <v>31.472000000000001</v>
      </c>
      <c r="J220" t="s">
        <v>53</v>
      </c>
      <c r="K220">
        <v>0</v>
      </c>
      <c r="L220" t="s">
        <v>372</v>
      </c>
      <c r="M220" t="s">
        <v>444</v>
      </c>
      <c r="N220">
        <v>0</v>
      </c>
      <c r="O220" t="s">
        <v>56</v>
      </c>
      <c r="P220" t="s">
        <v>57</v>
      </c>
      <c r="Q220" t="s">
        <v>59</v>
      </c>
      <c r="R220" t="s">
        <v>58</v>
      </c>
      <c r="S220" t="s">
        <v>912</v>
      </c>
      <c r="T220" t="s">
        <v>61</v>
      </c>
      <c r="U220">
        <v>1.4906999999999999</v>
      </c>
      <c r="V220" t="s">
        <v>62</v>
      </c>
      <c r="W220">
        <v>0</v>
      </c>
      <c r="X220">
        <v>29.981000000000002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73</v>
      </c>
      <c r="AT220" t="s">
        <v>71</v>
      </c>
      <c r="AU220">
        <v>0</v>
      </c>
      <c r="AV220">
        <v>0</v>
      </c>
    </row>
    <row r="221" spans="1:48" x14ac:dyDescent="0.25">
      <c r="A221" t="s">
        <v>913</v>
      </c>
      <c r="B221" t="s">
        <v>73</v>
      </c>
      <c r="C221" t="s">
        <v>50</v>
      </c>
      <c r="D221">
        <v>440323.82490000001</v>
      </c>
      <c r="E221">
        <v>1827479.4838</v>
      </c>
      <c r="F221">
        <v>31.375</v>
      </c>
      <c r="G221" t="s">
        <v>914</v>
      </c>
      <c r="H221" t="s">
        <v>52</v>
      </c>
      <c r="I221">
        <v>31.375</v>
      </c>
      <c r="J221" t="s">
        <v>53</v>
      </c>
      <c r="K221">
        <v>0</v>
      </c>
      <c r="L221" t="s">
        <v>372</v>
      </c>
      <c r="M221" t="s">
        <v>448</v>
      </c>
      <c r="N221">
        <v>0</v>
      </c>
      <c r="O221" t="s">
        <v>56</v>
      </c>
      <c r="P221" t="s">
        <v>57</v>
      </c>
      <c r="Q221" t="s">
        <v>59</v>
      </c>
      <c r="R221" t="s">
        <v>58</v>
      </c>
      <c r="S221" t="s">
        <v>915</v>
      </c>
      <c r="T221" t="s">
        <v>61</v>
      </c>
      <c r="U221">
        <v>1.4904999999999999</v>
      </c>
      <c r="V221" t="s">
        <v>62</v>
      </c>
      <c r="W221">
        <v>0</v>
      </c>
      <c r="X221">
        <v>29.885000000000002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73</v>
      </c>
      <c r="AT221" t="s">
        <v>71</v>
      </c>
      <c r="AU221">
        <v>0</v>
      </c>
      <c r="AV221">
        <v>0</v>
      </c>
    </row>
    <row r="222" spans="1:48" x14ac:dyDescent="0.25">
      <c r="A222" t="s">
        <v>916</v>
      </c>
      <c r="B222" t="s">
        <v>73</v>
      </c>
      <c r="C222" t="s">
        <v>50</v>
      </c>
      <c r="D222">
        <v>440323.82490000001</v>
      </c>
      <c r="E222">
        <v>1827499.4838</v>
      </c>
      <c r="F222">
        <v>31.279</v>
      </c>
      <c r="G222" t="s">
        <v>917</v>
      </c>
      <c r="H222" t="s">
        <v>52</v>
      </c>
      <c r="I222">
        <v>31.279</v>
      </c>
      <c r="J222" t="s">
        <v>53</v>
      </c>
      <c r="K222">
        <v>0</v>
      </c>
      <c r="L222" t="s">
        <v>372</v>
      </c>
      <c r="M222" t="s">
        <v>452</v>
      </c>
      <c r="N222">
        <v>0</v>
      </c>
      <c r="O222" t="s">
        <v>56</v>
      </c>
      <c r="P222" t="s">
        <v>57</v>
      </c>
      <c r="Q222" t="s">
        <v>59</v>
      </c>
      <c r="R222" t="s">
        <v>58</v>
      </c>
      <c r="S222" t="s">
        <v>918</v>
      </c>
      <c r="T222" t="s">
        <v>61</v>
      </c>
      <c r="U222">
        <v>1.4903</v>
      </c>
      <c r="V222" t="s">
        <v>62</v>
      </c>
      <c r="W222">
        <v>0</v>
      </c>
      <c r="X222">
        <v>29.789000000000001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68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73</v>
      </c>
      <c r="AT222" t="s">
        <v>71</v>
      </c>
      <c r="AU222">
        <v>0</v>
      </c>
      <c r="AV222">
        <v>0</v>
      </c>
    </row>
    <row r="223" spans="1:48" x14ac:dyDescent="0.25">
      <c r="A223" t="s">
        <v>919</v>
      </c>
      <c r="B223" t="s">
        <v>49</v>
      </c>
      <c r="C223" t="s">
        <v>50</v>
      </c>
      <c r="D223">
        <v>440264.74119999999</v>
      </c>
      <c r="E223">
        <v>1827425.0486000001</v>
      </c>
      <c r="F223">
        <v>32.048000000000002</v>
      </c>
      <c r="G223" t="s">
        <v>920</v>
      </c>
      <c r="H223" t="s">
        <v>52</v>
      </c>
      <c r="I223">
        <v>32.048000000000002</v>
      </c>
      <c r="J223" t="s">
        <v>53</v>
      </c>
      <c r="K223">
        <v>0</v>
      </c>
      <c r="L223" t="s">
        <v>80</v>
      </c>
      <c r="M223" t="s">
        <v>921</v>
      </c>
      <c r="N223">
        <v>-0.1168</v>
      </c>
      <c r="O223" t="s">
        <v>56</v>
      </c>
      <c r="P223" t="s">
        <v>57</v>
      </c>
      <c r="Q223" t="s">
        <v>58</v>
      </c>
      <c r="R223" t="s">
        <v>59</v>
      </c>
      <c r="S223" t="s">
        <v>922</v>
      </c>
      <c r="T223" t="s">
        <v>61</v>
      </c>
      <c r="U223">
        <v>1.5987</v>
      </c>
      <c r="V223" t="s">
        <v>62</v>
      </c>
      <c r="W223">
        <v>0</v>
      </c>
      <c r="X223">
        <v>30.449000000000002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49</v>
      </c>
      <c r="AT223" t="s">
        <v>71</v>
      </c>
      <c r="AU223">
        <v>0</v>
      </c>
      <c r="AV223">
        <v>0</v>
      </c>
    </row>
    <row r="224" spans="1:48" x14ac:dyDescent="0.25">
      <c r="A224" t="s">
        <v>923</v>
      </c>
      <c r="B224" t="s">
        <v>49</v>
      </c>
      <c r="C224" t="s">
        <v>50</v>
      </c>
      <c r="D224">
        <v>440284.74119999999</v>
      </c>
      <c r="E224">
        <v>1827425.0486000001</v>
      </c>
      <c r="F224">
        <v>31.879000000000001</v>
      </c>
      <c r="G224" t="s">
        <v>924</v>
      </c>
      <c r="H224" t="s">
        <v>52</v>
      </c>
      <c r="I224">
        <v>31.879000000000001</v>
      </c>
      <c r="J224" t="s">
        <v>53</v>
      </c>
      <c r="K224">
        <v>0</v>
      </c>
      <c r="L224" t="s">
        <v>80</v>
      </c>
      <c r="M224" t="s">
        <v>925</v>
      </c>
      <c r="N224">
        <v>-0.12330000000000001</v>
      </c>
      <c r="O224" t="s">
        <v>56</v>
      </c>
      <c r="P224" t="s">
        <v>57</v>
      </c>
      <c r="Q224" t="s">
        <v>58</v>
      </c>
      <c r="R224" t="s">
        <v>59</v>
      </c>
      <c r="S224" t="s">
        <v>926</v>
      </c>
      <c r="T224" t="s">
        <v>61</v>
      </c>
      <c r="U224">
        <v>1.5167999999999999</v>
      </c>
      <c r="V224" t="s">
        <v>62</v>
      </c>
      <c r="W224">
        <v>0</v>
      </c>
      <c r="X224">
        <v>30.361999999999998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927</v>
      </c>
      <c r="B225" t="s">
        <v>49</v>
      </c>
      <c r="C225" t="s">
        <v>50</v>
      </c>
      <c r="D225">
        <v>440264.74119999999</v>
      </c>
      <c r="E225">
        <v>1827415.6486</v>
      </c>
      <c r="F225">
        <v>32.006</v>
      </c>
      <c r="G225" t="s">
        <v>928</v>
      </c>
      <c r="H225" t="s">
        <v>52</v>
      </c>
      <c r="I225">
        <v>32.006</v>
      </c>
      <c r="J225" t="s">
        <v>53</v>
      </c>
      <c r="K225">
        <v>0</v>
      </c>
      <c r="L225" t="s">
        <v>85</v>
      </c>
      <c r="M225" t="s">
        <v>921</v>
      </c>
      <c r="N225">
        <v>3.8800000000000001E-2</v>
      </c>
      <c r="O225" t="s">
        <v>56</v>
      </c>
      <c r="P225" t="s">
        <v>57</v>
      </c>
      <c r="Q225" t="s">
        <v>58</v>
      </c>
      <c r="R225" t="s">
        <v>59</v>
      </c>
      <c r="S225" t="s">
        <v>929</v>
      </c>
      <c r="T225" t="s">
        <v>61</v>
      </c>
      <c r="U225">
        <v>1.5571999999999999</v>
      </c>
      <c r="V225" t="s">
        <v>62</v>
      </c>
      <c r="W225">
        <v>0</v>
      </c>
      <c r="X225">
        <v>30.449000000000002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930</v>
      </c>
      <c r="B226" t="s">
        <v>49</v>
      </c>
      <c r="C226" t="s">
        <v>50</v>
      </c>
      <c r="D226">
        <v>440284.74119999999</v>
      </c>
      <c r="E226">
        <v>1827415.6486</v>
      </c>
      <c r="F226">
        <v>31.879000000000001</v>
      </c>
      <c r="G226" t="s">
        <v>931</v>
      </c>
      <c r="H226" t="s">
        <v>52</v>
      </c>
      <c r="I226">
        <v>31.879000000000001</v>
      </c>
      <c r="J226" t="s">
        <v>53</v>
      </c>
      <c r="K226">
        <v>0</v>
      </c>
      <c r="L226" t="s">
        <v>85</v>
      </c>
      <c r="M226" t="s">
        <v>925</v>
      </c>
      <c r="N226">
        <v>4.0899999999999999E-2</v>
      </c>
      <c r="O226" t="s">
        <v>56</v>
      </c>
      <c r="P226" t="s">
        <v>57</v>
      </c>
      <c r="Q226" t="s">
        <v>58</v>
      </c>
      <c r="R226" t="s">
        <v>59</v>
      </c>
      <c r="S226" t="s">
        <v>932</v>
      </c>
      <c r="T226" t="s">
        <v>61</v>
      </c>
      <c r="U226">
        <v>1.5187999999999999</v>
      </c>
      <c r="V226" t="s">
        <v>62</v>
      </c>
      <c r="W226">
        <v>0</v>
      </c>
      <c r="X226">
        <v>30.36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933</v>
      </c>
      <c r="B227" t="s">
        <v>73</v>
      </c>
      <c r="C227" t="s">
        <v>50</v>
      </c>
      <c r="D227">
        <v>440314.26260000002</v>
      </c>
      <c r="E227">
        <v>1827415.9428999999</v>
      </c>
      <c r="F227">
        <v>31.684999999999999</v>
      </c>
      <c r="G227" t="s">
        <v>934</v>
      </c>
      <c r="H227" t="s">
        <v>52</v>
      </c>
      <c r="I227">
        <v>31.684999999999999</v>
      </c>
      <c r="J227" t="s">
        <v>53</v>
      </c>
      <c r="K227">
        <v>0</v>
      </c>
      <c r="L227" t="s">
        <v>85</v>
      </c>
      <c r="M227" t="s">
        <v>935</v>
      </c>
      <c r="N227">
        <v>0.33839999999999998</v>
      </c>
      <c r="O227" t="s">
        <v>56</v>
      </c>
      <c r="P227" t="s">
        <v>57</v>
      </c>
      <c r="Q227" t="s">
        <v>59</v>
      </c>
      <c r="R227" t="s">
        <v>58</v>
      </c>
      <c r="S227" t="s">
        <v>936</v>
      </c>
      <c r="T227" t="s">
        <v>61</v>
      </c>
      <c r="U227">
        <v>1.6309</v>
      </c>
      <c r="V227" t="s">
        <v>62</v>
      </c>
      <c r="W227">
        <v>0</v>
      </c>
      <c r="X227">
        <v>30.053999999999998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73</v>
      </c>
      <c r="AT227" t="s">
        <v>71</v>
      </c>
      <c r="AU227">
        <v>0</v>
      </c>
      <c r="AV227">
        <v>0</v>
      </c>
    </row>
    <row r="228" spans="1:48" x14ac:dyDescent="0.25">
      <c r="A228" t="s">
        <v>937</v>
      </c>
      <c r="B228" t="s">
        <v>73</v>
      </c>
      <c r="C228" t="s">
        <v>50</v>
      </c>
      <c r="D228">
        <v>440314.42489999998</v>
      </c>
      <c r="E228">
        <v>1827425.1986</v>
      </c>
      <c r="F228">
        <v>31.469000000000001</v>
      </c>
      <c r="G228" t="s">
        <v>938</v>
      </c>
      <c r="H228" t="s">
        <v>52</v>
      </c>
      <c r="I228">
        <v>31.469000000000001</v>
      </c>
      <c r="J228" t="s">
        <v>53</v>
      </c>
      <c r="K228">
        <v>0</v>
      </c>
      <c r="L228" t="s">
        <v>80</v>
      </c>
      <c r="M228" t="s">
        <v>939</v>
      </c>
      <c r="N228">
        <v>1.7000000000000001E-2</v>
      </c>
      <c r="O228" t="s">
        <v>56</v>
      </c>
      <c r="P228" t="s">
        <v>57</v>
      </c>
      <c r="Q228" t="s">
        <v>59</v>
      </c>
      <c r="R228" t="s">
        <v>58</v>
      </c>
      <c r="S228" t="s">
        <v>940</v>
      </c>
      <c r="T228" t="s">
        <v>61</v>
      </c>
      <c r="U228">
        <v>1.4423999999999999</v>
      </c>
      <c r="V228" t="s">
        <v>62</v>
      </c>
      <c r="W228">
        <v>0</v>
      </c>
      <c r="X228">
        <v>30.027000000000001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67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73</v>
      </c>
      <c r="AT228" t="s">
        <v>71</v>
      </c>
      <c r="AU228">
        <v>0</v>
      </c>
      <c r="AV228">
        <v>0</v>
      </c>
    </row>
    <row r="229" spans="1:48" x14ac:dyDescent="0.25">
      <c r="A229" t="s">
        <v>941</v>
      </c>
      <c r="B229" t="s">
        <v>73</v>
      </c>
      <c r="C229" t="s">
        <v>50</v>
      </c>
      <c r="D229">
        <v>440314.42489999998</v>
      </c>
      <c r="E229">
        <v>1827443.5379999999</v>
      </c>
      <c r="F229">
        <v>31.547999999999998</v>
      </c>
      <c r="G229" t="s">
        <v>942</v>
      </c>
      <c r="H229" t="s">
        <v>52</v>
      </c>
      <c r="I229">
        <v>31.547999999999998</v>
      </c>
      <c r="J229" t="s">
        <v>53</v>
      </c>
      <c r="K229">
        <v>0</v>
      </c>
      <c r="L229" t="s">
        <v>288</v>
      </c>
      <c r="M229" t="s">
        <v>943</v>
      </c>
      <c r="N229">
        <v>-2.5999999999999999E-2</v>
      </c>
      <c r="O229" t="s">
        <v>56</v>
      </c>
      <c r="P229" t="s">
        <v>57</v>
      </c>
      <c r="Q229" t="s">
        <v>59</v>
      </c>
      <c r="R229" t="s">
        <v>58</v>
      </c>
      <c r="S229" t="s">
        <v>944</v>
      </c>
      <c r="T229" t="s">
        <v>61</v>
      </c>
      <c r="U229">
        <v>1.5394000000000001</v>
      </c>
      <c r="V229" t="s">
        <v>62</v>
      </c>
      <c r="W229">
        <v>0</v>
      </c>
      <c r="X229">
        <v>30.009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73</v>
      </c>
      <c r="AT229" t="s">
        <v>71</v>
      </c>
      <c r="AU229">
        <v>0</v>
      </c>
      <c r="AV229">
        <v>0</v>
      </c>
    </row>
    <row r="230" spans="1:48" x14ac:dyDescent="0.25">
      <c r="A230" t="s">
        <v>945</v>
      </c>
      <c r="B230" t="s">
        <v>73</v>
      </c>
      <c r="C230" t="s">
        <v>50</v>
      </c>
      <c r="D230">
        <v>440314.42489999998</v>
      </c>
      <c r="E230">
        <v>1827479.4838</v>
      </c>
      <c r="F230">
        <v>31.375</v>
      </c>
      <c r="G230" t="s">
        <v>946</v>
      </c>
      <c r="H230" t="s">
        <v>52</v>
      </c>
      <c r="I230">
        <v>31.375</v>
      </c>
      <c r="J230" t="s">
        <v>53</v>
      </c>
      <c r="K230">
        <v>0</v>
      </c>
      <c r="L230" t="s">
        <v>288</v>
      </c>
      <c r="M230" t="s">
        <v>448</v>
      </c>
      <c r="N230">
        <v>-2.5999999999999999E-2</v>
      </c>
      <c r="O230" t="s">
        <v>56</v>
      </c>
      <c r="P230" t="s">
        <v>57</v>
      </c>
      <c r="Q230" t="s">
        <v>59</v>
      </c>
      <c r="R230" t="s">
        <v>58</v>
      </c>
      <c r="S230" t="s">
        <v>915</v>
      </c>
      <c r="T230" t="s">
        <v>61</v>
      </c>
      <c r="U230">
        <v>1.4904999999999999</v>
      </c>
      <c r="V230" t="s">
        <v>62</v>
      </c>
      <c r="W230">
        <v>0</v>
      </c>
      <c r="X230">
        <v>29.885000000000002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73</v>
      </c>
      <c r="AT230" t="s">
        <v>71</v>
      </c>
      <c r="AU230">
        <v>0</v>
      </c>
      <c r="AV230">
        <v>0</v>
      </c>
    </row>
    <row r="231" spans="1:48" x14ac:dyDescent="0.25">
      <c r="A231" t="s">
        <v>947</v>
      </c>
      <c r="B231" t="s">
        <v>73</v>
      </c>
      <c r="C231" t="s">
        <v>50</v>
      </c>
      <c r="D231">
        <v>440314.42489999998</v>
      </c>
      <c r="E231">
        <v>1827499.4838</v>
      </c>
      <c r="F231">
        <v>31.279</v>
      </c>
      <c r="G231" t="s">
        <v>948</v>
      </c>
      <c r="H231" t="s">
        <v>52</v>
      </c>
      <c r="I231">
        <v>31.279</v>
      </c>
      <c r="J231" t="s">
        <v>53</v>
      </c>
      <c r="K231">
        <v>0</v>
      </c>
      <c r="L231" t="s">
        <v>288</v>
      </c>
      <c r="M231" t="s">
        <v>452</v>
      </c>
      <c r="N231">
        <v>-2.5999999999999999E-2</v>
      </c>
      <c r="O231" t="s">
        <v>56</v>
      </c>
      <c r="P231" t="s">
        <v>57</v>
      </c>
      <c r="Q231" t="s">
        <v>59</v>
      </c>
      <c r="R231" t="s">
        <v>58</v>
      </c>
      <c r="S231" t="s">
        <v>918</v>
      </c>
      <c r="T231" t="s">
        <v>61</v>
      </c>
      <c r="U231">
        <v>1.4903</v>
      </c>
      <c r="V231" t="s">
        <v>62</v>
      </c>
      <c r="W231">
        <v>0</v>
      </c>
      <c r="X231">
        <v>29.789000000000001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67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73</v>
      </c>
      <c r="AT231" t="s">
        <v>71</v>
      </c>
      <c r="AU231">
        <v>0</v>
      </c>
      <c r="AV231">
        <v>0</v>
      </c>
    </row>
    <row r="232" spans="1:48" x14ac:dyDescent="0.25">
      <c r="A232" t="s">
        <v>949</v>
      </c>
      <c r="B232" t="s">
        <v>73</v>
      </c>
      <c r="C232" t="s">
        <v>50</v>
      </c>
      <c r="D232">
        <v>440314.42489999998</v>
      </c>
      <c r="E232">
        <v>1827518.6073</v>
      </c>
      <c r="F232">
        <v>31.187000000000001</v>
      </c>
      <c r="G232" t="s">
        <v>950</v>
      </c>
      <c r="H232" t="s">
        <v>52</v>
      </c>
      <c r="I232">
        <v>31.187000000000001</v>
      </c>
      <c r="J232" t="s">
        <v>53</v>
      </c>
      <c r="K232">
        <v>0</v>
      </c>
      <c r="L232" t="s">
        <v>288</v>
      </c>
      <c r="M232" t="s">
        <v>951</v>
      </c>
      <c r="N232">
        <v>-2.5999999999999999E-2</v>
      </c>
      <c r="O232" t="s">
        <v>56</v>
      </c>
      <c r="P232" t="s">
        <v>57</v>
      </c>
      <c r="Q232" t="s">
        <v>59</v>
      </c>
      <c r="R232" t="s">
        <v>58</v>
      </c>
      <c r="S232" t="s">
        <v>952</v>
      </c>
      <c r="T232" t="s">
        <v>61</v>
      </c>
      <c r="U232">
        <v>1.4582999999999999</v>
      </c>
      <c r="V232" t="s">
        <v>62</v>
      </c>
      <c r="W232">
        <v>0</v>
      </c>
      <c r="X232">
        <v>29.728999999999999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73</v>
      </c>
      <c r="AT232" t="s">
        <v>71</v>
      </c>
      <c r="AU232">
        <v>0</v>
      </c>
      <c r="AV232">
        <v>0</v>
      </c>
    </row>
    <row r="233" spans="1:48" x14ac:dyDescent="0.25">
      <c r="A233" t="s">
        <v>953</v>
      </c>
      <c r="B233" t="s">
        <v>125</v>
      </c>
      <c r="C233" t="s">
        <v>50</v>
      </c>
      <c r="D233">
        <v>440323.82490000001</v>
      </c>
      <c r="E233">
        <v>1827531.6588000001</v>
      </c>
      <c r="F233">
        <v>30.884</v>
      </c>
      <c r="G233" t="s">
        <v>954</v>
      </c>
      <c r="H233" t="s">
        <v>52</v>
      </c>
      <c r="I233">
        <v>30.884</v>
      </c>
      <c r="J233" t="s">
        <v>53</v>
      </c>
      <c r="K233">
        <v>0</v>
      </c>
      <c r="L233" t="s">
        <v>141</v>
      </c>
      <c r="M233" t="s">
        <v>955</v>
      </c>
      <c r="N233">
        <v>0.1084</v>
      </c>
      <c r="O233" t="s">
        <v>56</v>
      </c>
      <c r="P233" t="s">
        <v>57</v>
      </c>
      <c r="Q233" t="s">
        <v>109</v>
      </c>
      <c r="R233" t="s">
        <v>59</v>
      </c>
      <c r="S233" t="s">
        <v>956</v>
      </c>
      <c r="T233" t="s">
        <v>61</v>
      </c>
      <c r="U233">
        <v>2.7376999999999998</v>
      </c>
      <c r="V233" t="s">
        <v>62</v>
      </c>
      <c r="W233">
        <v>0</v>
      </c>
      <c r="X233">
        <v>28.146000000000001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111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125</v>
      </c>
      <c r="AT233" t="s">
        <v>71</v>
      </c>
      <c r="AU233">
        <v>0</v>
      </c>
      <c r="AV233">
        <v>0</v>
      </c>
    </row>
    <row r="234" spans="1:48" x14ac:dyDescent="0.25">
      <c r="A234" t="s">
        <v>957</v>
      </c>
      <c r="B234" t="s">
        <v>105</v>
      </c>
      <c r="C234" t="s">
        <v>50</v>
      </c>
      <c r="D234">
        <v>440217.54979999998</v>
      </c>
      <c r="E234">
        <v>1828181.8171000001</v>
      </c>
      <c r="F234">
        <v>33.375999999999998</v>
      </c>
      <c r="G234" t="s">
        <v>958</v>
      </c>
      <c r="H234" t="s">
        <v>52</v>
      </c>
      <c r="I234">
        <v>33.375999999999998</v>
      </c>
      <c r="J234" t="s">
        <v>53</v>
      </c>
      <c r="K234">
        <v>0</v>
      </c>
      <c r="L234" t="s">
        <v>151</v>
      </c>
      <c r="M234" t="s">
        <v>959</v>
      </c>
      <c r="N234">
        <v>0.27810000000000001</v>
      </c>
      <c r="O234" t="s">
        <v>56</v>
      </c>
      <c r="P234" t="s">
        <v>57</v>
      </c>
      <c r="Q234" t="s">
        <v>59</v>
      </c>
      <c r="R234" t="s">
        <v>109</v>
      </c>
      <c r="S234" t="s">
        <v>960</v>
      </c>
      <c r="T234" t="s">
        <v>61</v>
      </c>
      <c r="U234">
        <v>1.6521999999999999</v>
      </c>
      <c r="V234" t="s">
        <v>62</v>
      </c>
      <c r="W234">
        <v>0</v>
      </c>
      <c r="X234">
        <v>31.724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111</v>
      </c>
      <c r="AG234" t="s">
        <v>65</v>
      </c>
      <c r="AH234" t="s">
        <v>65</v>
      </c>
      <c r="AI234" t="s">
        <v>67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105</v>
      </c>
      <c r="AT234" t="s">
        <v>71</v>
      </c>
      <c r="AU234">
        <v>0</v>
      </c>
      <c r="AV234">
        <v>0</v>
      </c>
    </row>
    <row r="235" spans="1:48" x14ac:dyDescent="0.25">
      <c r="A235" t="s">
        <v>961</v>
      </c>
      <c r="B235" t="s">
        <v>105</v>
      </c>
      <c r="C235" t="s">
        <v>50</v>
      </c>
      <c r="D235">
        <v>440217.54979999998</v>
      </c>
      <c r="E235">
        <v>1828161.8171000001</v>
      </c>
      <c r="F235">
        <v>33.590000000000003</v>
      </c>
      <c r="G235" t="s">
        <v>962</v>
      </c>
      <c r="H235" t="s">
        <v>52</v>
      </c>
      <c r="I235">
        <v>33.590000000000003</v>
      </c>
      <c r="J235" t="s">
        <v>53</v>
      </c>
      <c r="K235">
        <v>0</v>
      </c>
      <c r="L235" t="s">
        <v>151</v>
      </c>
      <c r="M235" t="s">
        <v>963</v>
      </c>
      <c r="N235">
        <v>0.26729999999999998</v>
      </c>
      <c r="O235" t="s">
        <v>56</v>
      </c>
      <c r="P235" t="s">
        <v>57</v>
      </c>
      <c r="Q235" t="s">
        <v>59</v>
      </c>
      <c r="R235" t="s">
        <v>109</v>
      </c>
      <c r="S235" t="s">
        <v>964</v>
      </c>
      <c r="T235" t="s">
        <v>61</v>
      </c>
      <c r="U235">
        <v>1.8907</v>
      </c>
      <c r="V235" t="s">
        <v>62</v>
      </c>
      <c r="W235">
        <v>0</v>
      </c>
      <c r="X235">
        <v>31.699000000000002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111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105</v>
      </c>
      <c r="AT235" t="s">
        <v>71</v>
      </c>
      <c r="AU235">
        <v>0</v>
      </c>
      <c r="AV235">
        <v>0</v>
      </c>
    </row>
    <row r="236" spans="1:48" x14ac:dyDescent="0.25">
      <c r="A236" t="s">
        <v>965</v>
      </c>
      <c r="B236" t="s">
        <v>105</v>
      </c>
      <c r="C236" t="s">
        <v>50</v>
      </c>
      <c r="D236">
        <v>440217.54979999998</v>
      </c>
      <c r="E236">
        <v>1828141.8171000001</v>
      </c>
      <c r="F236">
        <v>33.774000000000001</v>
      </c>
      <c r="G236" t="s">
        <v>966</v>
      </c>
      <c r="H236" t="s">
        <v>52</v>
      </c>
      <c r="I236">
        <v>33.774000000000001</v>
      </c>
      <c r="J236" t="s">
        <v>53</v>
      </c>
      <c r="K236">
        <v>0</v>
      </c>
      <c r="L236" t="s">
        <v>151</v>
      </c>
      <c r="M236" s="1" t="s">
        <v>967</v>
      </c>
      <c r="N236">
        <v>0.25640000000000002</v>
      </c>
      <c r="O236" t="s">
        <v>56</v>
      </c>
      <c r="P236" t="s">
        <v>57</v>
      </c>
      <c r="Q236" t="s">
        <v>59</v>
      </c>
      <c r="R236" t="s">
        <v>109</v>
      </c>
      <c r="S236" t="s">
        <v>968</v>
      </c>
      <c r="T236" t="s">
        <v>61</v>
      </c>
      <c r="U236">
        <v>2.0948000000000002</v>
      </c>
      <c r="V236" t="s">
        <v>62</v>
      </c>
      <c r="W236">
        <v>0</v>
      </c>
      <c r="X236">
        <v>31.678999999999998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111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105</v>
      </c>
      <c r="AT236" t="s">
        <v>71</v>
      </c>
      <c r="AU236">
        <v>0</v>
      </c>
      <c r="AV236">
        <v>0</v>
      </c>
    </row>
    <row r="237" spans="1:48" x14ac:dyDescent="0.25">
      <c r="A237" t="s">
        <v>969</v>
      </c>
      <c r="B237" t="s">
        <v>105</v>
      </c>
      <c r="C237" t="s">
        <v>50</v>
      </c>
      <c r="D237">
        <v>440217.54979999998</v>
      </c>
      <c r="E237">
        <v>1828121.8171000001</v>
      </c>
      <c r="F237">
        <v>33.774000000000001</v>
      </c>
      <c r="G237" t="s">
        <v>970</v>
      </c>
      <c r="H237" t="s">
        <v>52</v>
      </c>
      <c r="I237">
        <v>33.774000000000001</v>
      </c>
      <c r="J237" t="s">
        <v>53</v>
      </c>
      <c r="K237">
        <v>0</v>
      </c>
      <c r="L237" t="s">
        <v>151</v>
      </c>
      <c r="M237" t="s">
        <v>971</v>
      </c>
      <c r="N237">
        <v>0.2455</v>
      </c>
      <c r="O237" t="s">
        <v>56</v>
      </c>
      <c r="P237" t="s">
        <v>57</v>
      </c>
      <c r="Q237" t="s">
        <v>59</v>
      </c>
      <c r="R237" t="s">
        <v>109</v>
      </c>
      <c r="S237" t="s">
        <v>972</v>
      </c>
      <c r="T237" t="s">
        <v>61</v>
      </c>
      <c r="U237">
        <v>2.1147</v>
      </c>
      <c r="V237" t="s">
        <v>62</v>
      </c>
      <c r="W237">
        <v>0</v>
      </c>
      <c r="X237">
        <v>31.658999999999999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111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105</v>
      </c>
      <c r="AT237" t="s">
        <v>71</v>
      </c>
      <c r="AU237">
        <v>0</v>
      </c>
      <c r="AV237">
        <v>0</v>
      </c>
    </row>
    <row r="238" spans="1:48" x14ac:dyDescent="0.25">
      <c r="A238" t="s">
        <v>973</v>
      </c>
      <c r="B238" t="s">
        <v>105</v>
      </c>
      <c r="C238" t="s">
        <v>50</v>
      </c>
      <c r="D238">
        <v>440217.5748</v>
      </c>
      <c r="E238">
        <v>1828101.8171000001</v>
      </c>
      <c r="F238">
        <v>33.664999999999999</v>
      </c>
      <c r="G238" t="s">
        <v>974</v>
      </c>
      <c r="H238" t="s">
        <v>52</v>
      </c>
      <c r="I238">
        <v>33.664999999999999</v>
      </c>
      <c r="J238" t="s">
        <v>53</v>
      </c>
      <c r="K238">
        <v>0</v>
      </c>
      <c r="L238" t="s">
        <v>151</v>
      </c>
      <c r="M238" t="s">
        <v>975</v>
      </c>
      <c r="N238">
        <v>0.20960000000000001</v>
      </c>
      <c r="O238" t="s">
        <v>56</v>
      </c>
      <c r="P238" t="s">
        <v>57</v>
      </c>
      <c r="Q238" t="s">
        <v>59</v>
      </c>
      <c r="R238" t="s">
        <v>109</v>
      </c>
      <c r="S238" t="s">
        <v>976</v>
      </c>
      <c r="T238" t="s">
        <v>61</v>
      </c>
      <c r="U238">
        <v>2.1760999999999999</v>
      </c>
      <c r="V238" t="s">
        <v>62</v>
      </c>
      <c r="W238">
        <v>0</v>
      </c>
      <c r="X238">
        <v>31.489000000000001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111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105</v>
      </c>
      <c r="AT238" t="s">
        <v>71</v>
      </c>
      <c r="AU238">
        <v>0</v>
      </c>
      <c r="AV238">
        <v>0</v>
      </c>
    </row>
    <row r="239" spans="1:48" x14ac:dyDescent="0.25">
      <c r="A239" t="s">
        <v>977</v>
      </c>
      <c r="B239" t="s">
        <v>105</v>
      </c>
      <c r="C239" t="s">
        <v>50</v>
      </c>
      <c r="D239">
        <v>440217.54979999998</v>
      </c>
      <c r="E239">
        <v>1828081.8171000001</v>
      </c>
      <c r="F239">
        <v>33.581000000000003</v>
      </c>
      <c r="G239" t="s">
        <v>978</v>
      </c>
      <c r="H239" t="s">
        <v>52</v>
      </c>
      <c r="I239">
        <v>33.581000000000003</v>
      </c>
      <c r="J239" t="s">
        <v>53</v>
      </c>
      <c r="K239">
        <v>0</v>
      </c>
      <c r="L239" t="s">
        <v>151</v>
      </c>
      <c r="M239" t="s">
        <v>979</v>
      </c>
      <c r="N239">
        <v>0.2238</v>
      </c>
      <c r="O239" t="s">
        <v>56</v>
      </c>
      <c r="P239" t="s">
        <v>57</v>
      </c>
      <c r="Q239" t="s">
        <v>59</v>
      </c>
      <c r="R239" t="s">
        <v>109</v>
      </c>
      <c r="S239" t="s">
        <v>980</v>
      </c>
      <c r="T239" t="s">
        <v>61</v>
      </c>
      <c r="U239">
        <v>2.1114999999999999</v>
      </c>
      <c r="V239" t="s">
        <v>62</v>
      </c>
      <c r="W239">
        <v>0</v>
      </c>
      <c r="X239">
        <v>31.469000000000001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111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105</v>
      </c>
      <c r="AT239" t="s">
        <v>71</v>
      </c>
      <c r="AU239">
        <v>0</v>
      </c>
      <c r="AV239">
        <v>0</v>
      </c>
    </row>
    <row r="240" spans="1:48" x14ac:dyDescent="0.25">
      <c r="A240" t="s">
        <v>981</v>
      </c>
      <c r="B240" t="s">
        <v>105</v>
      </c>
      <c r="C240" t="s">
        <v>50</v>
      </c>
      <c r="D240">
        <v>440217.59980000003</v>
      </c>
      <c r="E240">
        <v>1828040.0238999999</v>
      </c>
      <c r="F240">
        <v>33.293999999999997</v>
      </c>
      <c r="G240" t="s">
        <v>982</v>
      </c>
      <c r="H240" t="s">
        <v>52</v>
      </c>
      <c r="I240">
        <v>33.293999999999997</v>
      </c>
      <c r="J240" t="s">
        <v>53</v>
      </c>
      <c r="K240">
        <v>0</v>
      </c>
      <c r="L240" t="s">
        <v>151</v>
      </c>
      <c r="M240" t="s">
        <v>983</v>
      </c>
      <c r="N240">
        <v>0.151</v>
      </c>
      <c r="O240" t="s">
        <v>56</v>
      </c>
      <c r="P240" t="s">
        <v>57</v>
      </c>
      <c r="Q240" t="s">
        <v>59</v>
      </c>
      <c r="R240" t="s">
        <v>109</v>
      </c>
      <c r="S240" t="s">
        <v>984</v>
      </c>
      <c r="T240" t="s">
        <v>61</v>
      </c>
      <c r="U240">
        <v>1.8646</v>
      </c>
      <c r="V240" t="s">
        <v>62</v>
      </c>
      <c r="W240">
        <v>0</v>
      </c>
      <c r="X240">
        <v>31.428999999999998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111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105</v>
      </c>
      <c r="AT240" t="s">
        <v>71</v>
      </c>
      <c r="AU240">
        <v>0</v>
      </c>
      <c r="AV240">
        <v>0</v>
      </c>
    </row>
    <row r="241" spans="1:48" x14ac:dyDescent="0.25">
      <c r="A241" t="s">
        <v>985</v>
      </c>
      <c r="B241" t="s">
        <v>105</v>
      </c>
      <c r="C241" t="s">
        <v>50</v>
      </c>
      <c r="D241">
        <v>440217.54979999998</v>
      </c>
      <c r="E241">
        <v>1828021.8171000001</v>
      </c>
      <c r="F241">
        <v>33.290999999999997</v>
      </c>
      <c r="G241" t="s">
        <v>986</v>
      </c>
      <c r="H241" t="s">
        <v>52</v>
      </c>
      <c r="I241">
        <v>33.290999999999997</v>
      </c>
      <c r="J241" t="s">
        <v>53</v>
      </c>
      <c r="K241">
        <v>0</v>
      </c>
      <c r="L241" t="s">
        <v>151</v>
      </c>
      <c r="M241" t="s">
        <v>987</v>
      </c>
      <c r="N241">
        <v>0.19109999999999999</v>
      </c>
      <c r="O241" t="s">
        <v>56</v>
      </c>
      <c r="P241" t="s">
        <v>57</v>
      </c>
      <c r="Q241" t="s">
        <v>59</v>
      </c>
      <c r="R241" t="s">
        <v>109</v>
      </c>
      <c r="S241" t="s">
        <v>988</v>
      </c>
      <c r="T241" t="s">
        <v>61</v>
      </c>
      <c r="U241">
        <v>1.8816999999999999</v>
      </c>
      <c r="V241" t="s">
        <v>62</v>
      </c>
      <c r="W241">
        <v>0</v>
      </c>
      <c r="X241">
        <v>31.408999999999999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111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105</v>
      </c>
      <c r="AT241" t="s">
        <v>71</v>
      </c>
      <c r="AU241">
        <v>0</v>
      </c>
      <c r="AV241">
        <v>0</v>
      </c>
    </row>
    <row r="242" spans="1:48" x14ac:dyDescent="0.25">
      <c r="A242" t="s">
        <v>989</v>
      </c>
      <c r="B242" t="s">
        <v>105</v>
      </c>
      <c r="C242" t="s">
        <v>50</v>
      </c>
      <c r="D242">
        <v>440217.54979999998</v>
      </c>
      <c r="E242">
        <v>1828001.8171000001</v>
      </c>
      <c r="F242">
        <v>33.194000000000003</v>
      </c>
      <c r="G242" t="s">
        <v>990</v>
      </c>
      <c r="H242" t="s">
        <v>52</v>
      </c>
      <c r="I242">
        <v>33.194000000000003</v>
      </c>
      <c r="J242" t="s">
        <v>53</v>
      </c>
      <c r="K242">
        <v>0</v>
      </c>
      <c r="L242" t="s">
        <v>151</v>
      </c>
      <c r="M242" t="s">
        <v>991</v>
      </c>
      <c r="N242">
        <v>0.18029999999999999</v>
      </c>
      <c r="O242" t="s">
        <v>56</v>
      </c>
      <c r="P242" t="s">
        <v>57</v>
      </c>
      <c r="Q242" t="s">
        <v>59</v>
      </c>
      <c r="R242" t="s">
        <v>109</v>
      </c>
      <c r="S242" t="s">
        <v>992</v>
      </c>
      <c r="T242" t="s">
        <v>61</v>
      </c>
      <c r="U242">
        <v>1.8391</v>
      </c>
      <c r="V242" t="s">
        <v>62</v>
      </c>
      <c r="W242">
        <v>0</v>
      </c>
      <c r="X242">
        <v>31.355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111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105</v>
      </c>
      <c r="AT242" t="s">
        <v>71</v>
      </c>
      <c r="AU242">
        <v>0</v>
      </c>
      <c r="AV242">
        <v>0</v>
      </c>
    </row>
    <row r="243" spans="1:48" x14ac:dyDescent="0.25">
      <c r="A243" t="s">
        <v>993</v>
      </c>
      <c r="B243" t="s">
        <v>105</v>
      </c>
      <c r="C243" t="s">
        <v>50</v>
      </c>
      <c r="D243">
        <v>440217.54979999998</v>
      </c>
      <c r="E243">
        <v>1827981.8171000001</v>
      </c>
      <c r="F243">
        <v>33.097999999999999</v>
      </c>
      <c r="G243" t="s">
        <v>994</v>
      </c>
      <c r="H243" t="s">
        <v>52</v>
      </c>
      <c r="I243">
        <v>33.097999999999999</v>
      </c>
      <c r="J243" t="s">
        <v>53</v>
      </c>
      <c r="K243">
        <v>0</v>
      </c>
      <c r="L243" t="s">
        <v>151</v>
      </c>
      <c r="M243" t="s">
        <v>995</v>
      </c>
      <c r="N243">
        <v>0.1694</v>
      </c>
      <c r="O243" t="s">
        <v>56</v>
      </c>
      <c r="P243" t="s">
        <v>57</v>
      </c>
      <c r="Q243" t="s">
        <v>59</v>
      </c>
      <c r="R243" t="s">
        <v>109</v>
      </c>
      <c r="S243" t="s">
        <v>996</v>
      </c>
      <c r="T243" t="s">
        <v>61</v>
      </c>
      <c r="U243">
        <v>1.8395999999999999</v>
      </c>
      <c r="V243" t="s">
        <v>62</v>
      </c>
      <c r="W243">
        <v>0</v>
      </c>
      <c r="X243">
        <v>31.257999999999999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111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105</v>
      </c>
      <c r="AT243" t="s">
        <v>71</v>
      </c>
      <c r="AU243">
        <v>0</v>
      </c>
      <c r="AV243">
        <v>0</v>
      </c>
    </row>
    <row r="244" spans="1:48" x14ac:dyDescent="0.25">
      <c r="A244" t="s">
        <v>997</v>
      </c>
      <c r="B244" t="s">
        <v>105</v>
      </c>
      <c r="C244" t="s">
        <v>50</v>
      </c>
      <c r="D244">
        <v>440217.54979999998</v>
      </c>
      <c r="E244">
        <v>1827961.8171000001</v>
      </c>
      <c r="F244">
        <v>33.000999999999998</v>
      </c>
      <c r="G244" t="s">
        <v>998</v>
      </c>
      <c r="H244" t="s">
        <v>52</v>
      </c>
      <c r="I244">
        <v>33.000999999999998</v>
      </c>
      <c r="J244" t="s">
        <v>53</v>
      </c>
      <c r="K244">
        <v>0</v>
      </c>
      <c r="L244" t="s">
        <v>151</v>
      </c>
      <c r="M244" t="s">
        <v>999</v>
      </c>
      <c r="N244">
        <v>0.1585</v>
      </c>
      <c r="O244" t="s">
        <v>56</v>
      </c>
      <c r="P244" t="s">
        <v>57</v>
      </c>
      <c r="Q244" t="s">
        <v>59</v>
      </c>
      <c r="R244" t="s">
        <v>109</v>
      </c>
      <c r="S244" t="s">
        <v>1000</v>
      </c>
      <c r="T244" t="s">
        <v>61</v>
      </c>
      <c r="U244">
        <v>1.839</v>
      </c>
      <c r="V244" t="s">
        <v>62</v>
      </c>
      <c r="W244">
        <v>0</v>
      </c>
      <c r="X244">
        <v>31.161999999999999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111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105</v>
      </c>
      <c r="AT244" t="s">
        <v>71</v>
      </c>
      <c r="AU244">
        <v>0</v>
      </c>
      <c r="AV244">
        <v>0</v>
      </c>
    </row>
    <row r="245" spans="1:48" x14ac:dyDescent="0.25">
      <c r="A245" t="s">
        <v>1001</v>
      </c>
      <c r="B245" t="s">
        <v>105</v>
      </c>
      <c r="C245" t="s">
        <v>50</v>
      </c>
      <c r="D245">
        <v>440217.54979999998</v>
      </c>
      <c r="E245">
        <v>1827941.8171000001</v>
      </c>
      <c r="F245">
        <v>32.904000000000003</v>
      </c>
      <c r="G245" t="s">
        <v>1002</v>
      </c>
      <c r="H245" t="s">
        <v>52</v>
      </c>
      <c r="I245">
        <v>32.904000000000003</v>
      </c>
      <c r="J245" t="s">
        <v>53</v>
      </c>
      <c r="K245">
        <v>0</v>
      </c>
      <c r="L245" t="s">
        <v>151</v>
      </c>
      <c r="M245" t="s">
        <v>1003</v>
      </c>
      <c r="N245">
        <v>0.14760000000000001</v>
      </c>
      <c r="O245" t="s">
        <v>56</v>
      </c>
      <c r="P245" t="s">
        <v>57</v>
      </c>
      <c r="Q245" t="s">
        <v>59</v>
      </c>
      <c r="R245" t="s">
        <v>109</v>
      </c>
      <c r="S245" t="s">
        <v>1004</v>
      </c>
      <c r="T245" t="s">
        <v>61</v>
      </c>
      <c r="U245">
        <v>1.8393999999999999</v>
      </c>
      <c r="V245" t="s">
        <v>62</v>
      </c>
      <c r="W245">
        <v>0</v>
      </c>
      <c r="X245">
        <v>31.065000000000001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111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105</v>
      </c>
      <c r="AT245" t="s">
        <v>71</v>
      </c>
      <c r="AU245">
        <v>0</v>
      </c>
      <c r="AV245">
        <v>0</v>
      </c>
    </row>
    <row r="246" spans="1:48" x14ac:dyDescent="0.25">
      <c r="A246" t="s">
        <v>1005</v>
      </c>
      <c r="B246" t="s">
        <v>105</v>
      </c>
      <c r="C246" t="s">
        <v>50</v>
      </c>
      <c r="D246">
        <v>440217.54979999998</v>
      </c>
      <c r="E246">
        <v>1827921.8171000001</v>
      </c>
      <c r="F246">
        <v>32.808</v>
      </c>
      <c r="G246" t="s">
        <v>1006</v>
      </c>
      <c r="H246" t="s">
        <v>52</v>
      </c>
      <c r="I246">
        <v>32.808</v>
      </c>
      <c r="J246" t="s">
        <v>53</v>
      </c>
      <c r="K246">
        <v>0</v>
      </c>
      <c r="L246" t="s">
        <v>151</v>
      </c>
      <c r="M246" s="1" t="s">
        <v>1007</v>
      </c>
      <c r="N246">
        <v>0.1368</v>
      </c>
      <c r="O246" t="s">
        <v>56</v>
      </c>
      <c r="P246" t="s">
        <v>57</v>
      </c>
      <c r="Q246" t="s">
        <v>59</v>
      </c>
      <c r="R246" t="s">
        <v>109</v>
      </c>
      <c r="S246" t="s">
        <v>1008</v>
      </c>
      <c r="T246" t="s">
        <v>61</v>
      </c>
      <c r="U246">
        <v>1.8388</v>
      </c>
      <c r="V246" t="s">
        <v>62</v>
      </c>
      <c r="W246">
        <v>0</v>
      </c>
      <c r="X246">
        <v>30.969000000000001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111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105</v>
      </c>
      <c r="AT246" t="s">
        <v>71</v>
      </c>
      <c r="AU246">
        <v>0</v>
      </c>
      <c r="AV246">
        <v>0</v>
      </c>
    </row>
    <row r="247" spans="1:48" x14ac:dyDescent="0.25">
      <c r="A247" t="s">
        <v>1009</v>
      </c>
      <c r="B247" t="s">
        <v>105</v>
      </c>
      <c r="C247" t="s">
        <v>50</v>
      </c>
      <c r="D247">
        <v>440217.54979999998</v>
      </c>
      <c r="E247">
        <v>1827901.8171000001</v>
      </c>
      <c r="F247">
        <v>32.710999999999999</v>
      </c>
      <c r="G247" t="s">
        <v>1010</v>
      </c>
      <c r="H247" t="s">
        <v>52</v>
      </c>
      <c r="I247">
        <v>32.710999999999999</v>
      </c>
      <c r="J247" t="s">
        <v>53</v>
      </c>
      <c r="K247">
        <v>0</v>
      </c>
      <c r="L247" t="s">
        <v>151</v>
      </c>
      <c r="M247" t="s">
        <v>1011</v>
      </c>
      <c r="N247">
        <v>0.12590000000000001</v>
      </c>
      <c r="O247" t="s">
        <v>56</v>
      </c>
      <c r="P247" t="s">
        <v>57</v>
      </c>
      <c r="Q247" t="s">
        <v>59</v>
      </c>
      <c r="R247" t="s">
        <v>109</v>
      </c>
      <c r="S247" t="s">
        <v>1012</v>
      </c>
      <c r="T247" t="s">
        <v>61</v>
      </c>
      <c r="U247">
        <v>1.8391999999999999</v>
      </c>
      <c r="V247" t="s">
        <v>62</v>
      </c>
      <c r="W247">
        <v>0</v>
      </c>
      <c r="X247">
        <v>30.872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111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105</v>
      </c>
      <c r="AT247" t="s">
        <v>71</v>
      </c>
      <c r="AU247">
        <v>0</v>
      </c>
      <c r="AV247">
        <v>0</v>
      </c>
    </row>
    <row r="248" spans="1:48" x14ac:dyDescent="0.25">
      <c r="A248" t="s">
        <v>1013</v>
      </c>
      <c r="B248" t="s">
        <v>105</v>
      </c>
      <c r="C248" t="s">
        <v>50</v>
      </c>
      <c r="D248">
        <v>440217.54979999998</v>
      </c>
      <c r="E248">
        <v>1827881.8171000001</v>
      </c>
      <c r="F248">
        <v>32.615000000000002</v>
      </c>
      <c r="G248" t="s">
        <v>1014</v>
      </c>
      <c r="H248" t="s">
        <v>52</v>
      </c>
      <c r="I248">
        <v>32.615000000000002</v>
      </c>
      <c r="J248" t="s">
        <v>53</v>
      </c>
      <c r="K248">
        <v>0</v>
      </c>
      <c r="L248" t="s">
        <v>151</v>
      </c>
      <c r="M248" t="s">
        <v>1015</v>
      </c>
      <c r="N248">
        <v>0.115</v>
      </c>
      <c r="O248" t="s">
        <v>56</v>
      </c>
      <c r="P248" t="s">
        <v>57</v>
      </c>
      <c r="Q248" t="s">
        <v>59</v>
      </c>
      <c r="R248" t="s">
        <v>109</v>
      </c>
      <c r="S248" t="s">
        <v>1016</v>
      </c>
      <c r="T248" t="s">
        <v>61</v>
      </c>
      <c r="U248">
        <v>1.8515999999999999</v>
      </c>
      <c r="V248" t="s">
        <v>62</v>
      </c>
      <c r="W248">
        <v>0</v>
      </c>
      <c r="X248">
        <v>30.763000000000002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111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105</v>
      </c>
      <c r="AT248" t="s">
        <v>71</v>
      </c>
      <c r="AU248">
        <v>0</v>
      </c>
      <c r="AV248">
        <v>0</v>
      </c>
    </row>
    <row r="249" spans="1:48" x14ac:dyDescent="0.25">
      <c r="A249" t="s">
        <v>1017</v>
      </c>
      <c r="B249" t="s">
        <v>105</v>
      </c>
      <c r="C249" t="s">
        <v>50</v>
      </c>
      <c r="D249">
        <v>440217.54979999998</v>
      </c>
      <c r="E249">
        <v>1827861.9717000001</v>
      </c>
      <c r="F249">
        <v>32.506</v>
      </c>
      <c r="G249" t="s">
        <v>1018</v>
      </c>
      <c r="H249" t="s">
        <v>52</v>
      </c>
      <c r="I249">
        <v>32.506</v>
      </c>
      <c r="J249" t="s">
        <v>53</v>
      </c>
      <c r="K249">
        <v>0</v>
      </c>
      <c r="L249" t="s">
        <v>151</v>
      </c>
      <c r="M249" t="s">
        <v>1019</v>
      </c>
      <c r="N249">
        <v>0.1042</v>
      </c>
      <c r="O249" t="s">
        <v>56</v>
      </c>
      <c r="P249" t="s">
        <v>57</v>
      </c>
      <c r="Q249" t="s">
        <v>59</v>
      </c>
      <c r="R249" t="s">
        <v>109</v>
      </c>
      <c r="S249" t="s">
        <v>1020</v>
      </c>
      <c r="T249" t="s">
        <v>61</v>
      </c>
      <c r="U249">
        <v>2.1272000000000002</v>
      </c>
      <c r="V249" t="s">
        <v>62</v>
      </c>
      <c r="W249">
        <v>0</v>
      </c>
      <c r="X249">
        <v>30.379000000000001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111</v>
      </c>
      <c r="AG249" t="s">
        <v>65</v>
      </c>
      <c r="AH249" t="s">
        <v>65</v>
      </c>
      <c r="AI249" t="s">
        <v>67</v>
      </c>
      <c r="AK249" t="s">
        <v>66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105</v>
      </c>
      <c r="AT249" t="s">
        <v>71</v>
      </c>
      <c r="AU249">
        <v>0</v>
      </c>
      <c r="AV249">
        <v>0</v>
      </c>
    </row>
    <row r="250" spans="1:48" x14ac:dyDescent="0.25">
      <c r="A250" t="s">
        <v>1021</v>
      </c>
      <c r="B250" t="s">
        <v>105</v>
      </c>
      <c r="C250" t="s">
        <v>50</v>
      </c>
      <c r="D250">
        <v>440217.54979999998</v>
      </c>
      <c r="E250">
        <v>1827841.8171000001</v>
      </c>
      <c r="F250">
        <v>32.420999999999999</v>
      </c>
      <c r="G250" t="s">
        <v>1022</v>
      </c>
      <c r="H250" t="s">
        <v>52</v>
      </c>
      <c r="I250">
        <v>32.420999999999999</v>
      </c>
      <c r="J250" t="s">
        <v>53</v>
      </c>
      <c r="K250">
        <v>0</v>
      </c>
      <c r="L250" t="s">
        <v>151</v>
      </c>
      <c r="M250" t="s">
        <v>1023</v>
      </c>
      <c r="N250">
        <v>9.3299999999999994E-2</v>
      </c>
      <c r="O250" t="s">
        <v>56</v>
      </c>
      <c r="P250" t="s">
        <v>57</v>
      </c>
      <c r="Q250" t="s">
        <v>59</v>
      </c>
      <c r="R250" t="s">
        <v>109</v>
      </c>
      <c r="S250" t="s">
        <v>1024</v>
      </c>
      <c r="T250" t="s">
        <v>61</v>
      </c>
      <c r="U250">
        <v>2.1394000000000002</v>
      </c>
      <c r="V250" t="s">
        <v>62</v>
      </c>
      <c r="W250">
        <v>0</v>
      </c>
      <c r="X250">
        <v>30.282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111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105</v>
      </c>
      <c r="AT250" t="s">
        <v>71</v>
      </c>
      <c r="AU250">
        <v>0</v>
      </c>
      <c r="AV250">
        <v>0</v>
      </c>
    </row>
    <row r="251" spans="1:48" x14ac:dyDescent="0.25">
      <c r="A251" t="s">
        <v>1025</v>
      </c>
      <c r="B251" t="s">
        <v>105</v>
      </c>
      <c r="C251" t="s">
        <v>50</v>
      </c>
      <c r="D251">
        <v>440217.54979999998</v>
      </c>
      <c r="E251">
        <v>1827821.8171000001</v>
      </c>
      <c r="F251">
        <v>32.325000000000003</v>
      </c>
      <c r="G251" t="s">
        <v>1026</v>
      </c>
      <c r="H251" t="s">
        <v>52</v>
      </c>
      <c r="I251">
        <v>32.325000000000003</v>
      </c>
      <c r="J251" t="s">
        <v>53</v>
      </c>
      <c r="K251">
        <v>0</v>
      </c>
      <c r="L251" t="s">
        <v>151</v>
      </c>
      <c r="M251" t="s">
        <v>1027</v>
      </c>
      <c r="N251">
        <v>8.2400000000000001E-2</v>
      </c>
      <c r="O251" t="s">
        <v>56</v>
      </c>
      <c r="P251" t="s">
        <v>57</v>
      </c>
      <c r="Q251" t="s">
        <v>59</v>
      </c>
      <c r="R251" t="s">
        <v>109</v>
      </c>
      <c r="S251" t="s">
        <v>1028</v>
      </c>
      <c r="T251" t="s">
        <v>61</v>
      </c>
      <c r="U251">
        <v>2.1387999999999998</v>
      </c>
      <c r="V251" t="s">
        <v>62</v>
      </c>
      <c r="W251">
        <v>0</v>
      </c>
      <c r="X251">
        <v>30.186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111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105</v>
      </c>
      <c r="AT251" t="s">
        <v>71</v>
      </c>
      <c r="AU251">
        <v>0</v>
      </c>
      <c r="AV251">
        <v>0</v>
      </c>
    </row>
    <row r="252" spans="1:48" x14ac:dyDescent="0.25">
      <c r="A252" t="s">
        <v>1029</v>
      </c>
      <c r="B252" t="s">
        <v>125</v>
      </c>
      <c r="C252" t="s">
        <v>50</v>
      </c>
      <c r="D252">
        <v>440347.46</v>
      </c>
      <c r="E252">
        <v>1827531.6588000001</v>
      </c>
      <c r="F252">
        <v>30.753</v>
      </c>
      <c r="G252" t="s">
        <v>1030</v>
      </c>
      <c r="H252" t="s">
        <v>52</v>
      </c>
      <c r="I252">
        <v>30.753</v>
      </c>
      <c r="J252" t="s">
        <v>53</v>
      </c>
      <c r="K252">
        <v>0</v>
      </c>
      <c r="L252" t="s">
        <v>141</v>
      </c>
      <c r="M252" t="s">
        <v>1031</v>
      </c>
      <c r="N252">
        <v>0.1084</v>
      </c>
      <c r="O252" t="s">
        <v>56</v>
      </c>
      <c r="P252" t="s">
        <v>57</v>
      </c>
      <c r="Q252" t="s">
        <v>109</v>
      </c>
      <c r="R252" t="s">
        <v>59</v>
      </c>
      <c r="S252" t="s">
        <v>1032</v>
      </c>
      <c r="T252" t="s">
        <v>61</v>
      </c>
      <c r="U252">
        <v>2.6305999999999998</v>
      </c>
      <c r="V252" t="s">
        <v>1033</v>
      </c>
      <c r="W252">
        <v>0</v>
      </c>
      <c r="X252">
        <v>28.122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111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125</v>
      </c>
      <c r="AT252" t="s">
        <v>71</v>
      </c>
      <c r="AU252">
        <v>0</v>
      </c>
      <c r="AV252">
        <v>0</v>
      </c>
    </row>
    <row r="253" spans="1:48" x14ac:dyDescent="0.25">
      <c r="A253" t="s">
        <v>1034</v>
      </c>
      <c r="B253" t="s">
        <v>105</v>
      </c>
      <c r="C253" t="s">
        <v>50</v>
      </c>
      <c r="D253">
        <v>440217.54979999998</v>
      </c>
      <c r="E253">
        <v>1827801.8171000001</v>
      </c>
      <c r="F253">
        <v>32.228000000000002</v>
      </c>
      <c r="G253" t="s">
        <v>1035</v>
      </c>
      <c r="H253" t="s">
        <v>52</v>
      </c>
      <c r="I253">
        <v>32.228000000000002</v>
      </c>
      <c r="J253" t="s">
        <v>53</v>
      </c>
      <c r="K253">
        <v>0</v>
      </c>
      <c r="L253" t="s">
        <v>151</v>
      </c>
      <c r="M253" t="s">
        <v>1036</v>
      </c>
      <c r="N253">
        <v>7.1499999999999994E-2</v>
      </c>
      <c r="O253" t="s">
        <v>56</v>
      </c>
      <c r="P253" t="s">
        <v>57</v>
      </c>
      <c r="Q253" t="s">
        <v>59</v>
      </c>
      <c r="R253" t="s">
        <v>109</v>
      </c>
      <c r="S253" t="s">
        <v>1037</v>
      </c>
      <c r="T253" t="s">
        <v>61</v>
      </c>
      <c r="U253">
        <v>2.1392000000000002</v>
      </c>
      <c r="V253" t="s">
        <v>62</v>
      </c>
      <c r="W253">
        <v>0</v>
      </c>
      <c r="X253">
        <v>30.088999999999999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111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105</v>
      </c>
      <c r="AT253" t="s">
        <v>71</v>
      </c>
      <c r="AU253">
        <v>0</v>
      </c>
      <c r="AV253">
        <v>0</v>
      </c>
    </row>
    <row r="254" spans="1:48" x14ac:dyDescent="0.25">
      <c r="A254" t="s">
        <v>1038</v>
      </c>
      <c r="B254" t="s">
        <v>105</v>
      </c>
      <c r="C254" t="s">
        <v>50</v>
      </c>
      <c r="D254">
        <v>440217.54979999998</v>
      </c>
      <c r="E254">
        <v>1827781.8171000001</v>
      </c>
      <c r="F254">
        <v>32.131999999999998</v>
      </c>
      <c r="G254" t="s">
        <v>1039</v>
      </c>
      <c r="H254" t="s">
        <v>52</v>
      </c>
      <c r="I254">
        <v>32.131999999999998</v>
      </c>
      <c r="J254" t="s">
        <v>53</v>
      </c>
      <c r="K254">
        <v>0</v>
      </c>
      <c r="L254" t="s">
        <v>151</v>
      </c>
      <c r="M254" t="s">
        <v>1040</v>
      </c>
      <c r="N254">
        <v>6.0699999999999997E-2</v>
      </c>
      <c r="O254" t="s">
        <v>56</v>
      </c>
      <c r="P254" t="s">
        <v>57</v>
      </c>
      <c r="Q254" t="s">
        <v>59</v>
      </c>
      <c r="R254" t="s">
        <v>109</v>
      </c>
      <c r="S254" t="s">
        <v>1041</v>
      </c>
      <c r="T254" t="s">
        <v>61</v>
      </c>
      <c r="U254">
        <v>2.1396000000000002</v>
      </c>
      <c r="V254" t="s">
        <v>62</v>
      </c>
      <c r="W254">
        <v>0</v>
      </c>
      <c r="X254">
        <v>29.992000000000001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111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105</v>
      </c>
      <c r="AT254" t="s">
        <v>71</v>
      </c>
      <c r="AU254">
        <v>0</v>
      </c>
      <c r="AV254">
        <v>0</v>
      </c>
    </row>
    <row r="255" spans="1:48" x14ac:dyDescent="0.25">
      <c r="A255" t="s">
        <v>1042</v>
      </c>
      <c r="B255" t="s">
        <v>105</v>
      </c>
      <c r="C255" t="s">
        <v>50</v>
      </c>
      <c r="D255">
        <v>440217.54979999998</v>
      </c>
      <c r="E255">
        <v>1827761.8171000001</v>
      </c>
      <c r="F255">
        <v>32.034999999999997</v>
      </c>
      <c r="G255" t="s">
        <v>1043</v>
      </c>
      <c r="H255" t="s">
        <v>52</v>
      </c>
      <c r="I255">
        <v>32.034999999999997</v>
      </c>
      <c r="J255" t="s">
        <v>53</v>
      </c>
      <c r="K255">
        <v>0</v>
      </c>
      <c r="L255" t="s">
        <v>151</v>
      </c>
      <c r="M255" t="s">
        <v>1044</v>
      </c>
      <c r="N255">
        <v>4.9799999999999997E-2</v>
      </c>
      <c r="O255" t="s">
        <v>56</v>
      </c>
      <c r="P255" t="s">
        <v>57</v>
      </c>
      <c r="Q255" t="s">
        <v>59</v>
      </c>
      <c r="R255" t="s">
        <v>109</v>
      </c>
      <c r="S255" t="s">
        <v>1045</v>
      </c>
      <c r="T255" t="s">
        <v>61</v>
      </c>
      <c r="U255">
        <v>2.1389999999999998</v>
      </c>
      <c r="V255" t="s">
        <v>62</v>
      </c>
      <c r="W255">
        <v>0</v>
      </c>
      <c r="X255">
        <v>29.896000000000001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111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105</v>
      </c>
      <c r="AT255" t="s">
        <v>71</v>
      </c>
      <c r="AU255">
        <v>0</v>
      </c>
      <c r="AV255">
        <v>0</v>
      </c>
    </row>
    <row r="256" spans="1:48" x14ac:dyDescent="0.25">
      <c r="A256" t="s">
        <v>1046</v>
      </c>
      <c r="B256" t="s">
        <v>105</v>
      </c>
      <c r="C256" t="s">
        <v>50</v>
      </c>
      <c r="D256">
        <v>440217.54979999998</v>
      </c>
      <c r="E256">
        <v>1827741.8171000001</v>
      </c>
      <c r="F256">
        <v>31.937999999999999</v>
      </c>
      <c r="G256" t="s">
        <v>1047</v>
      </c>
      <c r="H256" t="s">
        <v>52</v>
      </c>
      <c r="I256">
        <v>31.937999999999999</v>
      </c>
      <c r="J256" t="s">
        <v>53</v>
      </c>
      <c r="K256">
        <v>0</v>
      </c>
      <c r="L256" t="s">
        <v>151</v>
      </c>
      <c r="M256" t="s">
        <v>1048</v>
      </c>
      <c r="N256">
        <v>3.8899999999999997E-2</v>
      </c>
      <c r="O256" t="s">
        <v>56</v>
      </c>
      <c r="P256" t="s">
        <v>57</v>
      </c>
      <c r="Q256" t="s">
        <v>59</v>
      </c>
      <c r="R256" t="s">
        <v>109</v>
      </c>
      <c r="S256" t="s">
        <v>1049</v>
      </c>
      <c r="T256" t="s">
        <v>61</v>
      </c>
      <c r="U256">
        <v>2.1394000000000002</v>
      </c>
      <c r="V256" t="s">
        <v>62</v>
      </c>
      <c r="W256">
        <v>0</v>
      </c>
      <c r="X256">
        <v>29.798999999999999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111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105</v>
      </c>
      <c r="AT256" t="s">
        <v>71</v>
      </c>
      <c r="AU256">
        <v>0</v>
      </c>
      <c r="AV256">
        <v>0</v>
      </c>
    </row>
    <row r="257" spans="1:48" x14ac:dyDescent="0.25">
      <c r="A257" t="s">
        <v>1050</v>
      </c>
      <c r="B257" t="s">
        <v>105</v>
      </c>
      <c r="C257" t="s">
        <v>50</v>
      </c>
      <c r="D257">
        <v>440217.54979999998</v>
      </c>
      <c r="E257">
        <v>1827721.8171000001</v>
      </c>
      <c r="F257">
        <v>31.841999999999999</v>
      </c>
      <c r="G257" t="s">
        <v>1051</v>
      </c>
      <c r="H257" t="s">
        <v>52</v>
      </c>
      <c r="I257">
        <v>31.841999999999999</v>
      </c>
      <c r="J257" t="s">
        <v>53</v>
      </c>
      <c r="K257">
        <v>0</v>
      </c>
      <c r="L257" t="s">
        <v>151</v>
      </c>
      <c r="M257" s="1" t="s">
        <v>1052</v>
      </c>
      <c r="N257">
        <v>2.8000000000000001E-2</v>
      </c>
      <c r="O257" t="s">
        <v>56</v>
      </c>
      <c r="P257" t="s">
        <v>57</v>
      </c>
      <c r="Q257" t="s">
        <v>59</v>
      </c>
      <c r="R257" t="s">
        <v>109</v>
      </c>
      <c r="S257" t="s">
        <v>1053</v>
      </c>
      <c r="T257" t="s">
        <v>61</v>
      </c>
      <c r="U257">
        <v>2.2658</v>
      </c>
      <c r="V257" t="s">
        <v>62</v>
      </c>
      <c r="W257">
        <v>0</v>
      </c>
      <c r="X257">
        <v>29.576000000000001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111</v>
      </c>
      <c r="AG257" t="s">
        <v>65</v>
      </c>
      <c r="AH257" t="s">
        <v>65</v>
      </c>
      <c r="AI257" t="s">
        <v>67</v>
      </c>
      <c r="AK257" t="s">
        <v>66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105</v>
      </c>
      <c r="AT257" t="s">
        <v>71</v>
      </c>
      <c r="AU257">
        <v>0</v>
      </c>
      <c r="AV257">
        <v>0</v>
      </c>
    </row>
    <row r="258" spans="1:48" x14ac:dyDescent="0.25">
      <c r="A258" t="s">
        <v>1054</v>
      </c>
      <c r="B258" t="s">
        <v>125</v>
      </c>
      <c r="C258" t="s">
        <v>50</v>
      </c>
      <c r="D258">
        <v>440310.4252</v>
      </c>
      <c r="E258">
        <v>1827703.5645000001</v>
      </c>
      <c r="F258">
        <v>30.946999999999999</v>
      </c>
      <c r="G258" t="s">
        <v>1055</v>
      </c>
      <c r="H258" t="s">
        <v>52</v>
      </c>
      <c r="I258">
        <v>30.946999999999999</v>
      </c>
      <c r="J258" t="s">
        <v>53</v>
      </c>
      <c r="K258">
        <v>0</v>
      </c>
      <c r="L258" t="s">
        <v>1056</v>
      </c>
      <c r="M258" t="s">
        <v>1057</v>
      </c>
      <c r="N258">
        <v>-0.15</v>
      </c>
      <c r="O258" t="s">
        <v>56</v>
      </c>
      <c r="P258" t="s">
        <v>57</v>
      </c>
      <c r="Q258" t="s">
        <v>109</v>
      </c>
      <c r="R258" t="s">
        <v>59</v>
      </c>
      <c r="S258" t="s">
        <v>1058</v>
      </c>
      <c r="T258" t="s">
        <v>61</v>
      </c>
      <c r="U258">
        <v>1.4518</v>
      </c>
      <c r="V258" t="s">
        <v>62</v>
      </c>
      <c r="W258">
        <v>0</v>
      </c>
      <c r="X258">
        <v>29.495000000000001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111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125</v>
      </c>
      <c r="AT258" t="s">
        <v>71</v>
      </c>
      <c r="AU258">
        <v>0</v>
      </c>
      <c r="AV258">
        <v>0</v>
      </c>
    </row>
    <row r="259" spans="1:48" x14ac:dyDescent="0.25">
      <c r="A259" t="s">
        <v>1059</v>
      </c>
      <c r="B259" t="s">
        <v>125</v>
      </c>
      <c r="C259" t="s">
        <v>50</v>
      </c>
      <c r="D259">
        <v>440290.4252</v>
      </c>
      <c r="E259">
        <v>1827703.5645000001</v>
      </c>
      <c r="F259">
        <v>31.138999999999999</v>
      </c>
      <c r="G259" t="s">
        <v>1060</v>
      </c>
      <c r="H259" t="s">
        <v>52</v>
      </c>
      <c r="I259">
        <v>31.138999999999999</v>
      </c>
      <c r="J259" t="s">
        <v>53</v>
      </c>
      <c r="K259">
        <v>0</v>
      </c>
      <c r="L259" t="s">
        <v>1056</v>
      </c>
      <c r="M259" t="s">
        <v>1061</v>
      </c>
      <c r="N259">
        <v>-0.15</v>
      </c>
      <c r="O259" t="s">
        <v>56</v>
      </c>
      <c r="P259" t="s">
        <v>57</v>
      </c>
      <c r="Q259" t="s">
        <v>109</v>
      </c>
      <c r="R259" t="s">
        <v>59</v>
      </c>
      <c r="S259" t="s">
        <v>1062</v>
      </c>
      <c r="T259" t="s">
        <v>61</v>
      </c>
      <c r="U259">
        <v>1.6638999999999999</v>
      </c>
      <c r="V259" t="s">
        <v>62</v>
      </c>
      <c r="W259">
        <v>0</v>
      </c>
      <c r="X259">
        <v>29.475000000000001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111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125</v>
      </c>
      <c r="AT259" t="s">
        <v>71</v>
      </c>
      <c r="AU259">
        <v>0</v>
      </c>
      <c r="AV259">
        <v>0</v>
      </c>
    </row>
    <row r="260" spans="1:48" x14ac:dyDescent="0.25">
      <c r="A260" t="s">
        <v>1063</v>
      </c>
      <c r="B260" t="s">
        <v>125</v>
      </c>
      <c r="C260" t="s">
        <v>50</v>
      </c>
      <c r="D260">
        <v>440270.4252</v>
      </c>
      <c r="E260">
        <v>1827703.5645000001</v>
      </c>
      <c r="F260">
        <v>31.306999999999999</v>
      </c>
      <c r="G260" t="s">
        <v>1064</v>
      </c>
      <c r="H260" t="s">
        <v>52</v>
      </c>
      <c r="I260">
        <v>31.306999999999999</v>
      </c>
      <c r="J260" t="s">
        <v>53</v>
      </c>
      <c r="K260">
        <v>0</v>
      </c>
      <c r="L260" t="s">
        <v>1056</v>
      </c>
      <c r="M260" t="s">
        <v>1065</v>
      </c>
      <c r="N260">
        <v>-0.15</v>
      </c>
      <c r="O260" t="s">
        <v>56</v>
      </c>
      <c r="P260" t="s">
        <v>57</v>
      </c>
      <c r="Q260" t="s">
        <v>109</v>
      </c>
      <c r="R260" t="s">
        <v>59</v>
      </c>
      <c r="S260" t="s">
        <v>1066</v>
      </c>
      <c r="T260" t="s">
        <v>61</v>
      </c>
      <c r="U260">
        <v>1.8731</v>
      </c>
      <c r="V260" t="s">
        <v>62</v>
      </c>
      <c r="W260">
        <v>0</v>
      </c>
      <c r="X260">
        <v>29.434000000000001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66</v>
      </c>
      <c r="AG260" t="s">
        <v>65</v>
      </c>
      <c r="AH260" t="s">
        <v>65</v>
      </c>
      <c r="AI260" t="s">
        <v>67</v>
      </c>
      <c r="AK260" t="s">
        <v>111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125</v>
      </c>
      <c r="AT260" t="s">
        <v>71</v>
      </c>
      <c r="AU260">
        <v>0</v>
      </c>
      <c r="AV260">
        <v>0</v>
      </c>
    </row>
    <row r="261" spans="1:48" x14ac:dyDescent="0.25">
      <c r="A261" t="s">
        <v>1067</v>
      </c>
      <c r="B261" t="s">
        <v>73</v>
      </c>
      <c r="C261" t="s">
        <v>50</v>
      </c>
      <c r="D261">
        <v>440258.22489999997</v>
      </c>
      <c r="E261">
        <v>1827795.5748000001</v>
      </c>
      <c r="F261">
        <v>31.975000000000001</v>
      </c>
      <c r="G261" t="s">
        <v>1068</v>
      </c>
      <c r="H261" t="s">
        <v>52</v>
      </c>
      <c r="I261">
        <v>31.975000000000001</v>
      </c>
      <c r="J261" t="s">
        <v>53</v>
      </c>
      <c r="K261">
        <v>0</v>
      </c>
      <c r="L261" t="s">
        <v>275</v>
      </c>
      <c r="M261" s="1" t="s">
        <v>452</v>
      </c>
      <c r="N261">
        <v>0.17150000000000001</v>
      </c>
      <c r="O261" t="s">
        <v>56</v>
      </c>
      <c r="P261" t="s">
        <v>57</v>
      </c>
      <c r="Q261" t="s">
        <v>59</v>
      </c>
      <c r="R261" t="s">
        <v>58</v>
      </c>
      <c r="S261" t="s">
        <v>1069</v>
      </c>
      <c r="T261" t="s">
        <v>61</v>
      </c>
      <c r="U261">
        <v>1.5249999999999999</v>
      </c>
      <c r="V261" t="s">
        <v>62</v>
      </c>
      <c r="W261">
        <v>0</v>
      </c>
      <c r="X261">
        <v>30.45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73</v>
      </c>
      <c r="AT261" t="s">
        <v>71</v>
      </c>
      <c r="AU261">
        <v>0</v>
      </c>
      <c r="AV261">
        <v>0</v>
      </c>
    </row>
    <row r="262" spans="1:48" x14ac:dyDescent="0.25">
      <c r="A262" t="s">
        <v>1070</v>
      </c>
      <c r="B262" t="s">
        <v>73</v>
      </c>
      <c r="C262" t="s">
        <v>50</v>
      </c>
      <c r="D262">
        <v>440258.22489999997</v>
      </c>
      <c r="E262">
        <v>1827775.5748000001</v>
      </c>
      <c r="F262">
        <v>31.844999999999999</v>
      </c>
      <c r="G262" t="s">
        <v>1071</v>
      </c>
      <c r="H262" t="s">
        <v>52</v>
      </c>
      <c r="I262">
        <v>31.844999999999999</v>
      </c>
      <c r="J262" t="s">
        <v>53</v>
      </c>
      <c r="K262">
        <v>0</v>
      </c>
      <c r="L262" t="s">
        <v>275</v>
      </c>
      <c r="M262" t="s">
        <v>448</v>
      </c>
      <c r="N262">
        <v>0.17150000000000001</v>
      </c>
      <c r="O262" t="s">
        <v>56</v>
      </c>
      <c r="P262" t="s">
        <v>57</v>
      </c>
      <c r="Q262" t="s">
        <v>59</v>
      </c>
      <c r="R262" t="s">
        <v>58</v>
      </c>
      <c r="S262" t="s">
        <v>1072</v>
      </c>
      <c r="T262" t="s">
        <v>61</v>
      </c>
      <c r="U262">
        <v>1.5246</v>
      </c>
      <c r="V262" t="s">
        <v>62</v>
      </c>
      <c r="W262">
        <v>0</v>
      </c>
      <c r="X262">
        <v>30.32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73</v>
      </c>
      <c r="AT262" t="s">
        <v>71</v>
      </c>
      <c r="AU262">
        <v>0</v>
      </c>
      <c r="AV262">
        <v>0</v>
      </c>
    </row>
    <row r="263" spans="1:48" x14ac:dyDescent="0.25">
      <c r="A263" t="s">
        <v>1073</v>
      </c>
      <c r="B263" t="s">
        <v>73</v>
      </c>
      <c r="C263" t="s">
        <v>50</v>
      </c>
      <c r="D263">
        <v>440258.22489999997</v>
      </c>
      <c r="E263">
        <v>1827736.4121000001</v>
      </c>
      <c r="F263">
        <v>31.591999999999999</v>
      </c>
      <c r="G263" t="s">
        <v>1074</v>
      </c>
      <c r="H263" t="s">
        <v>52</v>
      </c>
      <c r="I263">
        <v>31.591999999999999</v>
      </c>
      <c r="J263" t="s">
        <v>53</v>
      </c>
      <c r="K263">
        <v>0</v>
      </c>
      <c r="L263" t="s">
        <v>275</v>
      </c>
      <c r="M263" t="s">
        <v>1075</v>
      </c>
      <c r="N263">
        <v>0.17150000000000001</v>
      </c>
      <c r="O263" t="s">
        <v>56</v>
      </c>
      <c r="P263" t="s">
        <v>57</v>
      </c>
      <c r="Q263" t="s">
        <v>59</v>
      </c>
      <c r="R263" t="s">
        <v>58</v>
      </c>
      <c r="S263" t="s">
        <v>1076</v>
      </c>
      <c r="T263" t="s">
        <v>61</v>
      </c>
      <c r="U263">
        <v>1.4925999999999999</v>
      </c>
      <c r="V263" t="s">
        <v>62</v>
      </c>
      <c r="W263">
        <v>0</v>
      </c>
      <c r="X263">
        <v>30.099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73</v>
      </c>
      <c r="AT263" t="s">
        <v>71</v>
      </c>
      <c r="AU263">
        <v>0</v>
      </c>
      <c r="AV263">
        <v>0</v>
      </c>
    </row>
    <row r="264" spans="1:48" x14ac:dyDescent="0.25">
      <c r="A264" t="s">
        <v>1077</v>
      </c>
      <c r="B264" t="s">
        <v>73</v>
      </c>
      <c r="C264" t="s">
        <v>50</v>
      </c>
      <c r="D264">
        <v>440258.22489999997</v>
      </c>
      <c r="E264">
        <v>1827717.7609000001</v>
      </c>
      <c r="F264">
        <v>31.497</v>
      </c>
      <c r="G264" t="s">
        <v>1078</v>
      </c>
      <c r="H264" t="s">
        <v>52</v>
      </c>
      <c r="I264">
        <v>31.497</v>
      </c>
      <c r="J264" t="s">
        <v>53</v>
      </c>
      <c r="K264">
        <v>0</v>
      </c>
      <c r="L264" t="s">
        <v>275</v>
      </c>
      <c r="M264" t="s">
        <v>1079</v>
      </c>
      <c r="N264">
        <v>0.17150000000000001</v>
      </c>
      <c r="O264" t="s">
        <v>56</v>
      </c>
      <c r="P264" t="s">
        <v>57</v>
      </c>
      <c r="Q264" t="s">
        <v>59</v>
      </c>
      <c r="R264" t="s">
        <v>58</v>
      </c>
      <c r="S264" t="s">
        <v>1080</v>
      </c>
      <c r="T264" t="s">
        <v>61</v>
      </c>
      <c r="U264">
        <v>1.673</v>
      </c>
      <c r="V264" t="s">
        <v>62</v>
      </c>
      <c r="W264">
        <v>0</v>
      </c>
      <c r="X264">
        <v>29.824000000000002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67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73</v>
      </c>
      <c r="AT264" t="s">
        <v>71</v>
      </c>
      <c r="AU264">
        <v>0</v>
      </c>
      <c r="AV264">
        <v>0</v>
      </c>
    </row>
    <row r="265" spans="1:48" x14ac:dyDescent="0.25">
      <c r="A265" t="s">
        <v>1081</v>
      </c>
      <c r="B265" t="s">
        <v>125</v>
      </c>
      <c r="C265" t="s">
        <v>50</v>
      </c>
      <c r="D265">
        <v>440258.1079</v>
      </c>
      <c r="E265">
        <v>1827703.5645000001</v>
      </c>
      <c r="F265">
        <v>31.222000000000001</v>
      </c>
      <c r="G265" t="s">
        <v>1082</v>
      </c>
      <c r="H265" t="s">
        <v>52</v>
      </c>
      <c r="I265">
        <v>31.222000000000001</v>
      </c>
      <c r="J265" t="s">
        <v>53</v>
      </c>
      <c r="K265">
        <v>0</v>
      </c>
      <c r="L265" t="s">
        <v>1056</v>
      </c>
      <c r="M265" t="s">
        <v>1083</v>
      </c>
      <c r="N265">
        <v>-0.15</v>
      </c>
      <c r="O265" t="s">
        <v>56</v>
      </c>
      <c r="P265" t="s">
        <v>57</v>
      </c>
      <c r="Q265" t="s">
        <v>109</v>
      </c>
      <c r="R265" t="s">
        <v>59</v>
      </c>
      <c r="S265" t="s">
        <v>1084</v>
      </c>
      <c r="T265" t="s">
        <v>61</v>
      </c>
      <c r="U265">
        <v>1.8038000000000001</v>
      </c>
      <c r="V265" t="s">
        <v>62</v>
      </c>
      <c r="W265">
        <v>0</v>
      </c>
      <c r="X265">
        <v>29.417999999999999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111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125</v>
      </c>
      <c r="AT265" t="s">
        <v>71</v>
      </c>
      <c r="AU265">
        <v>0</v>
      </c>
      <c r="AV265">
        <v>0</v>
      </c>
    </row>
    <row r="266" spans="1:48" x14ac:dyDescent="0.25">
      <c r="A266" t="s">
        <v>1085</v>
      </c>
      <c r="B266" t="s">
        <v>73</v>
      </c>
      <c r="C266" t="s">
        <v>50</v>
      </c>
      <c r="D266">
        <v>440248.82490000001</v>
      </c>
      <c r="E266">
        <v>1827795.5748000001</v>
      </c>
      <c r="F266">
        <v>31.975000000000001</v>
      </c>
      <c r="G266" t="s">
        <v>1086</v>
      </c>
      <c r="H266" t="s">
        <v>52</v>
      </c>
      <c r="I266">
        <v>31.975000000000001</v>
      </c>
      <c r="J266" t="s">
        <v>53</v>
      </c>
      <c r="K266">
        <v>0</v>
      </c>
      <c r="L266" t="s">
        <v>1087</v>
      </c>
      <c r="M266" t="s">
        <v>452</v>
      </c>
      <c r="N266">
        <v>0</v>
      </c>
      <c r="O266" t="s">
        <v>56</v>
      </c>
      <c r="P266" t="s">
        <v>57</v>
      </c>
      <c r="Q266" t="s">
        <v>59</v>
      </c>
      <c r="R266" t="s">
        <v>58</v>
      </c>
      <c r="S266" t="s">
        <v>1069</v>
      </c>
      <c r="T266" t="s">
        <v>61</v>
      </c>
      <c r="U266">
        <v>1.5249999999999999</v>
      </c>
      <c r="V266" t="s">
        <v>62</v>
      </c>
      <c r="W266">
        <v>0</v>
      </c>
      <c r="X266">
        <v>30.45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73</v>
      </c>
      <c r="AT266" t="s">
        <v>71</v>
      </c>
      <c r="AU266">
        <v>0</v>
      </c>
      <c r="AV266">
        <v>0</v>
      </c>
    </row>
    <row r="267" spans="1:48" x14ac:dyDescent="0.25">
      <c r="A267" t="s">
        <v>1088</v>
      </c>
      <c r="B267" t="s">
        <v>73</v>
      </c>
      <c r="C267" t="s">
        <v>50</v>
      </c>
      <c r="D267">
        <v>440248.82490000001</v>
      </c>
      <c r="E267">
        <v>1827775.5748000001</v>
      </c>
      <c r="F267">
        <v>31.844999999999999</v>
      </c>
      <c r="G267" t="s">
        <v>1089</v>
      </c>
      <c r="H267" t="s">
        <v>52</v>
      </c>
      <c r="I267">
        <v>31.844999999999999</v>
      </c>
      <c r="J267" t="s">
        <v>53</v>
      </c>
      <c r="K267">
        <v>0</v>
      </c>
      <c r="L267" t="s">
        <v>1087</v>
      </c>
      <c r="M267" t="s">
        <v>448</v>
      </c>
      <c r="N267">
        <v>0</v>
      </c>
      <c r="O267" t="s">
        <v>56</v>
      </c>
      <c r="P267" t="s">
        <v>57</v>
      </c>
      <c r="Q267" t="s">
        <v>59</v>
      </c>
      <c r="R267" t="s">
        <v>58</v>
      </c>
      <c r="S267" t="s">
        <v>1072</v>
      </c>
      <c r="T267" t="s">
        <v>61</v>
      </c>
      <c r="U267">
        <v>1.5246</v>
      </c>
      <c r="V267" t="s">
        <v>62</v>
      </c>
      <c r="W267">
        <v>0</v>
      </c>
      <c r="X267">
        <v>30.32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73</v>
      </c>
      <c r="AT267" t="s">
        <v>71</v>
      </c>
      <c r="AU267">
        <v>0</v>
      </c>
      <c r="AV267">
        <v>0</v>
      </c>
    </row>
    <row r="268" spans="1:48" x14ac:dyDescent="0.25">
      <c r="A268" t="s">
        <v>1090</v>
      </c>
      <c r="B268" t="s">
        <v>73</v>
      </c>
      <c r="C268" t="s">
        <v>50</v>
      </c>
      <c r="D268">
        <v>440248.82490000001</v>
      </c>
      <c r="E268">
        <v>1827755.5748000001</v>
      </c>
      <c r="F268">
        <v>31.713999999999999</v>
      </c>
      <c r="G268" t="s">
        <v>1091</v>
      </c>
      <c r="H268" t="s">
        <v>52</v>
      </c>
      <c r="I268">
        <v>31.713999999999999</v>
      </c>
      <c r="J268" t="s">
        <v>53</v>
      </c>
      <c r="K268">
        <v>0</v>
      </c>
      <c r="L268" t="s">
        <v>1087</v>
      </c>
      <c r="M268" t="s">
        <v>444</v>
      </c>
      <c r="N268">
        <v>0</v>
      </c>
      <c r="O268" t="s">
        <v>56</v>
      </c>
      <c r="P268" t="s">
        <v>57</v>
      </c>
      <c r="Q268" t="s">
        <v>59</v>
      </c>
      <c r="R268" t="s">
        <v>58</v>
      </c>
      <c r="S268" t="s">
        <v>1092</v>
      </c>
      <c r="T268" t="s">
        <v>61</v>
      </c>
      <c r="U268">
        <v>1.5210999999999999</v>
      </c>
      <c r="V268" t="s">
        <v>62</v>
      </c>
      <c r="W268">
        <v>0</v>
      </c>
      <c r="X268">
        <v>30.193000000000001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73</v>
      </c>
      <c r="AT268" t="s">
        <v>71</v>
      </c>
      <c r="AU268">
        <v>0</v>
      </c>
      <c r="AV268">
        <v>0</v>
      </c>
    </row>
    <row r="269" spans="1:48" x14ac:dyDescent="0.25">
      <c r="A269" t="s">
        <v>1093</v>
      </c>
      <c r="B269" t="s">
        <v>73</v>
      </c>
      <c r="C269" t="s">
        <v>50</v>
      </c>
      <c r="D269">
        <v>440248.82490000001</v>
      </c>
      <c r="E269">
        <v>1827735.5748000001</v>
      </c>
      <c r="F269">
        <v>31.587</v>
      </c>
      <c r="G269" t="s">
        <v>1094</v>
      </c>
      <c r="H269" t="s">
        <v>52</v>
      </c>
      <c r="I269">
        <v>31.587</v>
      </c>
      <c r="J269" t="s">
        <v>53</v>
      </c>
      <c r="K269">
        <v>0</v>
      </c>
      <c r="L269" t="s">
        <v>1087</v>
      </c>
      <c r="M269" t="s">
        <v>440</v>
      </c>
      <c r="N269">
        <v>0</v>
      </c>
      <c r="O269" t="s">
        <v>56</v>
      </c>
      <c r="P269" t="s">
        <v>57</v>
      </c>
      <c r="Q269" t="s">
        <v>59</v>
      </c>
      <c r="R269" t="s">
        <v>58</v>
      </c>
      <c r="S269" t="s">
        <v>1095</v>
      </c>
      <c r="T269" t="s">
        <v>61</v>
      </c>
      <c r="U269">
        <v>1.4927999999999999</v>
      </c>
      <c r="V269" t="s">
        <v>62</v>
      </c>
      <c r="W269">
        <v>0</v>
      </c>
      <c r="X269">
        <v>30.094000000000001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73</v>
      </c>
      <c r="AT269" t="s">
        <v>71</v>
      </c>
      <c r="AU269">
        <v>0</v>
      </c>
      <c r="AV269">
        <v>0</v>
      </c>
    </row>
    <row r="270" spans="1:48" x14ac:dyDescent="0.25">
      <c r="A270" t="s">
        <v>1096</v>
      </c>
      <c r="B270" t="s">
        <v>73</v>
      </c>
      <c r="C270" t="s">
        <v>50</v>
      </c>
      <c r="D270">
        <v>440248.82490000001</v>
      </c>
      <c r="E270">
        <v>1827715.5748000001</v>
      </c>
      <c r="F270">
        <v>31.488</v>
      </c>
      <c r="G270" t="s">
        <v>1097</v>
      </c>
      <c r="H270" t="s">
        <v>52</v>
      </c>
      <c r="I270">
        <v>31.488</v>
      </c>
      <c r="J270" t="s">
        <v>53</v>
      </c>
      <c r="K270">
        <v>0</v>
      </c>
      <c r="L270" t="s">
        <v>1087</v>
      </c>
      <c r="M270" t="s">
        <v>597</v>
      </c>
      <c r="N270">
        <v>0</v>
      </c>
      <c r="O270" t="s">
        <v>56</v>
      </c>
      <c r="P270" t="s">
        <v>57</v>
      </c>
      <c r="Q270" t="s">
        <v>59</v>
      </c>
      <c r="R270" t="s">
        <v>58</v>
      </c>
      <c r="S270" t="s">
        <v>1098</v>
      </c>
      <c r="T270" t="s">
        <v>61</v>
      </c>
      <c r="U270">
        <v>1.5638000000000001</v>
      </c>
      <c r="V270" t="s">
        <v>62</v>
      </c>
      <c r="W270">
        <v>0</v>
      </c>
      <c r="X270">
        <v>29.923999999999999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68</v>
      </c>
      <c r="AG270" t="s">
        <v>65</v>
      </c>
      <c r="AH270" t="s">
        <v>65</v>
      </c>
      <c r="AI270" t="s">
        <v>67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73</v>
      </c>
      <c r="AT270" t="s">
        <v>71</v>
      </c>
      <c r="AU270">
        <v>0</v>
      </c>
      <c r="AV270">
        <v>0</v>
      </c>
    </row>
    <row r="271" spans="1:48" x14ac:dyDescent="0.25">
      <c r="A271" t="s">
        <v>1099</v>
      </c>
      <c r="B271" t="s">
        <v>125</v>
      </c>
      <c r="C271" t="s">
        <v>50</v>
      </c>
      <c r="D271">
        <v>440248.67489999998</v>
      </c>
      <c r="E271">
        <v>1827703.5645000001</v>
      </c>
      <c r="F271">
        <v>31.332000000000001</v>
      </c>
      <c r="G271" t="s">
        <v>1100</v>
      </c>
      <c r="H271" t="s">
        <v>52</v>
      </c>
      <c r="I271">
        <v>31.332000000000001</v>
      </c>
      <c r="J271" t="s">
        <v>53</v>
      </c>
      <c r="K271">
        <v>0</v>
      </c>
      <c r="L271" t="s">
        <v>1056</v>
      </c>
      <c r="M271" t="s">
        <v>1101</v>
      </c>
      <c r="N271">
        <v>-0.15</v>
      </c>
      <c r="O271" t="s">
        <v>56</v>
      </c>
      <c r="P271" t="s">
        <v>57</v>
      </c>
      <c r="Q271" t="s">
        <v>109</v>
      </c>
      <c r="R271" t="s">
        <v>59</v>
      </c>
      <c r="S271" t="s">
        <v>1102</v>
      </c>
      <c r="T271" t="s">
        <v>61</v>
      </c>
      <c r="U271">
        <v>2.0731000000000002</v>
      </c>
      <c r="V271" t="s">
        <v>62</v>
      </c>
      <c r="W271">
        <v>0</v>
      </c>
      <c r="X271">
        <v>29.259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111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125</v>
      </c>
      <c r="AT271" t="s">
        <v>71</v>
      </c>
      <c r="AU271">
        <v>0</v>
      </c>
      <c r="AV271">
        <v>0</v>
      </c>
    </row>
    <row r="272" spans="1:48" x14ac:dyDescent="0.25">
      <c r="A272" t="s">
        <v>1103</v>
      </c>
      <c r="B272" t="s">
        <v>125</v>
      </c>
      <c r="C272" t="s">
        <v>50</v>
      </c>
      <c r="D272">
        <v>440230.4252</v>
      </c>
      <c r="E272">
        <v>1827703.5645000001</v>
      </c>
      <c r="F272">
        <v>31.643999999999998</v>
      </c>
      <c r="G272" t="s">
        <v>1104</v>
      </c>
      <c r="H272" t="s">
        <v>52</v>
      </c>
      <c r="I272">
        <v>31.643999999999998</v>
      </c>
      <c r="J272" t="s">
        <v>53</v>
      </c>
      <c r="K272">
        <v>0</v>
      </c>
      <c r="L272" t="s">
        <v>1056</v>
      </c>
      <c r="M272" t="s">
        <v>853</v>
      </c>
      <c r="N272">
        <v>-0.15</v>
      </c>
      <c r="O272" t="s">
        <v>56</v>
      </c>
      <c r="P272" t="s">
        <v>57</v>
      </c>
      <c r="Q272" t="s">
        <v>109</v>
      </c>
      <c r="R272" t="s">
        <v>59</v>
      </c>
      <c r="S272" t="s">
        <v>1105</v>
      </c>
      <c r="T272" t="s">
        <v>61</v>
      </c>
      <c r="U272">
        <v>2.4036</v>
      </c>
      <c r="V272" t="s">
        <v>62</v>
      </c>
      <c r="W272">
        <v>0</v>
      </c>
      <c r="X272">
        <v>29.24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67</v>
      </c>
      <c r="AK272" t="s">
        <v>111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125</v>
      </c>
      <c r="AT272" t="s">
        <v>71</v>
      </c>
      <c r="AU272">
        <v>0</v>
      </c>
      <c r="AV272">
        <v>0</v>
      </c>
    </row>
    <row r="273" spans="1:48" x14ac:dyDescent="0.25">
      <c r="A273" t="s">
        <v>1106</v>
      </c>
      <c r="B273" t="s">
        <v>105</v>
      </c>
      <c r="C273" t="s">
        <v>50</v>
      </c>
      <c r="D273">
        <v>440217.54979999998</v>
      </c>
      <c r="E273">
        <v>1827703.6144999999</v>
      </c>
      <c r="F273">
        <v>31.617000000000001</v>
      </c>
      <c r="G273" t="s">
        <v>1107</v>
      </c>
      <c r="H273" t="s">
        <v>52</v>
      </c>
      <c r="I273">
        <v>31.617000000000001</v>
      </c>
      <c r="J273" t="s">
        <v>53</v>
      </c>
      <c r="K273">
        <v>0</v>
      </c>
      <c r="L273" t="s">
        <v>1056</v>
      </c>
      <c r="M273" t="s">
        <v>1108</v>
      </c>
      <c r="N273">
        <v>-0.1</v>
      </c>
      <c r="O273" t="s">
        <v>56</v>
      </c>
      <c r="P273" t="s">
        <v>57</v>
      </c>
      <c r="Q273" t="s">
        <v>59</v>
      </c>
      <c r="R273" t="s">
        <v>109</v>
      </c>
      <c r="S273" t="s">
        <v>1109</v>
      </c>
      <c r="T273" t="s">
        <v>61</v>
      </c>
      <c r="U273">
        <v>3.3702000000000001</v>
      </c>
      <c r="V273" t="s">
        <v>62</v>
      </c>
      <c r="W273">
        <v>0</v>
      </c>
      <c r="X273">
        <v>28.247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111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105</v>
      </c>
      <c r="AT273" t="s">
        <v>71</v>
      </c>
      <c r="AU273">
        <v>0</v>
      </c>
      <c r="AV273">
        <v>0</v>
      </c>
    </row>
    <row r="274" spans="1:48" x14ac:dyDescent="0.25">
      <c r="A274" t="s">
        <v>1110</v>
      </c>
      <c r="B274" t="s">
        <v>125</v>
      </c>
      <c r="C274" t="s">
        <v>50</v>
      </c>
      <c r="D274">
        <v>440310.4252</v>
      </c>
      <c r="E274">
        <v>1827692.9145</v>
      </c>
      <c r="F274">
        <v>30.946999999999999</v>
      </c>
      <c r="G274" t="s">
        <v>1111</v>
      </c>
      <c r="H274" t="s">
        <v>52</v>
      </c>
      <c r="I274">
        <v>30.946999999999999</v>
      </c>
      <c r="J274" t="s">
        <v>53</v>
      </c>
      <c r="K274">
        <v>0</v>
      </c>
      <c r="L274" t="s">
        <v>1112</v>
      </c>
      <c r="M274" t="s">
        <v>1113</v>
      </c>
      <c r="N274">
        <v>7.3099999999999998E-2</v>
      </c>
      <c r="O274" t="s">
        <v>56</v>
      </c>
      <c r="P274" t="s">
        <v>57</v>
      </c>
      <c r="Q274" t="s">
        <v>109</v>
      </c>
      <c r="R274" t="s">
        <v>59</v>
      </c>
      <c r="S274" t="s">
        <v>1114</v>
      </c>
      <c r="T274" t="s">
        <v>61</v>
      </c>
      <c r="U274">
        <v>1.4518</v>
      </c>
      <c r="V274" t="s">
        <v>62</v>
      </c>
      <c r="W274">
        <v>0</v>
      </c>
      <c r="X274">
        <v>29.495000000000001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67</v>
      </c>
      <c r="AK274" t="s">
        <v>111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125</v>
      </c>
      <c r="AT274" t="s">
        <v>71</v>
      </c>
      <c r="AU274">
        <v>0</v>
      </c>
      <c r="AV274">
        <v>0</v>
      </c>
    </row>
    <row r="275" spans="1:48" x14ac:dyDescent="0.25">
      <c r="A275" t="s">
        <v>1115</v>
      </c>
      <c r="B275" t="s">
        <v>125</v>
      </c>
      <c r="C275" t="s">
        <v>50</v>
      </c>
      <c r="D275">
        <v>440290.4252</v>
      </c>
      <c r="E275">
        <v>1827692.9145</v>
      </c>
      <c r="F275">
        <v>31.138999999999999</v>
      </c>
      <c r="G275" t="s">
        <v>1116</v>
      </c>
      <c r="H275" t="s">
        <v>52</v>
      </c>
      <c r="I275">
        <v>31.138999999999999</v>
      </c>
      <c r="J275" t="s">
        <v>53</v>
      </c>
      <c r="K275">
        <v>0</v>
      </c>
      <c r="L275" t="s">
        <v>1112</v>
      </c>
      <c r="M275" t="s">
        <v>1117</v>
      </c>
      <c r="N275">
        <v>6.8199999999999997E-2</v>
      </c>
      <c r="O275" t="s">
        <v>56</v>
      </c>
      <c r="P275" t="s">
        <v>57</v>
      </c>
      <c r="Q275" t="s">
        <v>109</v>
      </c>
      <c r="R275" t="s">
        <v>59</v>
      </c>
      <c r="S275" t="s">
        <v>1118</v>
      </c>
      <c r="T275" t="s">
        <v>61</v>
      </c>
      <c r="U275">
        <v>1.6989000000000001</v>
      </c>
      <c r="V275" t="s">
        <v>62</v>
      </c>
      <c r="W275">
        <v>0</v>
      </c>
      <c r="X275">
        <v>29.44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67</v>
      </c>
      <c r="AK275" t="s">
        <v>111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125</v>
      </c>
      <c r="AT275" t="s">
        <v>71</v>
      </c>
      <c r="AU275">
        <v>0</v>
      </c>
      <c r="AV275">
        <v>0</v>
      </c>
    </row>
    <row r="276" spans="1:48" x14ac:dyDescent="0.25">
      <c r="A276" t="s">
        <v>1119</v>
      </c>
      <c r="B276" t="s">
        <v>125</v>
      </c>
      <c r="C276" t="s">
        <v>50</v>
      </c>
      <c r="D276">
        <v>440270.4252</v>
      </c>
      <c r="E276">
        <v>1827692.9145</v>
      </c>
      <c r="F276">
        <v>31.306999999999999</v>
      </c>
      <c r="G276" t="s">
        <v>1120</v>
      </c>
      <c r="H276" t="s">
        <v>52</v>
      </c>
      <c r="I276">
        <v>31.306999999999999</v>
      </c>
      <c r="J276" t="s">
        <v>53</v>
      </c>
      <c r="K276">
        <v>0</v>
      </c>
      <c r="L276" t="s">
        <v>1112</v>
      </c>
      <c r="M276" t="s">
        <v>1121</v>
      </c>
      <c r="N276">
        <v>6.3200000000000006E-2</v>
      </c>
      <c r="O276" t="s">
        <v>56</v>
      </c>
      <c r="P276" t="s">
        <v>57</v>
      </c>
      <c r="Q276" t="s">
        <v>109</v>
      </c>
      <c r="R276" t="s">
        <v>59</v>
      </c>
      <c r="S276" t="s">
        <v>1122</v>
      </c>
      <c r="T276" t="s">
        <v>61</v>
      </c>
      <c r="U276">
        <v>1.9080999999999999</v>
      </c>
      <c r="V276" t="s">
        <v>62</v>
      </c>
      <c r="W276">
        <v>0</v>
      </c>
      <c r="X276">
        <v>29.399000000000001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111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125</v>
      </c>
      <c r="AT276" t="s">
        <v>71</v>
      </c>
      <c r="AU276">
        <v>0</v>
      </c>
      <c r="AV276">
        <v>0</v>
      </c>
    </row>
    <row r="277" spans="1:48" x14ac:dyDescent="0.25">
      <c r="A277" t="s">
        <v>1123</v>
      </c>
      <c r="B277" t="s">
        <v>73</v>
      </c>
      <c r="C277" t="s">
        <v>50</v>
      </c>
      <c r="D277">
        <v>440258.22489999997</v>
      </c>
      <c r="E277">
        <v>1827572.9</v>
      </c>
      <c r="F277">
        <v>31.555</v>
      </c>
      <c r="G277" t="s">
        <v>1124</v>
      </c>
      <c r="H277" t="s">
        <v>52</v>
      </c>
      <c r="I277">
        <v>31.555</v>
      </c>
      <c r="J277" t="s">
        <v>53</v>
      </c>
      <c r="K277">
        <v>0</v>
      </c>
      <c r="L277" t="s">
        <v>275</v>
      </c>
      <c r="M277" t="s">
        <v>1125</v>
      </c>
      <c r="N277">
        <v>0.17150000000000001</v>
      </c>
      <c r="O277" t="s">
        <v>56</v>
      </c>
      <c r="P277" t="s">
        <v>57</v>
      </c>
      <c r="Q277" t="s">
        <v>59</v>
      </c>
      <c r="R277" t="s">
        <v>58</v>
      </c>
      <c r="S277" t="s">
        <v>1126</v>
      </c>
      <c r="T277" t="s">
        <v>61</v>
      </c>
      <c r="U277">
        <v>1.4591000000000001</v>
      </c>
      <c r="V277" t="s">
        <v>62</v>
      </c>
      <c r="W277">
        <v>0</v>
      </c>
      <c r="X277">
        <v>30.096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73</v>
      </c>
      <c r="AT277" t="s">
        <v>71</v>
      </c>
      <c r="AU277">
        <v>0</v>
      </c>
      <c r="AV277">
        <v>0</v>
      </c>
    </row>
    <row r="278" spans="1:48" x14ac:dyDescent="0.25">
      <c r="A278" t="s">
        <v>1127</v>
      </c>
      <c r="B278" t="s">
        <v>73</v>
      </c>
      <c r="C278" t="s">
        <v>50</v>
      </c>
      <c r="D278">
        <v>440258.22489999997</v>
      </c>
      <c r="E278">
        <v>1827592.9</v>
      </c>
      <c r="F278">
        <v>31.515000000000001</v>
      </c>
      <c r="G278" t="s">
        <v>1128</v>
      </c>
      <c r="H278" t="s">
        <v>52</v>
      </c>
      <c r="I278">
        <v>31.515000000000001</v>
      </c>
      <c r="J278" t="s">
        <v>53</v>
      </c>
      <c r="K278">
        <v>0</v>
      </c>
      <c r="L278" t="s">
        <v>275</v>
      </c>
      <c r="M278" t="s">
        <v>1129</v>
      </c>
      <c r="N278">
        <v>0.17150000000000001</v>
      </c>
      <c r="O278" t="s">
        <v>56</v>
      </c>
      <c r="P278" t="s">
        <v>57</v>
      </c>
      <c r="Q278" t="s">
        <v>59</v>
      </c>
      <c r="R278" t="s">
        <v>58</v>
      </c>
      <c r="S278" t="s">
        <v>1130</v>
      </c>
      <c r="T278" t="s">
        <v>61</v>
      </c>
      <c r="U278">
        <v>1.4621</v>
      </c>
      <c r="V278" t="s">
        <v>62</v>
      </c>
      <c r="W278">
        <v>0</v>
      </c>
      <c r="X278">
        <v>30.053000000000001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73</v>
      </c>
      <c r="AT278" t="s">
        <v>71</v>
      </c>
      <c r="AU278">
        <v>0</v>
      </c>
      <c r="AV278">
        <v>0</v>
      </c>
    </row>
    <row r="279" spans="1:48" x14ac:dyDescent="0.25">
      <c r="A279" t="s">
        <v>1131</v>
      </c>
      <c r="B279" t="s">
        <v>73</v>
      </c>
      <c r="C279" t="s">
        <v>50</v>
      </c>
      <c r="D279">
        <v>440258.22489999997</v>
      </c>
      <c r="E279">
        <v>1827612.9</v>
      </c>
      <c r="F279">
        <v>31.475000000000001</v>
      </c>
      <c r="G279" t="s">
        <v>1132</v>
      </c>
      <c r="H279" t="s">
        <v>52</v>
      </c>
      <c r="I279">
        <v>31.475000000000001</v>
      </c>
      <c r="J279" t="s">
        <v>53</v>
      </c>
      <c r="K279">
        <v>0</v>
      </c>
      <c r="L279" t="s">
        <v>275</v>
      </c>
      <c r="M279" t="s">
        <v>1133</v>
      </c>
      <c r="N279">
        <v>0.17150000000000001</v>
      </c>
      <c r="O279" t="s">
        <v>56</v>
      </c>
      <c r="P279" t="s">
        <v>57</v>
      </c>
      <c r="Q279" t="s">
        <v>59</v>
      </c>
      <c r="R279" t="s">
        <v>58</v>
      </c>
      <c r="S279" t="s">
        <v>1126</v>
      </c>
      <c r="T279" t="s">
        <v>61</v>
      </c>
      <c r="U279">
        <v>1.4591000000000001</v>
      </c>
      <c r="V279" t="s">
        <v>62</v>
      </c>
      <c r="W279">
        <v>0</v>
      </c>
      <c r="X279">
        <v>30.015999999999998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73</v>
      </c>
      <c r="AT279" t="s">
        <v>71</v>
      </c>
      <c r="AU279">
        <v>0</v>
      </c>
      <c r="AV279">
        <v>0</v>
      </c>
    </row>
    <row r="280" spans="1:48" x14ac:dyDescent="0.25">
      <c r="A280" t="s">
        <v>1134</v>
      </c>
      <c r="B280" t="s">
        <v>73</v>
      </c>
      <c r="C280" t="s">
        <v>50</v>
      </c>
      <c r="D280">
        <v>440258.22489999997</v>
      </c>
      <c r="E280">
        <v>1827653.7949000001</v>
      </c>
      <c r="F280">
        <v>31.396999999999998</v>
      </c>
      <c r="G280" t="s">
        <v>1135</v>
      </c>
      <c r="H280" t="s">
        <v>52</v>
      </c>
      <c r="I280">
        <v>31.396999999999998</v>
      </c>
      <c r="J280" t="s">
        <v>53</v>
      </c>
      <c r="K280">
        <v>0</v>
      </c>
      <c r="L280" t="s">
        <v>275</v>
      </c>
      <c r="M280" s="1" t="s">
        <v>1136</v>
      </c>
      <c r="N280">
        <v>0.17150000000000001</v>
      </c>
      <c r="O280" t="s">
        <v>56</v>
      </c>
      <c r="P280" t="s">
        <v>57</v>
      </c>
      <c r="Q280" t="s">
        <v>59</v>
      </c>
      <c r="R280" t="s">
        <v>58</v>
      </c>
      <c r="S280" t="s">
        <v>1137</v>
      </c>
      <c r="T280" t="s">
        <v>61</v>
      </c>
      <c r="U280">
        <v>1.4583999999999999</v>
      </c>
      <c r="V280" t="s">
        <v>62</v>
      </c>
      <c r="W280">
        <v>0</v>
      </c>
      <c r="X280">
        <v>29.939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73</v>
      </c>
      <c r="AT280" t="s">
        <v>71</v>
      </c>
      <c r="AU280">
        <v>0</v>
      </c>
      <c r="AV280">
        <v>0</v>
      </c>
    </row>
    <row r="281" spans="1:48" x14ac:dyDescent="0.25">
      <c r="A281" t="s">
        <v>1138</v>
      </c>
      <c r="B281" t="s">
        <v>73</v>
      </c>
      <c r="C281" t="s">
        <v>50</v>
      </c>
      <c r="D281">
        <v>440258.22489999997</v>
      </c>
      <c r="E281">
        <v>1827672.9</v>
      </c>
      <c r="F281">
        <v>31.390999999999998</v>
      </c>
      <c r="G281" t="s">
        <v>1139</v>
      </c>
      <c r="H281" t="s">
        <v>52</v>
      </c>
      <c r="I281">
        <v>31.390999999999998</v>
      </c>
      <c r="J281" t="s">
        <v>53</v>
      </c>
      <c r="K281">
        <v>0</v>
      </c>
      <c r="L281" t="s">
        <v>275</v>
      </c>
      <c r="M281" t="s">
        <v>1140</v>
      </c>
      <c r="N281">
        <v>0.17150000000000001</v>
      </c>
      <c r="O281" t="s">
        <v>56</v>
      </c>
      <c r="P281" t="s">
        <v>57</v>
      </c>
      <c r="Q281" t="s">
        <v>59</v>
      </c>
      <c r="R281" t="s">
        <v>58</v>
      </c>
      <c r="S281" t="s">
        <v>1141</v>
      </c>
      <c r="T281" t="s">
        <v>61</v>
      </c>
      <c r="U281">
        <v>1.5726</v>
      </c>
      <c r="V281" t="s">
        <v>62</v>
      </c>
      <c r="W281">
        <v>0</v>
      </c>
      <c r="X281">
        <v>29.818000000000001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73</v>
      </c>
      <c r="AT281" t="s">
        <v>71</v>
      </c>
      <c r="AU281">
        <v>0</v>
      </c>
      <c r="AV281">
        <v>0</v>
      </c>
    </row>
    <row r="282" spans="1:48" x14ac:dyDescent="0.25">
      <c r="A282" t="s">
        <v>1142</v>
      </c>
      <c r="B282" t="s">
        <v>125</v>
      </c>
      <c r="C282" t="s">
        <v>50</v>
      </c>
      <c r="D282">
        <v>440258.09299999999</v>
      </c>
      <c r="E282">
        <v>1827692.9145</v>
      </c>
      <c r="F282">
        <v>31.213000000000001</v>
      </c>
      <c r="G282" t="s">
        <v>1143</v>
      </c>
      <c r="H282" t="s">
        <v>52</v>
      </c>
      <c r="I282">
        <v>31.213000000000001</v>
      </c>
      <c r="J282" t="s">
        <v>53</v>
      </c>
      <c r="K282">
        <v>0</v>
      </c>
      <c r="L282" t="s">
        <v>1112</v>
      </c>
      <c r="M282" t="s">
        <v>1144</v>
      </c>
      <c r="N282">
        <v>6.0199999999999997E-2</v>
      </c>
      <c r="O282" t="s">
        <v>56</v>
      </c>
      <c r="P282" t="s">
        <v>57</v>
      </c>
      <c r="Q282" t="s">
        <v>109</v>
      </c>
      <c r="R282" t="s">
        <v>59</v>
      </c>
      <c r="S282" t="s">
        <v>1145</v>
      </c>
      <c r="T282" t="s">
        <v>61</v>
      </c>
      <c r="U282">
        <v>2.1301999999999999</v>
      </c>
      <c r="V282" t="s">
        <v>1033</v>
      </c>
      <c r="W282">
        <v>0</v>
      </c>
      <c r="X282">
        <v>29.082999999999998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111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125</v>
      </c>
      <c r="AT282" t="s">
        <v>71</v>
      </c>
      <c r="AU282">
        <v>0</v>
      </c>
      <c r="AV282">
        <v>0</v>
      </c>
    </row>
    <row r="283" spans="1:48" x14ac:dyDescent="0.25">
      <c r="A283" t="s">
        <v>1146</v>
      </c>
      <c r="B283" t="s">
        <v>73</v>
      </c>
      <c r="C283" t="s">
        <v>50</v>
      </c>
      <c r="D283">
        <v>440248.82490000001</v>
      </c>
      <c r="E283">
        <v>1827572.9</v>
      </c>
      <c r="F283">
        <v>31.555</v>
      </c>
      <c r="G283" t="s">
        <v>1147</v>
      </c>
      <c r="H283" t="s">
        <v>52</v>
      </c>
      <c r="I283">
        <v>31.555</v>
      </c>
      <c r="J283" t="s">
        <v>53</v>
      </c>
      <c r="K283">
        <v>0</v>
      </c>
      <c r="L283" t="s">
        <v>1087</v>
      </c>
      <c r="M283" t="s">
        <v>1125</v>
      </c>
      <c r="N283">
        <v>0</v>
      </c>
      <c r="O283" t="s">
        <v>56</v>
      </c>
      <c r="P283" t="s">
        <v>57</v>
      </c>
      <c r="Q283" t="s">
        <v>59</v>
      </c>
      <c r="R283" t="s">
        <v>58</v>
      </c>
      <c r="S283" t="s">
        <v>1126</v>
      </c>
      <c r="T283" t="s">
        <v>61</v>
      </c>
      <c r="U283">
        <v>1.4591000000000001</v>
      </c>
      <c r="V283" t="s">
        <v>62</v>
      </c>
      <c r="W283">
        <v>0</v>
      </c>
      <c r="X283">
        <v>30.096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73</v>
      </c>
      <c r="AT283" t="s">
        <v>71</v>
      </c>
      <c r="AU283">
        <v>0</v>
      </c>
      <c r="AV283">
        <v>0</v>
      </c>
    </row>
    <row r="284" spans="1:48" x14ac:dyDescent="0.25">
      <c r="A284" t="s">
        <v>1148</v>
      </c>
      <c r="B284" t="s">
        <v>73</v>
      </c>
      <c r="C284" t="s">
        <v>50</v>
      </c>
      <c r="D284">
        <v>440248.82490000001</v>
      </c>
      <c r="E284">
        <v>1827592.9</v>
      </c>
      <c r="F284">
        <v>31.515000000000001</v>
      </c>
      <c r="G284" t="s">
        <v>1149</v>
      </c>
      <c r="H284" t="s">
        <v>52</v>
      </c>
      <c r="I284">
        <v>31.515000000000001</v>
      </c>
      <c r="J284" t="s">
        <v>53</v>
      </c>
      <c r="K284">
        <v>0</v>
      </c>
      <c r="L284" t="s">
        <v>1087</v>
      </c>
      <c r="M284" t="s">
        <v>1129</v>
      </c>
      <c r="N284">
        <v>0</v>
      </c>
      <c r="O284" t="s">
        <v>56</v>
      </c>
      <c r="P284" t="s">
        <v>57</v>
      </c>
      <c r="Q284" t="s">
        <v>59</v>
      </c>
      <c r="R284" t="s">
        <v>58</v>
      </c>
      <c r="S284" t="s">
        <v>1126</v>
      </c>
      <c r="T284" t="s">
        <v>61</v>
      </c>
      <c r="U284">
        <v>1.4591000000000001</v>
      </c>
      <c r="V284" t="s">
        <v>62</v>
      </c>
      <c r="W284">
        <v>0</v>
      </c>
      <c r="X284">
        <v>30.056000000000001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73</v>
      </c>
      <c r="AT284" t="s">
        <v>71</v>
      </c>
      <c r="AU284">
        <v>0</v>
      </c>
      <c r="AV284">
        <v>0</v>
      </c>
    </row>
    <row r="285" spans="1:48" x14ac:dyDescent="0.25">
      <c r="A285" t="s">
        <v>1150</v>
      </c>
      <c r="B285" t="s">
        <v>73</v>
      </c>
      <c r="C285" t="s">
        <v>50</v>
      </c>
      <c r="D285">
        <v>440248.82490000001</v>
      </c>
      <c r="E285">
        <v>1827612.9</v>
      </c>
      <c r="F285">
        <v>31.475000000000001</v>
      </c>
      <c r="G285" t="s">
        <v>1151</v>
      </c>
      <c r="H285" t="s">
        <v>52</v>
      </c>
      <c r="I285">
        <v>31.475000000000001</v>
      </c>
      <c r="J285" t="s">
        <v>53</v>
      </c>
      <c r="K285">
        <v>0</v>
      </c>
      <c r="L285" t="s">
        <v>1087</v>
      </c>
      <c r="M285" s="1" t="s">
        <v>1133</v>
      </c>
      <c r="N285">
        <v>0</v>
      </c>
      <c r="O285" t="s">
        <v>56</v>
      </c>
      <c r="P285" t="s">
        <v>57</v>
      </c>
      <c r="Q285" t="s">
        <v>59</v>
      </c>
      <c r="R285" t="s">
        <v>58</v>
      </c>
      <c r="S285" t="s">
        <v>1126</v>
      </c>
      <c r="T285" t="s">
        <v>61</v>
      </c>
      <c r="U285">
        <v>1.4591000000000001</v>
      </c>
      <c r="V285" t="s">
        <v>62</v>
      </c>
      <c r="W285">
        <v>0</v>
      </c>
      <c r="X285">
        <v>30.015999999999998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73</v>
      </c>
      <c r="AT285" t="s">
        <v>71</v>
      </c>
      <c r="AU285">
        <v>0</v>
      </c>
      <c r="AV285">
        <v>0</v>
      </c>
    </row>
    <row r="286" spans="1:48" x14ac:dyDescent="0.25">
      <c r="A286" t="s">
        <v>1152</v>
      </c>
      <c r="B286" t="s">
        <v>73</v>
      </c>
      <c r="C286" t="s">
        <v>50</v>
      </c>
      <c r="D286">
        <v>440248.82490000001</v>
      </c>
      <c r="E286">
        <v>1827632.9</v>
      </c>
      <c r="F286">
        <v>31.434999999999999</v>
      </c>
      <c r="G286" t="s">
        <v>1153</v>
      </c>
      <c r="H286" t="s">
        <v>52</v>
      </c>
      <c r="I286">
        <v>31.434999999999999</v>
      </c>
      <c r="J286" t="s">
        <v>53</v>
      </c>
      <c r="K286">
        <v>0</v>
      </c>
      <c r="L286" t="s">
        <v>1087</v>
      </c>
      <c r="M286" t="s">
        <v>1154</v>
      </c>
      <c r="N286">
        <v>0</v>
      </c>
      <c r="O286" t="s">
        <v>56</v>
      </c>
      <c r="P286" t="s">
        <v>57</v>
      </c>
      <c r="Q286" t="s">
        <v>59</v>
      </c>
      <c r="R286" t="s">
        <v>58</v>
      </c>
      <c r="S286" t="s">
        <v>1126</v>
      </c>
      <c r="T286" t="s">
        <v>61</v>
      </c>
      <c r="U286">
        <v>1.4591000000000001</v>
      </c>
      <c r="V286" t="s">
        <v>62</v>
      </c>
      <c r="W286">
        <v>0</v>
      </c>
      <c r="X286">
        <v>29.975999999999999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73</v>
      </c>
      <c r="AT286" t="s">
        <v>71</v>
      </c>
      <c r="AU286">
        <v>0</v>
      </c>
      <c r="AV286">
        <v>0</v>
      </c>
    </row>
    <row r="287" spans="1:48" x14ac:dyDescent="0.25">
      <c r="A287" t="s">
        <v>1155</v>
      </c>
      <c r="B287" t="s">
        <v>73</v>
      </c>
      <c r="C287" t="s">
        <v>50</v>
      </c>
      <c r="D287">
        <v>440248.82490000001</v>
      </c>
      <c r="E287">
        <v>1827652.9</v>
      </c>
      <c r="F287">
        <v>31.398</v>
      </c>
      <c r="G287" t="s">
        <v>1156</v>
      </c>
      <c r="H287" t="s">
        <v>52</v>
      </c>
      <c r="I287">
        <v>31.398</v>
      </c>
      <c r="J287" t="s">
        <v>53</v>
      </c>
      <c r="K287">
        <v>0</v>
      </c>
      <c r="L287" t="s">
        <v>1087</v>
      </c>
      <c r="M287" t="s">
        <v>1157</v>
      </c>
      <c r="N287">
        <v>0</v>
      </c>
      <c r="O287" t="s">
        <v>56</v>
      </c>
      <c r="P287" t="s">
        <v>57</v>
      </c>
      <c r="Q287" t="s">
        <v>59</v>
      </c>
      <c r="R287" t="s">
        <v>58</v>
      </c>
      <c r="S287" t="s">
        <v>1158</v>
      </c>
      <c r="T287" t="s">
        <v>61</v>
      </c>
      <c r="U287">
        <v>1.4575</v>
      </c>
      <c r="V287" t="s">
        <v>62</v>
      </c>
      <c r="W287">
        <v>0</v>
      </c>
      <c r="X287">
        <v>29.940999999999999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73</v>
      </c>
      <c r="AT287" t="s">
        <v>71</v>
      </c>
      <c r="AU287">
        <v>0</v>
      </c>
      <c r="AV287">
        <v>0</v>
      </c>
    </row>
    <row r="288" spans="1:48" x14ac:dyDescent="0.25">
      <c r="A288" t="s">
        <v>1159</v>
      </c>
      <c r="B288" t="s">
        <v>73</v>
      </c>
      <c r="C288" t="s">
        <v>50</v>
      </c>
      <c r="D288">
        <v>440248.82490000001</v>
      </c>
      <c r="E288">
        <v>1827672.9</v>
      </c>
      <c r="F288">
        <v>31.390999999999998</v>
      </c>
      <c r="G288" t="s">
        <v>1160</v>
      </c>
      <c r="H288" t="s">
        <v>52</v>
      </c>
      <c r="I288">
        <v>31.390999999999998</v>
      </c>
      <c r="J288" t="s">
        <v>53</v>
      </c>
      <c r="K288">
        <v>0</v>
      </c>
      <c r="L288" t="s">
        <v>1087</v>
      </c>
      <c r="M288" t="s">
        <v>1140</v>
      </c>
      <c r="N288">
        <v>0</v>
      </c>
      <c r="O288" t="s">
        <v>56</v>
      </c>
      <c r="P288" t="s">
        <v>57</v>
      </c>
      <c r="Q288" t="s">
        <v>59</v>
      </c>
      <c r="R288" t="s">
        <v>58</v>
      </c>
      <c r="S288" t="s">
        <v>1161</v>
      </c>
      <c r="T288" t="s">
        <v>61</v>
      </c>
      <c r="U288">
        <v>1.4696</v>
      </c>
      <c r="V288" t="s">
        <v>62</v>
      </c>
      <c r="W288">
        <v>0</v>
      </c>
      <c r="X288">
        <v>29.920999999999999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73</v>
      </c>
      <c r="AT288" t="s">
        <v>71</v>
      </c>
      <c r="AU288">
        <v>0</v>
      </c>
      <c r="AV288">
        <v>0</v>
      </c>
    </row>
    <row r="289" spans="1:48" x14ac:dyDescent="0.25">
      <c r="A289" t="s">
        <v>1162</v>
      </c>
      <c r="B289" t="s">
        <v>125</v>
      </c>
      <c r="C289" t="s">
        <v>50</v>
      </c>
      <c r="D289">
        <v>440248.7499</v>
      </c>
      <c r="E289">
        <v>1827692.9145</v>
      </c>
      <c r="F289">
        <v>31.321999999999999</v>
      </c>
      <c r="G289" t="s">
        <v>1163</v>
      </c>
      <c r="H289" t="s">
        <v>52</v>
      </c>
      <c r="I289">
        <v>31.321999999999999</v>
      </c>
      <c r="J289" t="s">
        <v>53</v>
      </c>
      <c r="K289">
        <v>0</v>
      </c>
      <c r="L289" t="s">
        <v>1112</v>
      </c>
      <c r="M289" t="s">
        <v>1164</v>
      </c>
      <c r="N289">
        <v>5.79E-2</v>
      </c>
      <c r="O289" t="s">
        <v>56</v>
      </c>
      <c r="P289" t="s">
        <v>57</v>
      </c>
      <c r="Q289" t="s">
        <v>109</v>
      </c>
      <c r="R289" t="s">
        <v>59</v>
      </c>
      <c r="S289" t="s">
        <v>1165</v>
      </c>
      <c r="T289" t="s">
        <v>61</v>
      </c>
      <c r="U289">
        <v>2.3976999999999999</v>
      </c>
      <c r="V289" t="s">
        <v>1033</v>
      </c>
      <c r="W289">
        <v>0</v>
      </c>
      <c r="X289">
        <v>28.923999999999999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66</v>
      </c>
      <c r="AG289" t="s">
        <v>65</v>
      </c>
      <c r="AH289" t="s">
        <v>65</v>
      </c>
      <c r="AI289" t="s">
        <v>67</v>
      </c>
      <c r="AK289" t="s">
        <v>111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125</v>
      </c>
      <c r="AT289" t="s">
        <v>71</v>
      </c>
      <c r="AU289">
        <v>0</v>
      </c>
      <c r="AV289">
        <v>0</v>
      </c>
    </row>
    <row r="290" spans="1:48" x14ac:dyDescent="0.25">
      <c r="A290" t="s">
        <v>1166</v>
      </c>
      <c r="B290" t="s">
        <v>125</v>
      </c>
      <c r="C290" t="s">
        <v>50</v>
      </c>
      <c r="D290">
        <v>440230.4252</v>
      </c>
      <c r="E290">
        <v>1827692.9145</v>
      </c>
      <c r="F290">
        <v>31.643999999999998</v>
      </c>
      <c r="G290" t="s">
        <v>1167</v>
      </c>
      <c r="H290" t="s">
        <v>52</v>
      </c>
      <c r="I290">
        <v>31.643999999999998</v>
      </c>
      <c r="J290" t="s">
        <v>53</v>
      </c>
      <c r="K290">
        <v>0</v>
      </c>
      <c r="L290" t="s">
        <v>1112</v>
      </c>
      <c r="M290" t="s">
        <v>1168</v>
      </c>
      <c r="N290">
        <v>5.33E-2</v>
      </c>
      <c r="O290" t="s">
        <v>56</v>
      </c>
      <c r="P290" t="s">
        <v>57</v>
      </c>
      <c r="Q290" t="s">
        <v>109</v>
      </c>
      <c r="R290" t="s">
        <v>59</v>
      </c>
      <c r="S290" t="s">
        <v>1169</v>
      </c>
      <c r="T290" t="s">
        <v>61</v>
      </c>
      <c r="U290">
        <v>2.7385999999999999</v>
      </c>
      <c r="V290" t="s">
        <v>62</v>
      </c>
      <c r="W290">
        <v>0</v>
      </c>
      <c r="X290">
        <v>28.905000000000001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66</v>
      </c>
      <c r="AG290" t="s">
        <v>65</v>
      </c>
      <c r="AH290" t="s">
        <v>65</v>
      </c>
      <c r="AI290" t="s">
        <v>67</v>
      </c>
      <c r="AK290" t="s">
        <v>111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125</v>
      </c>
      <c r="AT290" t="s">
        <v>71</v>
      </c>
      <c r="AU290">
        <v>0</v>
      </c>
      <c r="AV290">
        <v>0</v>
      </c>
    </row>
    <row r="291" spans="1:48" x14ac:dyDescent="0.25">
      <c r="A291" t="s">
        <v>1170</v>
      </c>
      <c r="B291" t="s">
        <v>105</v>
      </c>
      <c r="C291" t="s">
        <v>50</v>
      </c>
      <c r="D291">
        <v>440217.54979999998</v>
      </c>
      <c r="E291">
        <v>1827692.9712</v>
      </c>
      <c r="F291">
        <v>31.565000000000001</v>
      </c>
      <c r="G291" t="s">
        <v>1171</v>
      </c>
      <c r="H291" t="s">
        <v>52</v>
      </c>
      <c r="I291">
        <v>31.565000000000001</v>
      </c>
      <c r="J291" t="s">
        <v>53</v>
      </c>
      <c r="K291">
        <v>0</v>
      </c>
      <c r="L291" t="s">
        <v>1112</v>
      </c>
      <c r="M291" t="s">
        <v>1172</v>
      </c>
      <c r="N291">
        <v>0.10680000000000001</v>
      </c>
      <c r="O291" t="s">
        <v>56</v>
      </c>
      <c r="P291" t="s">
        <v>57</v>
      </c>
      <c r="Q291" t="s">
        <v>59</v>
      </c>
      <c r="R291" t="s">
        <v>109</v>
      </c>
      <c r="S291" t="s">
        <v>1173</v>
      </c>
      <c r="T291" t="s">
        <v>61</v>
      </c>
      <c r="U291">
        <v>3.4782000000000002</v>
      </c>
      <c r="V291" t="s">
        <v>62</v>
      </c>
      <c r="W291">
        <v>0</v>
      </c>
      <c r="X291">
        <v>28.087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111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105</v>
      </c>
      <c r="AT291" t="s">
        <v>71</v>
      </c>
      <c r="AU291">
        <v>0</v>
      </c>
      <c r="AV291">
        <v>0</v>
      </c>
    </row>
    <row r="292" spans="1:48" x14ac:dyDescent="0.25">
      <c r="A292" t="s">
        <v>1174</v>
      </c>
      <c r="B292" t="s">
        <v>105</v>
      </c>
      <c r="C292" t="s">
        <v>50</v>
      </c>
      <c r="D292">
        <v>440217.54979999998</v>
      </c>
      <c r="E292">
        <v>1827681.8171000001</v>
      </c>
      <c r="F292">
        <v>31.649000000000001</v>
      </c>
      <c r="G292" t="s">
        <v>1175</v>
      </c>
      <c r="H292" t="s">
        <v>52</v>
      </c>
      <c r="I292">
        <v>31.649000000000001</v>
      </c>
      <c r="J292" t="s">
        <v>53</v>
      </c>
      <c r="K292">
        <v>0</v>
      </c>
      <c r="L292" t="s">
        <v>151</v>
      </c>
      <c r="M292" t="s">
        <v>1176</v>
      </c>
      <c r="N292">
        <v>6.3E-3</v>
      </c>
      <c r="O292" t="s">
        <v>56</v>
      </c>
      <c r="P292" t="s">
        <v>57</v>
      </c>
      <c r="Q292" t="s">
        <v>59</v>
      </c>
      <c r="R292" t="s">
        <v>109</v>
      </c>
      <c r="S292" t="s">
        <v>1177</v>
      </c>
      <c r="T292" t="s">
        <v>61</v>
      </c>
      <c r="U292">
        <v>3.5727000000000002</v>
      </c>
      <c r="V292" t="s">
        <v>62</v>
      </c>
      <c r="W292">
        <v>0</v>
      </c>
      <c r="X292">
        <v>28.076000000000001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111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105</v>
      </c>
      <c r="AT292" t="s">
        <v>71</v>
      </c>
      <c r="AU292">
        <v>0</v>
      </c>
      <c r="AV292">
        <v>0</v>
      </c>
    </row>
    <row r="293" spans="1:48" x14ac:dyDescent="0.25">
      <c r="A293" t="s">
        <v>1178</v>
      </c>
      <c r="B293" t="s">
        <v>105</v>
      </c>
      <c r="C293" t="s">
        <v>50</v>
      </c>
      <c r="D293">
        <v>440217.54979999998</v>
      </c>
      <c r="E293">
        <v>1827661.8171000001</v>
      </c>
      <c r="F293">
        <v>31.552</v>
      </c>
      <c r="G293" t="s">
        <v>1179</v>
      </c>
      <c r="H293" t="s">
        <v>52</v>
      </c>
      <c r="I293">
        <v>31.552</v>
      </c>
      <c r="J293" t="s">
        <v>53</v>
      </c>
      <c r="K293">
        <v>0</v>
      </c>
      <c r="L293" t="s">
        <v>151</v>
      </c>
      <c r="M293" t="s">
        <v>1180</v>
      </c>
      <c r="N293">
        <v>-4.5999999999999999E-3</v>
      </c>
      <c r="O293" t="s">
        <v>56</v>
      </c>
      <c r="P293" t="s">
        <v>57</v>
      </c>
      <c r="Q293" t="s">
        <v>59</v>
      </c>
      <c r="R293" t="s">
        <v>109</v>
      </c>
      <c r="S293" t="s">
        <v>1181</v>
      </c>
      <c r="T293" t="s">
        <v>61</v>
      </c>
      <c r="U293">
        <v>3.4961000000000002</v>
      </c>
      <c r="V293" t="s">
        <v>62</v>
      </c>
      <c r="W293">
        <v>0</v>
      </c>
      <c r="X293">
        <v>28.056000000000001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111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105</v>
      </c>
      <c r="AT293" t="s">
        <v>71</v>
      </c>
      <c r="AU293">
        <v>0</v>
      </c>
      <c r="AV293">
        <v>0</v>
      </c>
    </row>
    <row r="294" spans="1:48" x14ac:dyDescent="0.25">
      <c r="A294" t="s">
        <v>1182</v>
      </c>
      <c r="B294" t="s">
        <v>105</v>
      </c>
      <c r="C294" t="s">
        <v>50</v>
      </c>
      <c r="D294">
        <v>440217.54979999998</v>
      </c>
      <c r="E294">
        <v>1827641.8171000001</v>
      </c>
      <c r="F294">
        <v>31.454999999999998</v>
      </c>
      <c r="G294" t="s">
        <v>1183</v>
      </c>
      <c r="H294" t="s">
        <v>52</v>
      </c>
      <c r="I294">
        <v>31.454999999999998</v>
      </c>
      <c r="J294" t="s">
        <v>53</v>
      </c>
      <c r="K294">
        <v>0</v>
      </c>
      <c r="L294" t="s">
        <v>151</v>
      </c>
      <c r="M294" t="s">
        <v>1184</v>
      </c>
      <c r="N294">
        <v>-1.55E-2</v>
      </c>
      <c r="O294" t="s">
        <v>56</v>
      </c>
      <c r="P294" t="s">
        <v>57</v>
      </c>
      <c r="Q294" t="s">
        <v>59</v>
      </c>
      <c r="R294" t="s">
        <v>109</v>
      </c>
      <c r="S294" t="s">
        <v>1185</v>
      </c>
      <c r="T294" t="s">
        <v>61</v>
      </c>
      <c r="U294">
        <v>3.4195000000000002</v>
      </c>
      <c r="V294" t="s">
        <v>62</v>
      </c>
      <c r="W294">
        <v>0</v>
      </c>
      <c r="X294">
        <v>28.036000000000001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111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105</v>
      </c>
      <c r="AT294" t="s">
        <v>71</v>
      </c>
      <c r="AU294">
        <v>0</v>
      </c>
      <c r="AV294">
        <v>0</v>
      </c>
    </row>
    <row r="295" spans="1:48" x14ac:dyDescent="0.25">
      <c r="A295" t="s">
        <v>1186</v>
      </c>
      <c r="B295" t="s">
        <v>105</v>
      </c>
      <c r="C295" t="s">
        <v>50</v>
      </c>
      <c r="D295">
        <v>440217.54979999998</v>
      </c>
      <c r="E295">
        <v>1827621.8171000001</v>
      </c>
      <c r="F295">
        <v>31.382999999999999</v>
      </c>
      <c r="G295" t="s">
        <v>1187</v>
      </c>
      <c r="H295" t="s">
        <v>52</v>
      </c>
      <c r="I295">
        <v>31.382999999999999</v>
      </c>
      <c r="J295" t="s">
        <v>53</v>
      </c>
      <c r="K295">
        <v>0</v>
      </c>
      <c r="L295" t="s">
        <v>151</v>
      </c>
      <c r="M295" s="1" t="s">
        <v>1188</v>
      </c>
      <c r="N295">
        <v>-2.63E-2</v>
      </c>
      <c r="O295" t="s">
        <v>56</v>
      </c>
      <c r="P295" t="s">
        <v>57</v>
      </c>
      <c r="Q295" t="s">
        <v>59</v>
      </c>
      <c r="R295" t="s">
        <v>109</v>
      </c>
      <c r="S295" t="s">
        <v>1189</v>
      </c>
      <c r="T295" t="s">
        <v>61</v>
      </c>
      <c r="U295">
        <v>3.3668</v>
      </c>
      <c r="V295" t="s">
        <v>62</v>
      </c>
      <c r="W295">
        <v>0</v>
      </c>
      <c r="X295">
        <v>28.015999999999998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111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105</v>
      </c>
      <c r="AT295" t="s">
        <v>71</v>
      </c>
      <c r="AU295">
        <v>0</v>
      </c>
      <c r="AV295">
        <v>0</v>
      </c>
    </row>
    <row r="296" spans="1:48" x14ac:dyDescent="0.25">
      <c r="A296" t="s">
        <v>1190</v>
      </c>
      <c r="B296" t="s">
        <v>105</v>
      </c>
      <c r="C296" t="s">
        <v>50</v>
      </c>
      <c r="D296">
        <v>440217.54979999998</v>
      </c>
      <c r="E296">
        <v>1827601.8171000001</v>
      </c>
      <c r="F296">
        <v>31.396999999999998</v>
      </c>
      <c r="G296" t="s">
        <v>1191</v>
      </c>
      <c r="H296" t="s">
        <v>52</v>
      </c>
      <c r="I296">
        <v>31.396999999999998</v>
      </c>
      <c r="J296" t="s">
        <v>53</v>
      </c>
      <c r="K296">
        <v>0</v>
      </c>
      <c r="L296" t="s">
        <v>151</v>
      </c>
      <c r="M296" t="s">
        <v>1192</v>
      </c>
      <c r="N296">
        <v>-3.7199999999999997E-2</v>
      </c>
      <c r="O296" t="s">
        <v>56</v>
      </c>
      <c r="P296" t="s">
        <v>57</v>
      </c>
      <c r="Q296" t="s">
        <v>59</v>
      </c>
      <c r="R296" t="s">
        <v>109</v>
      </c>
      <c r="S296" t="s">
        <v>1193</v>
      </c>
      <c r="T296" t="s">
        <v>61</v>
      </c>
      <c r="U296">
        <v>3.4007000000000001</v>
      </c>
      <c r="V296" t="s">
        <v>62</v>
      </c>
      <c r="W296">
        <v>0</v>
      </c>
      <c r="X296">
        <v>27.995999999999999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111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105</v>
      </c>
      <c r="AT296" t="s">
        <v>71</v>
      </c>
      <c r="AU296">
        <v>0</v>
      </c>
      <c r="AV296">
        <v>0</v>
      </c>
    </row>
    <row r="297" spans="1:48" x14ac:dyDescent="0.25">
      <c r="A297" t="s">
        <v>1194</v>
      </c>
      <c r="B297" t="s">
        <v>125</v>
      </c>
      <c r="C297" t="s">
        <v>50</v>
      </c>
      <c r="D297">
        <v>440148.22489999997</v>
      </c>
      <c r="E297">
        <v>1827853.5991</v>
      </c>
      <c r="F297">
        <v>32.932000000000002</v>
      </c>
      <c r="G297" t="s">
        <v>1195</v>
      </c>
      <c r="H297" t="s">
        <v>52</v>
      </c>
      <c r="I297">
        <v>32.932000000000002</v>
      </c>
      <c r="J297" t="s">
        <v>53</v>
      </c>
      <c r="K297">
        <v>0</v>
      </c>
      <c r="L297" t="s">
        <v>227</v>
      </c>
      <c r="M297" t="s">
        <v>1196</v>
      </c>
      <c r="N297">
        <v>0.22500000000000001</v>
      </c>
      <c r="O297" t="s">
        <v>56</v>
      </c>
      <c r="P297" t="s">
        <v>57</v>
      </c>
      <c r="Q297" t="s">
        <v>109</v>
      </c>
      <c r="R297" t="s">
        <v>59</v>
      </c>
      <c r="S297" t="s">
        <v>1197</v>
      </c>
      <c r="T297" t="s">
        <v>61</v>
      </c>
      <c r="U297">
        <v>1.5014000000000001</v>
      </c>
      <c r="V297" t="s">
        <v>62</v>
      </c>
      <c r="W297">
        <v>0</v>
      </c>
      <c r="X297">
        <v>31.431000000000001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111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125</v>
      </c>
      <c r="AT297" t="s">
        <v>71</v>
      </c>
      <c r="AU297">
        <v>0</v>
      </c>
      <c r="AV297">
        <v>0</v>
      </c>
    </row>
    <row r="298" spans="1:48" x14ac:dyDescent="0.25">
      <c r="A298" t="s">
        <v>1198</v>
      </c>
      <c r="B298" t="s">
        <v>125</v>
      </c>
      <c r="C298" t="s">
        <v>50</v>
      </c>
      <c r="D298">
        <v>440168.22489999997</v>
      </c>
      <c r="E298">
        <v>1827853.5991</v>
      </c>
      <c r="F298">
        <v>32.823999999999998</v>
      </c>
      <c r="G298" t="s">
        <v>1199</v>
      </c>
      <c r="H298" t="s">
        <v>52</v>
      </c>
      <c r="I298">
        <v>32.823999999999998</v>
      </c>
      <c r="J298" t="s">
        <v>53</v>
      </c>
      <c r="K298">
        <v>0</v>
      </c>
      <c r="L298" t="s">
        <v>227</v>
      </c>
      <c r="M298" t="s">
        <v>1200</v>
      </c>
      <c r="N298">
        <v>0.22500000000000001</v>
      </c>
      <c r="O298" t="s">
        <v>56</v>
      </c>
      <c r="P298" t="s">
        <v>57</v>
      </c>
      <c r="Q298" t="s">
        <v>109</v>
      </c>
      <c r="R298" t="s">
        <v>59</v>
      </c>
      <c r="S298" t="s">
        <v>1201</v>
      </c>
      <c r="T298" t="s">
        <v>61</v>
      </c>
      <c r="U298">
        <v>1.5011000000000001</v>
      </c>
      <c r="V298" t="s">
        <v>62</v>
      </c>
      <c r="W298">
        <v>0</v>
      </c>
      <c r="X298">
        <v>31.323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66</v>
      </c>
      <c r="AG298" t="s">
        <v>65</v>
      </c>
      <c r="AH298" t="s">
        <v>65</v>
      </c>
      <c r="AI298" t="s">
        <v>67</v>
      </c>
      <c r="AK298" t="s">
        <v>111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125</v>
      </c>
      <c r="AT298" t="s">
        <v>71</v>
      </c>
      <c r="AU298">
        <v>0</v>
      </c>
      <c r="AV298">
        <v>0</v>
      </c>
    </row>
    <row r="299" spans="1:48" x14ac:dyDescent="0.25">
      <c r="A299" t="s">
        <v>1202</v>
      </c>
      <c r="B299" t="s">
        <v>125</v>
      </c>
      <c r="C299" t="s">
        <v>50</v>
      </c>
      <c r="D299">
        <v>440188.22489999997</v>
      </c>
      <c r="E299">
        <v>1827853.5991</v>
      </c>
      <c r="F299">
        <v>32.716000000000001</v>
      </c>
      <c r="G299" t="s">
        <v>1203</v>
      </c>
      <c r="H299" t="s">
        <v>52</v>
      </c>
      <c r="I299">
        <v>32.716000000000001</v>
      </c>
      <c r="J299" t="s">
        <v>53</v>
      </c>
      <c r="K299">
        <v>0</v>
      </c>
      <c r="L299" t="s">
        <v>227</v>
      </c>
      <c r="M299" t="s">
        <v>1204</v>
      </c>
      <c r="N299">
        <v>0.22500000000000001</v>
      </c>
      <c r="O299" t="s">
        <v>56</v>
      </c>
      <c r="P299" t="s">
        <v>57</v>
      </c>
      <c r="Q299" t="s">
        <v>109</v>
      </c>
      <c r="R299" t="s">
        <v>59</v>
      </c>
      <c r="S299" t="s">
        <v>1205</v>
      </c>
      <c r="T299" t="s">
        <v>61</v>
      </c>
      <c r="U299">
        <v>1.6788000000000001</v>
      </c>
      <c r="V299" t="s">
        <v>62</v>
      </c>
      <c r="W299">
        <v>0</v>
      </c>
      <c r="X299">
        <v>31.036999999999999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111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125</v>
      </c>
      <c r="AT299" t="s">
        <v>71</v>
      </c>
      <c r="AU299">
        <v>0</v>
      </c>
      <c r="AV299">
        <v>0</v>
      </c>
    </row>
    <row r="300" spans="1:48" x14ac:dyDescent="0.25">
      <c r="A300" t="s">
        <v>1206</v>
      </c>
      <c r="B300" t="s">
        <v>105</v>
      </c>
      <c r="C300" t="s">
        <v>50</v>
      </c>
      <c r="D300">
        <v>440198.89980000001</v>
      </c>
      <c r="E300">
        <v>1828181.8171000001</v>
      </c>
      <c r="F300">
        <v>33.375999999999998</v>
      </c>
      <c r="G300" t="s">
        <v>1207</v>
      </c>
      <c r="H300" t="s">
        <v>52</v>
      </c>
      <c r="I300">
        <v>33.375999999999998</v>
      </c>
      <c r="J300" t="s">
        <v>53</v>
      </c>
      <c r="K300">
        <v>0</v>
      </c>
      <c r="L300" t="s">
        <v>146</v>
      </c>
      <c r="M300" t="s">
        <v>575</v>
      </c>
      <c r="N300">
        <v>0</v>
      </c>
      <c r="O300" t="s">
        <v>56</v>
      </c>
      <c r="P300" t="s">
        <v>57</v>
      </c>
      <c r="Q300" t="s">
        <v>59</v>
      </c>
      <c r="R300" t="s">
        <v>109</v>
      </c>
      <c r="S300" t="s">
        <v>1208</v>
      </c>
      <c r="T300" t="s">
        <v>61</v>
      </c>
      <c r="U300">
        <v>1.4521999999999999</v>
      </c>
      <c r="V300" t="s">
        <v>62</v>
      </c>
      <c r="W300">
        <v>0</v>
      </c>
      <c r="X300">
        <v>31.923999999999999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111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105</v>
      </c>
      <c r="AT300" t="s">
        <v>71</v>
      </c>
      <c r="AU300">
        <v>0</v>
      </c>
      <c r="AV300">
        <v>0</v>
      </c>
    </row>
    <row r="301" spans="1:48" x14ac:dyDescent="0.25">
      <c r="A301" t="s">
        <v>1209</v>
      </c>
      <c r="B301" t="s">
        <v>105</v>
      </c>
      <c r="C301" t="s">
        <v>50</v>
      </c>
      <c r="D301">
        <v>440198.89980000001</v>
      </c>
      <c r="E301">
        <v>1828161.8171000001</v>
      </c>
      <c r="F301">
        <v>33.590000000000003</v>
      </c>
      <c r="G301" t="s">
        <v>1210</v>
      </c>
      <c r="H301" t="s">
        <v>52</v>
      </c>
      <c r="I301">
        <v>33.590000000000003</v>
      </c>
      <c r="J301" t="s">
        <v>53</v>
      </c>
      <c r="K301">
        <v>0</v>
      </c>
      <c r="L301" t="s">
        <v>146</v>
      </c>
      <c r="M301" t="s">
        <v>571</v>
      </c>
      <c r="N301">
        <v>0</v>
      </c>
      <c r="O301" t="s">
        <v>56</v>
      </c>
      <c r="P301" t="s">
        <v>57</v>
      </c>
      <c r="Q301" t="s">
        <v>59</v>
      </c>
      <c r="R301" t="s">
        <v>109</v>
      </c>
      <c r="S301" t="s">
        <v>1211</v>
      </c>
      <c r="T301" t="s">
        <v>61</v>
      </c>
      <c r="U301">
        <v>1.6967000000000001</v>
      </c>
      <c r="V301" t="s">
        <v>62</v>
      </c>
      <c r="W301">
        <v>0</v>
      </c>
      <c r="X301">
        <v>31.893000000000001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111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105</v>
      </c>
      <c r="AT301" t="s">
        <v>71</v>
      </c>
      <c r="AU301">
        <v>0</v>
      </c>
      <c r="AV301">
        <v>0</v>
      </c>
    </row>
    <row r="302" spans="1:48" x14ac:dyDescent="0.25">
      <c r="A302" t="s">
        <v>1212</v>
      </c>
      <c r="B302" t="s">
        <v>105</v>
      </c>
      <c r="C302" t="s">
        <v>50</v>
      </c>
      <c r="D302">
        <v>440198.89980000001</v>
      </c>
      <c r="E302">
        <v>1828141.8171000001</v>
      </c>
      <c r="F302">
        <v>33.774000000000001</v>
      </c>
      <c r="G302" t="s">
        <v>1213</v>
      </c>
      <c r="H302" t="s">
        <v>52</v>
      </c>
      <c r="I302">
        <v>33.774000000000001</v>
      </c>
      <c r="J302" t="s">
        <v>53</v>
      </c>
      <c r="K302">
        <v>0</v>
      </c>
      <c r="L302" t="s">
        <v>146</v>
      </c>
      <c r="M302" t="s">
        <v>567</v>
      </c>
      <c r="N302">
        <v>0</v>
      </c>
      <c r="O302" t="s">
        <v>56</v>
      </c>
      <c r="P302" t="s">
        <v>57</v>
      </c>
      <c r="Q302" t="s">
        <v>59</v>
      </c>
      <c r="R302" t="s">
        <v>109</v>
      </c>
      <c r="S302" t="s">
        <v>1214</v>
      </c>
      <c r="T302" t="s">
        <v>61</v>
      </c>
      <c r="U302">
        <v>1.9008</v>
      </c>
      <c r="V302" t="s">
        <v>62</v>
      </c>
      <c r="W302">
        <v>0</v>
      </c>
      <c r="X302">
        <v>31.873000000000001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111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105</v>
      </c>
      <c r="AT302" t="s">
        <v>71</v>
      </c>
      <c r="AU302">
        <v>0</v>
      </c>
      <c r="AV302">
        <v>0</v>
      </c>
    </row>
    <row r="303" spans="1:48" x14ac:dyDescent="0.25">
      <c r="A303" t="s">
        <v>1215</v>
      </c>
      <c r="B303" t="s">
        <v>105</v>
      </c>
      <c r="C303" t="s">
        <v>50</v>
      </c>
      <c r="D303">
        <v>440198.89980000001</v>
      </c>
      <c r="E303">
        <v>1828121.8171000001</v>
      </c>
      <c r="F303">
        <v>33.774000000000001</v>
      </c>
      <c r="G303" t="s">
        <v>1216</v>
      </c>
      <c r="H303" t="s">
        <v>52</v>
      </c>
      <c r="I303">
        <v>33.774000000000001</v>
      </c>
      <c r="J303" t="s">
        <v>53</v>
      </c>
      <c r="K303">
        <v>0</v>
      </c>
      <c r="L303" t="s">
        <v>146</v>
      </c>
      <c r="M303" t="s">
        <v>563</v>
      </c>
      <c r="N303">
        <v>0</v>
      </c>
      <c r="O303" t="s">
        <v>56</v>
      </c>
      <c r="P303" t="s">
        <v>57</v>
      </c>
      <c r="Q303" t="s">
        <v>59</v>
      </c>
      <c r="R303" t="s">
        <v>109</v>
      </c>
      <c r="S303" t="s">
        <v>1217</v>
      </c>
      <c r="T303" t="s">
        <v>61</v>
      </c>
      <c r="U303">
        <v>1.9207000000000001</v>
      </c>
      <c r="V303" t="s">
        <v>62</v>
      </c>
      <c r="W303">
        <v>0</v>
      </c>
      <c r="X303">
        <v>31.853000000000002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111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105</v>
      </c>
      <c r="AT303" t="s">
        <v>71</v>
      </c>
      <c r="AU303">
        <v>0</v>
      </c>
      <c r="AV303">
        <v>0</v>
      </c>
    </row>
    <row r="304" spans="1:48" x14ac:dyDescent="0.25">
      <c r="A304" t="s">
        <v>1218</v>
      </c>
      <c r="B304" t="s">
        <v>125</v>
      </c>
      <c r="C304" t="s">
        <v>50</v>
      </c>
      <c r="D304">
        <v>440148.22489999997</v>
      </c>
      <c r="E304">
        <v>1828102.5088</v>
      </c>
      <c r="F304">
        <v>34.165999999999997</v>
      </c>
      <c r="G304" t="s">
        <v>1219</v>
      </c>
      <c r="H304" t="s">
        <v>52</v>
      </c>
      <c r="I304">
        <v>34.165999999999997</v>
      </c>
      <c r="J304" t="s">
        <v>53</v>
      </c>
      <c r="K304">
        <v>0</v>
      </c>
      <c r="L304" t="s">
        <v>1220</v>
      </c>
      <c r="M304" s="1" t="s">
        <v>444</v>
      </c>
      <c r="N304">
        <v>-0.22500000000000001</v>
      </c>
      <c r="O304" t="s">
        <v>56</v>
      </c>
      <c r="P304" t="s">
        <v>57</v>
      </c>
      <c r="Q304" t="s">
        <v>109</v>
      </c>
      <c r="R304" t="s">
        <v>59</v>
      </c>
      <c r="S304" t="s">
        <v>1221</v>
      </c>
      <c r="T304" t="s">
        <v>61</v>
      </c>
      <c r="U304">
        <v>1.5294000000000001</v>
      </c>
      <c r="V304" t="s">
        <v>62</v>
      </c>
      <c r="W304">
        <v>0</v>
      </c>
      <c r="X304">
        <v>32.637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111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125</v>
      </c>
      <c r="AT304" t="s">
        <v>71</v>
      </c>
      <c r="AU304">
        <v>0</v>
      </c>
      <c r="AV304">
        <v>0</v>
      </c>
    </row>
    <row r="305" spans="1:48" x14ac:dyDescent="0.25">
      <c r="A305" t="s">
        <v>1222</v>
      </c>
      <c r="B305" t="s">
        <v>125</v>
      </c>
      <c r="C305" t="s">
        <v>50</v>
      </c>
      <c r="D305">
        <v>440168.22489999997</v>
      </c>
      <c r="E305">
        <v>1828102.5088</v>
      </c>
      <c r="F305">
        <v>34.03</v>
      </c>
      <c r="G305" t="s">
        <v>1223</v>
      </c>
      <c r="H305" t="s">
        <v>52</v>
      </c>
      <c r="I305">
        <v>34.03</v>
      </c>
      <c r="J305" t="s">
        <v>53</v>
      </c>
      <c r="K305">
        <v>0</v>
      </c>
      <c r="L305" t="s">
        <v>1220</v>
      </c>
      <c r="M305" s="1" t="s">
        <v>448</v>
      </c>
      <c r="N305">
        <v>-0.22500000000000001</v>
      </c>
      <c r="O305" t="s">
        <v>56</v>
      </c>
      <c r="P305" t="s">
        <v>57</v>
      </c>
      <c r="Q305" t="s">
        <v>109</v>
      </c>
      <c r="R305" t="s">
        <v>59</v>
      </c>
      <c r="S305" t="s">
        <v>1224</v>
      </c>
      <c r="T305" t="s">
        <v>61</v>
      </c>
      <c r="U305">
        <v>1.5290999999999999</v>
      </c>
      <c r="V305" t="s">
        <v>62</v>
      </c>
      <c r="W305">
        <v>0</v>
      </c>
      <c r="X305">
        <v>32.500999999999998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111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125</v>
      </c>
      <c r="AT305" t="s">
        <v>71</v>
      </c>
      <c r="AU305">
        <v>0</v>
      </c>
      <c r="AV305">
        <v>0</v>
      </c>
    </row>
    <row r="306" spans="1:48" x14ac:dyDescent="0.25">
      <c r="A306" t="s">
        <v>1225</v>
      </c>
      <c r="B306" t="s">
        <v>125</v>
      </c>
      <c r="C306" t="s">
        <v>50</v>
      </c>
      <c r="D306">
        <v>440188.22489999997</v>
      </c>
      <c r="E306">
        <v>1828102.5088</v>
      </c>
      <c r="F306">
        <v>33.893999999999998</v>
      </c>
      <c r="G306" t="s">
        <v>1226</v>
      </c>
      <c r="H306" t="s">
        <v>52</v>
      </c>
      <c r="I306">
        <v>33.893999999999998</v>
      </c>
      <c r="J306" t="s">
        <v>53</v>
      </c>
      <c r="K306">
        <v>0</v>
      </c>
      <c r="L306" t="s">
        <v>1220</v>
      </c>
      <c r="M306" s="1" t="s">
        <v>452</v>
      </c>
      <c r="N306">
        <v>-0.22500000000000001</v>
      </c>
      <c r="O306" t="s">
        <v>56</v>
      </c>
      <c r="P306" t="s">
        <v>57</v>
      </c>
      <c r="Q306" t="s">
        <v>109</v>
      </c>
      <c r="R306" t="s">
        <v>59</v>
      </c>
      <c r="S306" t="s">
        <v>1227</v>
      </c>
      <c r="T306" t="s">
        <v>61</v>
      </c>
      <c r="U306">
        <v>1.6448</v>
      </c>
      <c r="V306" t="s">
        <v>62</v>
      </c>
      <c r="W306">
        <v>0</v>
      </c>
      <c r="X306">
        <v>32.249000000000002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111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125</v>
      </c>
      <c r="AT306" t="s">
        <v>71</v>
      </c>
      <c r="AU306">
        <v>0</v>
      </c>
      <c r="AV306">
        <v>0</v>
      </c>
    </row>
    <row r="307" spans="1:48" x14ac:dyDescent="0.25">
      <c r="A307" t="s">
        <v>1228</v>
      </c>
      <c r="B307" t="s">
        <v>105</v>
      </c>
      <c r="C307" t="s">
        <v>50</v>
      </c>
      <c r="D307">
        <v>440198.89980000001</v>
      </c>
      <c r="E307">
        <v>1828102.7338</v>
      </c>
      <c r="F307">
        <v>33.658999999999999</v>
      </c>
      <c r="G307" t="s">
        <v>1229</v>
      </c>
      <c r="H307" t="s">
        <v>52</v>
      </c>
      <c r="I307">
        <v>33.658999999999999</v>
      </c>
      <c r="J307" t="s">
        <v>53</v>
      </c>
      <c r="K307">
        <v>0</v>
      </c>
      <c r="L307" t="s">
        <v>1220</v>
      </c>
      <c r="M307" t="s">
        <v>1230</v>
      </c>
      <c r="N307">
        <v>0</v>
      </c>
      <c r="O307" t="s">
        <v>56</v>
      </c>
      <c r="P307" t="s">
        <v>57</v>
      </c>
      <c r="Q307" t="s">
        <v>59</v>
      </c>
      <c r="R307" t="s">
        <v>109</v>
      </c>
      <c r="S307" t="s">
        <v>1231</v>
      </c>
      <c r="T307" t="s">
        <v>61</v>
      </c>
      <c r="U307">
        <v>1.8250999999999999</v>
      </c>
      <c r="V307" t="s">
        <v>62</v>
      </c>
      <c r="W307">
        <v>0</v>
      </c>
      <c r="X307">
        <v>31.834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111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105</v>
      </c>
      <c r="AT307" t="s">
        <v>71</v>
      </c>
      <c r="AU307">
        <v>0</v>
      </c>
      <c r="AV307">
        <v>0</v>
      </c>
    </row>
    <row r="308" spans="1:48" x14ac:dyDescent="0.25">
      <c r="A308" t="s">
        <v>1232</v>
      </c>
      <c r="B308" t="s">
        <v>125</v>
      </c>
      <c r="C308" t="s">
        <v>50</v>
      </c>
      <c r="D308">
        <v>440148.22489999997</v>
      </c>
      <c r="E308">
        <v>1828091.8588</v>
      </c>
      <c r="F308">
        <v>34.165999999999997</v>
      </c>
      <c r="G308" t="s">
        <v>1233</v>
      </c>
      <c r="H308" t="s">
        <v>52</v>
      </c>
      <c r="I308">
        <v>34.165999999999997</v>
      </c>
      <c r="J308" t="s">
        <v>53</v>
      </c>
      <c r="K308">
        <v>0</v>
      </c>
      <c r="L308" t="s">
        <v>1234</v>
      </c>
      <c r="M308" t="s">
        <v>444</v>
      </c>
      <c r="N308">
        <v>0.22500000000000001</v>
      </c>
      <c r="O308" t="s">
        <v>56</v>
      </c>
      <c r="P308" t="s">
        <v>57</v>
      </c>
      <c r="Q308" t="s">
        <v>109</v>
      </c>
      <c r="R308" t="s">
        <v>59</v>
      </c>
      <c r="S308" t="s">
        <v>1221</v>
      </c>
      <c r="T308" t="s">
        <v>61</v>
      </c>
      <c r="U308">
        <v>1.5294000000000001</v>
      </c>
      <c r="V308" t="s">
        <v>62</v>
      </c>
      <c r="W308">
        <v>0</v>
      </c>
      <c r="X308">
        <v>32.637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111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125</v>
      </c>
      <c r="AT308" t="s">
        <v>71</v>
      </c>
      <c r="AU308">
        <v>0</v>
      </c>
      <c r="AV308">
        <v>0</v>
      </c>
    </row>
    <row r="309" spans="1:48" x14ac:dyDescent="0.25">
      <c r="A309" t="s">
        <v>1235</v>
      </c>
      <c r="B309" t="s">
        <v>125</v>
      </c>
      <c r="C309" t="s">
        <v>50</v>
      </c>
      <c r="D309">
        <v>440168.22489999997</v>
      </c>
      <c r="E309">
        <v>1828091.8588</v>
      </c>
      <c r="F309">
        <v>34.03</v>
      </c>
      <c r="G309" t="s">
        <v>1236</v>
      </c>
      <c r="H309" t="s">
        <v>52</v>
      </c>
      <c r="I309">
        <v>34.03</v>
      </c>
      <c r="J309" t="s">
        <v>53</v>
      </c>
      <c r="K309">
        <v>0</v>
      </c>
      <c r="L309" t="s">
        <v>1234</v>
      </c>
      <c r="M309" t="s">
        <v>448</v>
      </c>
      <c r="N309">
        <v>0.22500000000000001</v>
      </c>
      <c r="O309" t="s">
        <v>56</v>
      </c>
      <c r="P309" t="s">
        <v>57</v>
      </c>
      <c r="Q309" t="s">
        <v>109</v>
      </c>
      <c r="R309" t="s">
        <v>59</v>
      </c>
      <c r="S309" t="s">
        <v>1224</v>
      </c>
      <c r="T309" t="s">
        <v>61</v>
      </c>
      <c r="U309">
        <v>1.5290999999999999</v>
      </c>
      <c r="V309" t="s">
        <v>62</v>
      </c>
      <c r="W309">
        <v>0</v>
      </c>
      <c r="X309">
        <v>32.500999999999998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111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125</v>
      </c>
      <c r="AT309" t="s">
        <v>71</v>
      </c>
      <c r="AU309">
        <v>0</v>
      </c>
      <c r="AV309">
        <v>0</v>
      </c>
    </row>
    <row r="310" spans="1:48" x14ac:dyDescent="0.25">
      <c r="A310" t="s">
        <v>1237</v>
      </c>
      <c r="B310" t="s">
        <v>125</v>
      </c>
      <c r="C310" t="s">
        <v>50</v>
      </c>
      <c r="D310">
        <v>440188.22489999997</v>
      </c>
      <c r="E310">
        <v>1828091.8588</v>
      </c>
      <c r="F310">
        <v>33.893999999999998</v>
      </c>
      <c r="G310" t="s">
        <v>1238</v>
      </c>
      <c r="H310" t="s">
        <v>52</v>
      </c>
      <c r="I310">
        <v>33.893999999999998</v>
      </c>
      <c r="J310" t="s">
        <v>53</v>
      </c>
      <c r="K310">
        <v>0</v>
      </c>
      <c r="L310" t="s">
        <v>1234</v>
      </c>
      <c r="M310" t="s">
        <v>452</v>
      </c>
      <c r="N310">
        <v>0.22500000000000001</v>
      </c>
      <c r="O310" t="s">
        <v>56</v>
      </c>
      <c r="P310" t="s">
        <v>57</v>
      </c>
      <c r="Q310" t="s">
        <v>109</v>
      </c>
      <c r="R310" t="s">
        <v>59</v>
      </c>
      <c r="S310" t="s">
        <v>1239</v>
      </c>
      <c r="T310" t="s">
        <v>61</v>
      </c>
      <c r="U310">
        <v>1.6958</v>
      </c>
      <c r="V310" t="s">
        <v>62</v>
      </c>
      <c r="W310">
        <v>0</v>
      </c>
      <c r="X310">
        <v>32.198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66</v>
      </c>
      <c r="AG310" t="s">
        <v>65</v>
      </c>
      <c r="AH310" t="s">
        <v>65</v>
      </c>
      <c r="AI310" t="s">
        <v>67</v>
      </c>
      <c r="AK310" t="s">
        <v>111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125</v>
      </c>
      <c r="AT310" t="s">
        <v>71</v>
      </c>
      <c r="AU310">
        <v>0</v>
      </c>
      <c r="AV310">
        <v>0</v>
      </c>
    </row>
    <row r="311" spans="1:48" x14ac:dyDescent="0.25">
      <c r="A311" t="s">
        <v>1240</v>
      </c>
      <c r="B311" t="s">
        <v>105</v>
      </c>
      <c r="C311" t="s">
        <v>50</v>
      </c>
      <c r="D311">
        <v>440198.89980000001</v>
      </c>
      <c r="E311">
        <v>1828091.6338</v>
      </c>
      <c r="F311">
        <v>33.604999999999997</v>
      </c>
      <c r="G311" t="s">
        <v>1241</v>
      </c>
      <c r="H311" t="s">
        <v>52</v>
      </c>
      <c r="I311">
        <v>33.604999999999997</v>
      </c>
      <c r="J311" t="s">
        <v>53</v>
      </c>
      <c r="K311">
        <v>0</v>
      </c>
      <c r="L311" t="s">
        <v>1234</v>
      </c>
      <c r="M311" t="s">
        <v>1230</v>
      </c>
      <c r="N311">
        <v>0</v>
      </c>
      <c r="O311" t="s">
        <v>56</v>
      </c>
      <c r="P311" t="s">
        <v>57</v>
      </c>
      <c r="Q311" t="s">
        <v>59</v>
      </c>
      <c r="R311" t="s">
        <v>109</v>
      </c>
      <c r="S311" t="s">
        <v>1242</v>
      </c>
      <c r="T311" t="s">
        <v>61</v>
      </c>
      <c r="U311">
        <v>1.9311</v>
      </c>
      <c r="V311" t="s">
        <v>62</v>
      </c>
      <c r="W311">
        <v>0</v>
      </c>
      <c r="X311">
        <v>31.673999999999999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111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105</v>
      </c>
      <c r="AT311" t="s">
        <v>71</v>
      </c>
      <c r="AU311">
        <v>0</v>
      </c>
      <c r="AV311">
        <v>0</v>
      </c>
    </row>
    <row r="312" spans="1:48" x14ac:dyDescent="0.25">
      <c r="A312" t="s">
        <v>1243</v>
      </c>
      <c r="B312" t="s">
        <v>105</v>
      </c>
      <c r="C312" t="s">
        <v>50</v>
      </c>
      <c r="D312">
        <v>440198.89980000001</v>
      </c>
      <c r="E312">
        <v>1828081.8171000001</v>
      </c>
      <c r="F312">
        <v>33.581000000000003</v>
      </c>
      <c r="G312" t="s">
        <v>1244</v>
      </c>
      <c r="H312" t="s">
        <v>52</v>
      </c>
      <c r="I312">
        <v>33.581000000000003</v>
      </c>
      <c r="J312" t="s">
        <v>53</v>
      </c>
      <c r="K312">
        <v>0</v>
      </c>
      <c r="L312" t="s">
        <v>146</v>
      </c>
      <c r="M312" t="s">
        <v>1245</v>
      </c>
      <c r="N312">
        <v>0</v>
      </c>
      <c r="O312" t="s">
        <v>56</v>
      </c>
      <c r="P312" t="s">
        <v>57</v>
      </c>
      <c r="Q312" t="s">
        <v>59</v>
      </c>
      <c r="R312" t="s">
        <v>109</v>
      </c>
      <c r="S312" t="s">
        <v>1246</v>
      </c>
      <c r="T312" t="s">
        <v>61</v>
      </c>
      <c r="U312">
        <v>1.9175</v>
      </c>
      <c r="V312" t="s">
        <v>62</v>
      </c>
      <c r="W312">
        <v>0</v>
      </c>
      <c r="X312">
        <v>31.663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111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105</v>
      </c>
      <c r="AT312" t="s">
        <v>71</v>
      </c>
      <c r="AU312">
        <v>0</v>
      </c>
      <c r="AV312">
        <v>0</v>
      </c>
    </row>
    <row r="313" spans="1:48" x14ac:dyDescent="0.25">
      <c r="A313" t="s">
        <v>1247</v>
      </c>
      <c r="B313" t="s">
        <v>105</v>
      </c>
      <c r="C313" t="s">
        <v>50</v>
      </c>
      <c r="D313">
        <v>440198.89980000001</v>
      </c>
      <c r="E313">
        <v>1828061.8171000001</v>
      </c>
      <c r="F313">
        <v>33.484000000000002</v>
      </c>
      <c r="G313" t="s">
        <v>1248</v>
      </c>
      <c r="H313" t="s">
        <v>52</v>
      </c>
      <c r="I313">
        <v>33.484000000000002</v>
      </c>
      <c r="J313" t="s">
        <v>53</v>
      </c>
      <c r="K313">
        <v>0</v>
      </c>
      <c r="L313" t="s">
        <v>146</v>
      </c>
      <c r="M313" t="s">
        <v>1249</v>
      </c>
      <c r="N313">
        <v>0</v>
      </c>
      <c r="O313" t="s">
        <v>56</v>
      </c>
      <c r="P313" t="s">
        <v>57</v>
      </c>
      <c r="Q313" t="s">
        <v>59</v>
      </c>
      <c r="R313" t="s">
        <v>109</v>
      </c>
      <c r="S313" t="s">
        <v>1250</v>
      </c>
      <c r="T313" t="s">
        <v>61</v>
      </c>
      <c r="U313">
        <v>1.8409</v>
      </c>
      <c r="V313" t="s">
        <v>62</v>
      </c>
      <c r="W313">
        <v>0</v>
      </c>
      <c r="X313">
        <v>31.643000000000001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111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105</v>
      </c>
      <c r="AT313" t="s">
        <v>71</v>
      </c>
      <c r="AU313">
        <v>0</v>
      </c>
      <c r="AV313">
        <v>0</v>
      </c>
    </row>
    <row r="314" spans="1:48" x14ac:dyDescent="0.25">
      <c r="A314" t="s">
        <v>1251</v>
      </c>
      <c r="B314" t="s">
        <v>105</v>
      </c>
      <c r="C314" t="s">
        <v>50</v>
      </c>
      <c r="D314">
        <v>440198.89980000001</v>
      </c>
      <c r="E314">
        <v>1828041.8171000001</v>
      </c>
      <c r="F314">
        <v>33.343000000000004</v>
      </c>
      <c r="G314" t="s">
        <v>1252</v>
      </c>
      <c r="H314" t="s">
        <v>52</v>
      </c>
      <c r="I314">
        <v>33.343000000000004</v>
      </c>
      <c r="J314" t="s">
        <v>53</v>
      </c>
      <c r="K314">
        <v>0</v>
      </c>
      <c r="L314" t="s">
        <v>146</v>
      </c>
      <c r="M314" t="s">
        <v>1253</v>
      </c>
      <c r="N314">
        <v>0</v>
      </c>
      <c r="O314" t="s">
        <v>56</v>
      </c>
      <c r="P314" t="s">
        <v>57</v>
      </c>
      <c r="Q314" t="s">
        <v>59</v>
      </c>
      <c r="R314" t="s">
        <v>109</v>
      </c>
      <c r="S314" t="s">
        <v>1254</v>
      </c>
      <c r="T314" t="s">
        <v>61</v>
      </c>
      <c r="U314">
        <v>1.7198</v>
      </c>
      <c r="V314" t="s">
        <v>62</v>
      </c>
      <c r="W314">
        <v>0</v>
      </c>
      <c r="X314">
        <v>31.623000000000001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111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105</v>
      </c>
      <c r="AT314" t="s">
        <v>71</v>
      </c>
      <c r="AU314">
        <v>0</v>
      </c>
      <c r="AV314">
        <v>0</v>
      </c>
    </row>
    <row r="315" spans="1:48" x14ac:dyDescent="0.25">
      <c r="A315" t="s">
        <v>1255</v>
      </c>
      <c r="B315" t="s">
        <v>105</v>
      </c>
      <c r="C315" t="s">
        <v>50</v>
      </c>
      <c r="D315">
        <v>440198.89980000001</v>
      </c>
      <c r="E315">
        <v>1828021.8171000001</v>
      </c>
      <c r="F315">
        <v>33.290999999999997</v>
      </c>
      <c r="G315" t="s">
        <v>1256</v>
      </c>
      <c r="H315" t="s">
        <v>52</v>
      </c>
      <c r="I315">
        <v>33.290999999999997</v>
      </c>
      <c r="J315" t="s">
        <v>53</v>
      </c>
      <c r="K315">
        <v>0</v>
      </c>
      <c r="L315" t="s">
        <v>146</v>
      </c>
      <c r="M315" t="s">
        <v>1257</v>
      </c>
      <c r="N315">
        <v>0</v>
      </c>
      <c r="O315" t="s">
        <v>56</v>
      </c>
      <c r="P315" t="s">
        <v>57</v>
      </c>
      <c r="Q315" t="s">
        <v>59</v>
      </c>
      <c r="R315" t="s">
        <v>109</v>
      </c>
      <c r="S315" t="s">
        <v>1258</v>
      </c>
      <c r="T315" t="s">
        <v>61</v>
      </c>
      <c r="U315">
        <v>1.6877</v>
      </c>
      <c r="V315" t="s">
        <v>62</v>
      </c>
      <c r="W315">
        <v>0</v>
      </c>
      <c r="X315">
        <v>31.603000000000002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111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105</v>
      </c>
      <c r="AT315" t="s">
        <v>71</v>
      </c>
      <c r="AU315">
        <v>0</v>
      </c>
      <c r="AV315">
        <v>0</v>
      </c>
    </row>
    <row r="316" spans="1:48" x14ac:dyDescent="0.25">
      <c r="A316" t="s">
        <v>1259</v>
      </c>
      <c r="B316" t="s">
        <v>105</v>
      </c>
      <c r="C316" t="s">
        <v>50</v>
      </c>
      <c r="D316">
        <v>440198.89980000001</v>
      </c>
      <c r="E316">
        <v>1828001.8171000001</v>
      </c>
      <c r="F316">
        <v>33.194000000000003</v>
      </c>
      <c r="G316" t="s">
        <v>1260</v>
      </c>
      <c r="H316" t="s">
        <v>52</v>
      </c>
      <c r="I316">
        <v>33.194000000000003</v>
      </c>
      <c r="J316" t="s">
        <v>53</v>
      </c>
      <c r="K316">
        <v>0</v>
      </c>
      <c r="L316" t="s">
        <v>146</v>
      </c>
      <c r="M316" t="s">
        <v>1261</v>
      </c>
      <c r="N316">
        <v>0</v>
      </c>
      <c r="O316" t="s">
        <v>56</v>
      </c>
      <c r="P316" t="s">
        <v>57</v>
      </c>
      <c r="Q316" t="s">
        <v>59</v>
      </c>
      <c r="R316" t="s">
        <v>109</v>
      </c>
      <c r="S316" t="s">
        <v>1262</v>
      </c>
      <c r="T316" t="s">
        <v>61</v>
      </c>
      <c r="U316">
        <v>1.6391</v>
      </c>
      <c r="V316" t="s">
        <v>62</v>
      </c>
      <c r="W316">
        <v>0</v>
      </c>
      <c r="X316">
        <v>31.555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111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105</v>
      </c>
      <c r="AT316" t="s">
        <v>71</v>
      </c>
      <c r="AU316">
        <v>0</v>
      </c>
      <c r="AV316">
        <v>0</v>
      </c>
    </row>
    <row r="317" spans="1:48" x14ac:dyDescent="0.25">
      <c r="A317" t="s">
        <v>1263</v>
      </c>
      <c r="B317" t="s">
        <v>105</v>
      </c>
      <c r="C317" t="s">
        <v>50</v>
      </c>
      <c r="D317">
        <v>440198.89980000001</v>
      </c>
      <c r="E317">
        <v>1827981.8171000001</v>
      </c>
      <c r="F317">
        <v>33.097999999999999</v>
      </c>
      <c r="G317" t="s">
        <v>1264</v>
      </c>
      <c r="H317" t="s">
        <v>52</v>
      </c>
      <c r="I317">
        <v>33.097999999999999</v>
      </c>
      <c r="J317" t="s">
        <v>53</v>
      </c>
      <c r="K317">
        <v>0</v>
      </c>
      <c r="L317" t="s">
        <v>146</v>
      </c>
      <c r="M317" t="s">
        <v>1265</v>
      </c>
      <c r="N317">
        <v>0</v>
      </c>
      <c r="O317" t="s">
        <v>56</v>
      </c>
      <c r="P317" t="s">
        <v>57</v>
      </c>
      <c r="Q317" t="s">
        <v>59</v>
      </c>
      <c r="R317" t="s">
        <v>109</v>
      </c>
      <c r="S317" t="s">
        <v>1266</v>
      </c>
      <c r="T317" t="s">
        <v>61</v>
      </c>
      <c r="U317">
        <v>1.6395999999999999</v>
      </c>
      <c r="V317" t="s">
        <v>62</v>
      </c>
      <c r="W317">
        <v>0</v>
      </c>
      <c r="X317">
        <v>31.457999999999998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111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105</v>
      </c>
      <c r="AT317" t="s">
        <v>71</v>
      </c>
      <c r="AU317">
        <v>0</v>
      </c>
      <c r="AV317">
        <v>0</v>
      </c>
    </row>
    <row r="318" spans="1:48" x14ac:dyDescent="0.25">
      <c r="A318" t="s">
        <v>1267</v>
      </c>
      <c r="B318" t="s">
        <v>105</v>
      </c>
      <c r="C318" t="s">
        <v>50</v>
      </c>
      <c r="D318">
        <v>440198.89980000001</v>
      </c>
      <c r="E318">
        <v>1827961.8171000001</v>
      </c>
      <c r="F318">
        <v>33.000999999999998</v>
      </c>
      <c r="G318" t="s">
        <v>1268</v>
      </c>
      <c r="H318" t="s">
        <v>52</v>
      </c>
      <c r="I318">
        <v>33.000999999999998</v>
      </c>
      <c r="J318" t="s">
        <v>53</v>
      </c>
      <c r="K318">
        <v>0</v>
      </c>
      <c r="L318" t="s">
        <v>146</v>
      </c>
      <c r="M318" t="s">
        <v>1269</v>
      </c>
      <c r="N318">
        <v>0</v>
      </c>
      <c r="O318" t="s">
        <v>56</v>
      </c>
      <c r="P318" t="s">
        <v>57</v>
      </c>
      <c r="Q318" t="s">
        <v>59</v>
      </c>
      <c r="R318" t="s">
        <v>109</v>
      </c>
      <c r="S318" t="s">
        <v>1270</v>
      </c>
      <c r="T318" t="s">
        <v>61</v>
      </c>
      <c r="U318">
        <v>1.639</v>
      </c>
      <c r="V318" t="s">
        <v>62</v>
      </c>
      <c r="W318">
        <v>0</v>
      </c>
      <c r="X318">
        <v>31.361999999999998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111</v>
      </c>
      <c r="AG318" t="s">
        <v>65</v>
      </c>
      <c r="AH318" t="s">
        <v>65</v>
      </c>
      <c r="AI318" t="s">
        <v>67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105</v>
      </c>
      <c r="AT318" t="s">
        <v>71</v>
      </c>
      <c r="AU318">
        <v>0</v>
      </c>
      <c r="AV318">
        <v>0</v>
      </c>
    </row>
    <row r="319" spans="1:48" x14ac:dyDescent="0.25">
      <c r="A319" t="s">
        <v>1271</v>
      </c>
      <c r="B319" t="s">
        <v>105</v>
      </c>
      <c r="C319" t="s">
        <v>50</v>
      </c>
      <c r="D319">
        <v>440198.89980000001</v>
      </c>
      <c r="E319">
        <v>1827941.8171000001</v>
      </c>
      <c r="F319">
        <v>32.904000000000003</v>
      </c>
      <c r="G319" t="s">
        <v>1272</v>
      </c>
      <c r="H319" t="s">
        <v>52</v>
      </c>
      <c r="I319">
        <v>32.904000000000003</v>
      </c>
      <c r="J319" t="s">
        <v>53</v>
      </c>
      <c r="K319">
        <v>0</v>
      </c>
      <c r="L319" t="s">
        <v>146</v>
      </c>
      <c r="M319" t="s">
        <v>1273</v>
      </c>
      <c r="N319">
        <v>0</v>
      </c>
      <c r="O319" t="s">
        <v>56</v>
      </c>
      <c r="P319" t="s">
        <v>57</v>
      </c>
      <c r="Q319" t="s">
        <v>59</v>
      </c>
      <c r="R319" t="s">
        <v>109</v>
      </c>
      <c r="S319" t="s">
        <v>1274</v>
      </c>
      <c r="T319" t="s">
        <v>61</v>
      </c>
      <c r="U319">
        <v>1.6394</v>
      </c>
      <c r="V319" t="s">
        <v>62</v>
      </c>
      <c r="W319">
        <v>0</v>
      </c>
      <c r="X319">
        <v>31.265000000000001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111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105</v>
      </c>
      <c r="AT319" t="s">
        <v>71</v>
      </c>
      <c r="AU319">
        <v>0</v>
      </c>
      <c r="AV319">
        <v>0</v>
      </c>
    </row>
    <row r="320" spans="1:48" x14ac:dyDescent="0.25">
      <c r="A320" t="s">
        <v>1275</v>
      </c>
      <c r="B320" t="s">
        <v>105</v>
      </c>
      <c r="C320" t="s">
        <v>50</v>
      </c>
      <c r="D320">
        <v>440198.89980000001</v>
      </c>
      <c r="E320">
        <v>1827921.8171000001</v>
      </c>
      <c r="F320">
        <v>32.808</v>
      </c>
      <c r="G320" t="s">
        <v>1276</v>
      </c>
      <c r="H320" t="s">
        <v>52</v>
      </c>
      <c r="I320">
        <v>32.808</v>
      </c>
      <c r="J320" t="s">
        <v>53</v>
      </c>
      <c r="K320">
        <v>0</v>
      </c>
      <c r="L320" t="s">
        <v>146</v>
      </c>
      <c r="M320" t="s">
        <v>1277</v>
      </c>
      <c r="N320">
        <v>0</v>
      </c>
      <c r="O320" t="s">
        <v>56</v>
      </c>
      <c r="P320" t="s">
        <v>57</v>
      </c>
      <c r="Q320" t="s">
        <v>59</v>
      </c>
      <c r="R320" t="s">
        <v>109</v>
      </c>
      <c r="S320" t="s">
        <v>1278</v>
      </c>
      <c r="T320" t="s">
        <v>61</v>
      </c>
      <c r="U320">
        <v>1.6388</v>
      </c>
      <c r="V320" t="s">
        <v>62</v>
      </c>
      <c r="W320">
        <v>0</v>
      </c>
      <c r="X320">
        <v>31.169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111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105</v>
      </c>
      <c r="AT320" t="s">
        <v>71</v>
      </c>
      <c r="AU320">
        <v>0</v>
      </c>
      <c r="AV320">
        <v>0</v>
      </c>
    </row>
    <row r="321" spans="1:48" x14ac:dyDescent="0.25">
      <c r="A321" t="s">
        <v>1279</v>
      </c>
      <c r="B321" t="s">
        <v>105</v>
      </c>
      <c r="C321" t="s">
        <v>50</v>
      </c>
      <c r="D321">
        <v>440198.89980000001</v>
      </c>
      <c r="E321">
        <v>1827901.8171000001</v>
      </c>
      <c r="F321">
        <v>32.710999999999999</v>
      </c>
      <c r="G321" t="s">
        <v>1280</v>
      </c>
      <c r="H321" t="s">
        <v>52</v>
      </c>
      <c r="I321">
        <v>32.710999999999999</v>
      </c>
      <c r="J321" t="s">
        <v>53</v>
      </c>
      <c r="K321">
        <v>0</v>
      </c>
      <c r="L321" t="s">
        <v>146</v>
      </c>
      <c r="M321" t="s">
        <v>1281</v>
      </c>
      <c r="N321">
        <v>0</v>
      </c>
      <c r="O321" t="s">
        <v>56</v>
      </c>
      <c r="P321" t="s">
        <v>57</v>
      </c>
      <c r="Q321" t="s">
        <v>59</v>
      </c>
      <c r="R321" t="s">
        <v>109</v>
      </c>
      <c r="S321" t="s">
        <v>1282</v>
      </c>
      <c r="T321" t="s">
        <v>61</v>
      </c>
      <c r="U321">
        <v>1.6392</v>
      </c>
      <c r="V321" t="s">
        <v>62</v>
      </c>
      <c r="W321">
        <v>0</v>
      </c>
      <c r="X321">
        <v>31.071999999999999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111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105</v>
      </c>
      <c r="AT321" t="s">
        <v>71</v>
      </c>
      <c r="AU321">
        <v>0</v>
      </c>
      <c r="AV321">
        <v>0</v>
      </c>
    </row>
    <row r="322" spans="1:48" x14ac:dyDescent="0.25">
      <c r="A322" t="s">
        <v>1283</v>
      </c>
      <c r="B322" t="s">
        <v>105</v>
      </c>
      <c r="C322" t="s">
        <v>50</v>
      </c>
      <c r="D322">
        <v>440198.89980000001</v>
      </c>
      <c r="E322">
        <v>1827881.8171000001</v>
      </c>
      <c r="F322">
        <v>32.615000000000002</v>
      </c>
      <c r="G322" t="s">
        <v>1284</v>
      </c>
      <c r="H322" t="s">
        <v>52</v>
      </c>
      <c r="I322">
        <v>32.615000000000002</v>
      </c>
      <c r="J322" t="s">
        <v>53</v>
      </c>
      <c r="K322">
        <v>0</v>
      </c>
      <c r="L322" t="s">
        <v>146</v>
      </c>
      <c r="M322" t="s">
        <v>1285</v>
      </c>
      <c r="N322">
        <v>0</v>
      </c>
      <c r="O322" t="s">
        <v>56</v>
      </c>
      <c r="P322" t="s">
        <v>57</v>
      </c>
      <c r="Q322" t="s">
        <v>59</v>
      </c>
      <c r="R322" t="s">
        <v>109</v>
      </c>
      <c r="S322" t="s">
        <v>1286</v>
      </c>
      <c r="T322" t="s">
        <v>61</v>
      </c>
      <c r="U322">
        <v>1.6566000000000001</v>
      </c>
      <c r="V322" t="s">
        <v>62</v>
      </c>
      <c r="W322">
        <v>0</v>
      </c>
      <c r="X322">
        <v>30.957999999999998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111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105</v>
      </c>
      <c r="AT322" t="s">
        <v>71</v>
      </c>
      <c r="AU322">
        <v>0</v>
      </c>
      <c r="AV322">
        <v>0</v>
      </c>
    </row>
    <row r="323" spans="1:48" x14ac:dyDescent="0.25">
      <c r="A323" t="s">
        <v>1287</v>
      </c>
      <c r="B323" t="s">
        <v>125</v>
      </c>
      <c r="C323" t="s">
        <v>50</v>
      </c>
      <c r="D323">
        <v>440148.22489999997</v>
      </c>
      <c r="E323">
        <v>1827864.2490999999</v>
      </c>
      <c r="F323">
        <v>32.932000000000002</v>
      </c>
      <c r="G323" t="s">
        <v>1288</v>
      </c>
      <c r="H323" t="s">
        <v>52</v>
      </c>
      <c r="I323">
        <v>32.932000000000002</v>
      </c>
      <c r="J323" t="s">
        <v>53</v>
      </c>
      <c r="K323">
        <v>0</v>
      </c>
      <c r="L323" t="s">
        <v>1289</v>
      </c>
      <c r="M323" t="s">
        <v>444</v>
      </c>
      <c r="N323">
        <v>-0.2266</v>
      </c>
      <c r="O323" t="s">
        <v>56</v>
      </c>
      <c r="P323" t="s">
        <v>57</v>
      </c>
      <c r="Q323" t="s">
        <v>109</v>
      </c>
      <c r="R323" t="s">
        <v>59</v>
      </c>
      <c r="S323" t="s">
        <v>1197</v>
      </c>
      <c r="T323" t="s">
        <v>61</v>
      </c>
      <c r="U323">
        <v>1.5014000000000001</v>
      </c>
      <c r="V323" t="s">
        <v>62</v>
      </c>
      <c r="W323">
        <v>0</v>
      </c>
      <c r="X323">
        <v>31.431000000000001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111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125</v>
      </c>
      <c r="AT323" t="s">
        <v>71</v>
      </c>
      <c r="AU323">
        <v>0</v>
      </c>
      <c r="AV323">
        <v>0</v>
      </c>
    </row>
    <row r="324" spans="1:48" x14ac:dyDescent="0.25">
      <c r="A324" t="s">
        <v>1290</v>
      </c>
      <c r="B324" t="s">
        <v>125</v>
      </c>
      <c r="C324" t="s">
        <v>50</v>
      </c>
      <c r="D324">
        <v>440168.22489999997</v>
      </c>
      <c r="E324">
        <v>1827864.2490999999</v>
      </c>
      <c r="F324">
        <v>32.823999999999998</v>
      </c>
      <c r="G324" t="s">
        <v>1291</v>
      </c>
      <c r="H324" t="s">
        <v>52</v>
      </c>
      <c r="I324">
        <v>32.823999999999998</v>
      </c>
      <c r="J324" t="s">
        <v>53</v>
      </c>
      <c r="K324">
        <v>0</v>
      </c>
      <c r="L324" t="s">
        <v>1289</v>
      </c>
      <c r="M324" t="s">
        <v>448</v>
      </c>
      <c r="N324">
        <v>-0.2266</v>
      </c>
      <c r="O324" t="s">
        <v>56</v>
      </c>
      <c r="P324" t="s">
        <v>57</v>
      </c>
      <c r="Q324" t="s">
        <v>109</v>
      </c>
      <c r="R324" t="s">
        <v>59</v>
      </c>
      <c r="S324" t="s">
        <v>1201</v>
      </c>
      <c r="T324" t="s">
        <v>61</v>
      </c>
      <c r="U324">
        <v>1.5011000000000001</v>
      </c>
      <c r="V324" t="s">
        <v>62</v>
      </c>
      <c r="W324">
        <v>0</v>
      </c>
      <c r="X324">
        <v>31.323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111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125</v>
      </c>
      <c r="AT324" t="s">
        <v>71</v>
      </c>
      <c r="AU324">
        <v>0</v>
      </c>
      <c r="AV324">
        <v>0</v>
      </c>
    </row>
    <row r="325" spans="1:48" x14ac:dyDescent="0.25">
      <c r="A325" t="s">
        <v>1292</v>
      </c>
      <c r="B325" t="s">
        <v>125</v>
      </c>
      <c r="C325" t="s">
        <v>50</v>
      </c>
      <c r="D325">
        <v>440188.22489999997</v>
      </c>
      <c r="E325">
        <v>1827864.2490999999</v>
      </c>
      <c r="F325">
        <v>32.716000000000001</v>
      </c>
      <c r="G325" t="s">
        <v>1293</v>
      </c>
      <c r="H325" t="s">
        <v>52</v>
      </c>
      <c r="I325">
        <v>32.716000000000001</v>
      </c>
      <c r="J325" t="s">
        <v>53</v>
      </c>
      <c r="K325">
        <v>0</v>
      </c>
      <c r="L325" t="s">
        <v>1289</v>
      </c>
      <c r="M325" t="s">
        <v>452</v>
      </c>
      <c r="N325">
        <v>-0.2266</v>
      </c>
      <c r="O325" t="s">
        <v>56</v>
      </c>
      <c r="P325" t="s">
        <v>57</v>
      </c>
      <c r="Q325" t="s">
        <v>109</v>
      </c>
      <c r="R325" t="s">
        <v>59</v>
      </c>
      <c r="S325" t="s">
        <v>1294</v>
      </c>
      <c r="T325" t="s">
        <v>61</v>
      </c>
      <c r="U325">
        <v>1.6288</v>
      </c>
      <c r="V325" t="s">
        <v>62</v>
      </c>
      <c r="W325">
        <v>0</v>
      </c>
      <c r="X325">
        <v>31.087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111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125</v>
      </c>
      <c r="AT325" t="s">
        <v>71</v>
      </c>
      <c r="AU325">
        <v>0</v>
      </c>
      <c r="AV325">
        <v>0</v>
      </c>
    </row>
    <row r="326" spans="1:48" x14ac:dyDescent="0.25">
      <c r="A326" t="s">
        <v>1295</v>
      </c>
      <c r="B326" t="s">
        <v>105</v>
      </c>
      <c r="C326" t="s">
        <v>50</v>
      </c>
      <c r="D326">
        <v>440198.89980000001</v>
      </c>
      <c r="E326">
        <v>1827864.4741</v>
      </c>
      <c r="F326">
        <v>32.497999999999998</v>
      </c>
      <c r="G326" t="s">
        <v>1296</v>
      </c>
      <c r="H326" t="s">
        <v>52</v>
      </c>
      <c r="I326">
        <v>32.497999999999998</v>
      </c>
      <c r="J326" t="s">
        <v>53</v>
      </c>
      <c r="K326">
        <v>0</v>
      </c>
      <c r="L326" t="s">
        <v>1289</v>
      </c>
      <c r="M326" t="s">
        <v>1230</v>
      </c>
      <c r="N326">
        <v>-1.6000000000000001E-3</v>
      </c>
      <c r="O326" t="s">
        <v>56</v>
      </c>
      <c r="P326" t="s">
        <v>57</v>
      </c>
      <c r="Q326" t="s">
        <v>59</v>
      </c>
      <c r="R326" t="s">
        <v>109</v>
      </c>
      <c r="S326" t="s">
        <v>1297</v>
      </c>
      <c r="T326" t="s">
        <v>61</v>
      </c>
      <c r="U326">
        <v>1.6127</v>
      </c>
      <c r="V326" t="s">
        <v>62</v>
      </c>
      <c r="W326">
        <v>0</v>
      </c>
      <c r="X326">
        <v>30.885000000000002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111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105</v>
      </c>
      <c r="AT326" t="s">
        <v>71</v>
      </c>
      <c r="AU326">
        <v>0</v>
      </c>
      <c r="AV326">
        <v>0</v>
      </c>
    </row>
    <row r="327" spans="1:48" x14ac:dyDescent="0.25">
      <c r="A327" t="s">
        <v>1298</v>
      </c>
      <c r="B327" t="s">
        <v>105</v>
      </c>
      <c r="C327" t="s">
        <v>50</v>
      </c>
      <c r="D327">
        <v>440198.89980000001</v>
      </c>
      <c r="E327">
        <v>1827853.7742000001</v>
      </c>
      <c r="F327">
        <v>32.445999999999998</v>
      </c>
      <c r="G327" t="s">
        <v>1299</v>
      </c>
      <c r="H327" t="s">
        <v>52</v>
      </c>
      <c r="I327">
        <v>32.445999999999998</v>
      </c>
      <c r="J327" t="s">
        <v>53</v>
      </c>
      <c r="K327">
        <v>0</v>
      </c>
      <c r="L327" t="s">
        <v>227</v>
      </c>
      <c r="M327" t="s">
        <v>1300</v>
      </c>
      <c r="N327">
        <v>0.40010000000000001</v>
      </c>
      <c r="O327" t="s">
        <v>56</v>
      </c>
      <c r="P327" t="s">
        <v>57</v>
      </c>
      <c r="Q327" t="s">
        <v>59</v>
      </c>
      <c r="R327" t="s">
        <v>109</v>
      </c>
      <c r="S327" t="s">
        <v>1301</v>
      </c>
      <c r="T327" t="s">
        <v>61</v>
      </c>
      <c r="U327">
        <v>1.5921000000000001</v>
      </c>
      <c r="V327" t="s">
        <v>62</v>
      </c>
      <c r="W327">
        <v>0</v>
      </c>
      <c r="X327">
        <v>30.853999999999999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111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105</v>
      </c>
      <c r="AT327" t="s">
        <v>71</v>
      </c>
      <c r="AU327">
        <v>0</v>
      </c>
      <c r="AV327">
        <v>0</v>
      </c>
    </row>
    <row r="328" spans="1:48" x14ac:dyDescent="0.25">
      <c r="A328" t="s">
        <v>1302</v>
      </c>
      <c r="B328" t="s">
        <v>105</v>
      </c>
      <c r="C328" t="s">
        <v>50</v>
      </c>
      <c r="D328">
        <v>440198.89980000001</v>
      </c>
      <c r="E328">
        <v>1827841.8171000001</v>
      </c>
      <c r="F328">
        <v>32.420999999999999</v>
      </c>
      <c r="G328" t="s">
        <v>1303</v>
      </c>
      <c r="H328" t="s">
        <v>52</v>
      </c>
      <c r="I328">
        <v>32.420999999999999</v>
      </c>
      <c r="J328" t="s">
        <v>53</v>
      </c>
      <c r="K328">
        <v>0</v>
      </c>
      <c r="L328" t="s">
        <v>146</v>
      </c>
      <c r="M328" t="s">
        <v>1304</v>
      </c>
      <c r="N328">
        <v>0</v>
      </c>
      <c r="O328" t="s">
        <v>56</v>
      </c>
      <c r="P328" t="s">
        <v>57</v>
      </c>
      <c r="Q328" t="s">
        <v>59</v>
      </c>
      <c r="R328" t="s">
        <v>109</v>
      </c>
      <c r="S328" t="s">
        <v>1305</v>
      </c>
      <c r="T328" t="s">
        <v>61</v>
      </c>
      <c r="U328">
        <v>1.6394</v>
      </c>
      <c r="V328" t="s">
        <v>62</v>
      </c>
      <c r="W328">
        <v>0</v>
      </c>
      <c r="X328">
        <v>30.782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111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105</v>
      </c>
      <c r="AT328" t="s">
        <v>71</v>
      </c>
      <c r="AU328">
        <v>0</v>
      </c>
      <c r="AV328">
        <v>0</v>
      </c>
    </row>
    <row r="329" spans="1:48" x14ac:dyDescent="0.25">
      <c r="A329" t="s">
        <v>1306</v>
      </c>
      <c r="B329" t="s">
        <v>105</v>
      </c>
      <c r="C329" t="s">
        <v>50</v>
      </c>
      <c r="D329">
        <v>440198.89980000001</v>
      </c>
      <c r="E329">
        <v>1827821.8171000001</v>
      </c>
      <c r="F329">
        <v>32.325000000000003</v>
      </c>
      <c r="G329" t="s">
        <v>1307</v>
      </c>
      <c r="H329" t="s">
        <v>52</v>
      </c>
      <c r="I329">
        <v>32.325000000000003</v>
      </c>
      <c r="J329" t="s">
        <v>53</v>
      </c>
      <c r="K329">
        <v>0</v>
      </c>
      <c r="L329" t="s">
        <v>146</v>
      </c>
      <c r="M329" t="s">
        <v>1308</v>
      </c>
      <c r="N329">
        <v>0</v>
      </c>
      <c r="O329" t="s">
        <v>56</v>
      </c>
      <c r="P329" t="s">
        <v>57</v>
      </c>
      <c r="Q329" t="s">
        <v>59</v>
      </c>
      <c r="R329" t="s">
        <v>109</v>
      </c>
      <c r="S329" t="s">
        <v>1309</v>
      </c>
      <c r="T329" t="s">
        <v>61</v>
      </c>
      <c r="U329">
        <v>1.6388</v>
      </c>
      <c r="V329" t="s">
        <v>62</v>
      </c>
      <c r="W329">
        <v>0</v>
      </c>
      <c r="X329">
        <v>30.686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111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105</v>
      </c>
      <c r="AT329" t="s">
        <v>71</v>
      </c>
      <c r="AU329">
        <v>0</v>
      </c>
      <c r="AV329">
        <v>0</v>
      </c>
    </row>
    <row r="330" spans="1:48" x14ac:dyDescent="0.25">
      <c r="A330" t="s">
        <v>1310</v>
      </c>
      <c r="B330" t="s">
        <v>105</v>
      </c>
      <c r="C330" t="s">
        <v>50</v>
      </c>
      <c r="D330">
        <v>440198.89980000001</v>
      </c>
      <c r="E330">
        <v>1827801.8171000001</v>
      </c>
      <c r="F330">
        <v>32.228000000000002</v>
      </c>
      <c r="G330" t="s">
        <v>1311</v>
      </c>
      <c r="H330" t="s">
        <v>52</v>
      </c>
      <c r="I330">
        <v>32.228000000000002</v>
      </c>
      <c r="J330" t="s">
        <v>53</v>
      </c>
      <c r="K330">
        <v>0</v>
      </c>
      <c r="L330" t="s">
        <v>146</v>
      </c>
      <c r="M330" t="s">
        <v>1312</v>
      </c>
      <c r="N330">
        <v>0</v>
      </c>
      <c r="O330" t="s">
        <v>56</v>
      </c>
      <c r="P330" t="s">
        <v>57</v>
      </c>
      <c r="Q330" t="s">
        <v>59</v>
      </c>
      <c r="R330" t="s">
        <v>109</v>
      </c>
      <c r="S330" t="s">
        <v>1313</v>
      </c>
      <c r="T330" t="s">
        <v>61</v>
      </c>
      <c r="U330">
        <v>1.6392</v>
      </c>
      <c r="V330" t="s">
        <v>62</v>
      </c>
      <c r="W330">
        <v>0</v>
      </c>
      <c r="X330">
        <v>30.588999999999999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111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105</v>
      </c>
      <c r="AT330" t="s">
        <v>71</v>
      </c>
      <c r="AU330">
        <v>0</v>
      </c>
      <c r="AV330">
        <v>0</v>
      </c>
    </row>
    <row r="331" spans="1:48" x14ac:dyDescent="0.25">
      <c r="A331" t="s">
        <v>1314</v>
      </c>
      <c r="B331" t="s">
        <v>105</v>
      </c>
      <c r="C331" t="s">
        <v>50</v>
      </c>
      <c r="D331">
        <v>440198.89980000001</v>
      </c>
      <c r="E331">
        <v>1827781.8171000001</v>
      </c>
      <c r="F331">
        <v>32.131999999999998</v>
      </c>
      <c r="G331" t="s">
        <v>1315</v>
      </c>
      <c r="H331" t="s">
        <v>52</v>
      </c>
      <c r="I331">
        <v>32.131999999999998</v>
      </c>
      <c r="J331" t="s">
        <v>53</v>
      </c>
      <c r="K331">
        <v>0</v>
      </c>
      <c r="L331" t="s">
        <v>146</v>
      </c>
      <c r="M331" t="s">
        <v>1316</v>
      </c>
      <c r="N331">
        <v>0</v>
      </c>
      <c r="O331" t="s">
        <v>56</v>
      </c>
      <c r="P331" t="s">
        <v>57</v>
      </c>
      <c r="Q331" t="s">
        <v>59</v>
      </c>
      <c r="R331" t="s">
        <v>109</v>
      </c>
      <c r="S331" t="s">
        <v>1317</v>
      </c>
      <c r="T331" t="s">
        <v>61</v>
      </c>
      <c r="U331">
        <v>1.6395999999999999</v>
      </c>
      <c r="V331" t="s">
        <v>62</v>
      </c>
      <c r="W331">
        <v>0</v>
      </c>
      <c r="X331">
        <v>30.492000000000001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111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105</v>
      </c>
      <c r="AT331" t="s">
        <v>71</v>
      </c>
      <c r="AU331">
        <v>0</v>
      </c>
      <c r="AV331">
        <v>0</v>
      </c>
    </row>
    <row r="332" spans="1:48" x14ac:dyDescent="0.25">
      <c r="A332" t="s">
        <v>1318</v>
      </c>
      <c r="B332" t="s">
        <v>105</v>
      </c>
      <c r="C332" t="s">
        <v>50</v>
      </c>
      <c r="D332">
        <v>440198.89980000001</v>
      </c>
      <c r="E332">
        <v>1827761.8171000001</v>
      </c>
      <c r="F332">
        <v>32.034999999999997</v>
      </c>
      <c r="G332" t="s">
        <v>1319</v>
      </c>
      <c r="H332" t="s">
        <v>52</v>
      </c>
      <c r="I332">
        <v>32.034999999999997</v>
      </c>
      <c r="J332" t="s">
        <v>53</v>
      </c>
      <c r="K332">
        <v>0</v>
      </c>
      <c r="L332" t="s">
        <v>146</v>
      </c>
      <c r="M332" t="s">
        <v>1320</v>
      </c>
      <c r="N332">
        <v>0</v>
      </c>
      <c r="O332" t="s">
        <v>56</v>
      </c>
      <c r="P332" t="s">
        <v>57</v>
      </c>
      <c r="Q332" t="s">
        <v>59</v>
      </c>
      <c r="R332" t="s">
        <v>109</v>
      </c>
      <c r="S332" t="s">
        <v>1321</v>
      </c>
      <c r="T332" t="s">
        <v>61</v>
      </c>
      <c r="U332">
        <v>1.639</v>
      </c>
      <c r="V332" t="s">
        <v>62</v>
      </c>
      <c r="W332">
        <v>0</v>
      </c>
      <c r="X332">
        <v>30.396000000000001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111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105</v>
      </c>
      <c r="AT332" t="s">
        <v>71</v>
      </c>
      <c r="AU332">
        <v>0</v>
      </c>
      <c r="AV332">
        <v>0</v>
      </c>
    </row>
    <row r="333" spans="1:48" x14ac:dyDescent="0.25">
      <c r="A333" t="s">
        <v>1322</v>
      </c>
      <c r="B333" t="s">
        <v>105</v>
      </c>
      <c r="C333" t="s">
        <v>50</v>
      </c>
      <c r="D333">
        <v>440198.89980000001</v>
      </c>
      <c r="E333">
        <v>1827741.8171000001</v>
      </c>
      <c r="F333">
        <v>31.937999999999999</v>
      </c>
      <c r="G333" t="s">
        <v>1323</v>
      </c>
      <c r="H333" t="s">
        <v>52</v>
      </c>
      <c r="I333">
        <v>31.937999999999999</v>
      </c>
      <c r="J333" t="s">
        <v>53</v>
      </c>
      <c r="K333">
        <v>0</v>
      </c>
      <c r="L333" t="s">
        <v>146</v>
      </c>
      <c r="M333" t="s">
        <v>1324</v>
      </c>
      <c r="N333">
        <v>0</v>
      </c>
      <c r="O333" t="s">
        <v>56</v>
      </c>
      <c r="P333" t="s">
        <v>57</v>
      </c>
      <c r="Q333" t="s">
        <v>59</v>
      </c>
      <c r="R333" t="s">
        <v>109</v>
      </c>
      <c r="S333" t="s">
        <v>1325</v>
      </c>
      <c r="T333" t="s">
        <v>61</v>
      </c>
      <c r="U333">
        <v>1.6394</v>
      </c>
      <c r="V333" t="s">
        <v>62</v>
      </c>
      <c r="W333">
        <v>0</v>
      </c>
      <c r="X333">
        <v>30.298999999999999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111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105</v>
      </c>
      <c r="AT333" t="s">
        <v>71</v>
      </c>
      <c r="AU333">
        <v>0</v>
      </c>
      <c r="AV333">
        <v>0</v>
      </c>
    </row>
    <row r="334" spans="1:48" x14ac:dyDescent="0.25">
      <c r="A334" t="s">
        <v>1326</v>
      </c>
      <c r="B334" t="s">
        <v>105</v>
      </c>
      <c r="C334" t="s">
        <v>50</v>
      </c>
      <c r="D334">
        <v>440198.89980000001</v>
      </c>
      <c r="E334">
        <v>1827721.8171000001</v>
      </c>
      <c r="F334">
        <v>31.841999999999999</v>
      </c>
      <c r="G334" t="s">
        <v>1327</v>
      </c>
      <c r="H334" t="s">
        <v>52</v>
      </c>
      <c r="I334">
        <v>31.841999999999999</v>
      </c>
      <c r="J334" t="s">
        <v>53</v>
      </c>
      <c r="K334">
        <v>0</v>
      </c>
      <c r="L334" t="s">
        <v>146</v>
      </c>
      <c r="M334" t="s">
        <v>1328</v>
      </c>
      <c r="N334">
        <v>0</v>
      </c>
      <c r="O334" t="s">
        <v>56</v>
      </c>
      <c r="P334" t="s">
        <v>57</v>
      </c>
      <c r="Q334" t="s">
        <v>59</v>
      </c>
      <c r="R334" t="s">
        <v>109</v>
      </c>
      <c r="S334" t="s">
        <v>1329</v>
      </c>
      <c r="T334" t="s">
        <v>61</v>
      </c>
      <c r="U334">
        <v>1.6838</v>
      </c>
      <c r="V334" t="s">
        <v>62</v>
      </c>
      <c r="W334">
        <v>0</v>
      </c>
      <c r="X334">
        <v>30.158000000000001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111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105</v>
      </c>
      <c r="AT334" t="s">
        <v>71</v>
      </c>
      <c r="AU334">
        <v>0</v>
      </c>
      <c r="AV334">
        <v>0</v>
      </c>
    </row>
    <row r="335" spans="1:48" x14ac:dyDescent="0.25">
      <c r="A335" t="s">
        <v>1330</v>
      </c>
      <c r="B335" t="s">
        <v>105</v>
      </c>
      <c r="C335" t="s">
        <v>50</v>
      </c>
      <c r="D335">
        <v>440198.89980000001</v>
      </c>
      <c r="E335">
        <v>1827701.8171000001</v>
      </c>
      <c r="F335">
        <v>31.701000000000001</v>
      </c>
      <c r="G335" t="s">
        <v>1331</v>
      </c>
      <c r="H335" t="s">
        <v>52</v>
      </c>
      <c r="I335">
        <v>31.701000000000001</v>
      </c>
      <c r="J335" t="s">
        <v>53</v>
      </c>
      <c r="K335">
        <v>0</v>
      </c>
      <c r="L335" t="s">
        <v>146</v>
      </c>
      <c r="M335" t="s">
        <v>1332</v>
      </c>
      <c r="N335">
        <v>0</v>
      </c>
      <c r="O335" t="s">
        <v>56</v>
      </c>
      <c r="P335" t="s">
        <v>57</v>
      </c>
      <c r="Q335" t="s">
        <v>59</v>
      </c>
      <c r="R335" t="s">
        <v>109</v>
      </c>
      <c r="S335" t="s">
        <v>1333</v>
      </c>
      <c r="T335" t="s">
        <v>61</v>
      </c>
      <c r="U335">
        <v>1.6028</v>
      </c>
      <c r="V335" t="s">
        <v>62</v>
      </c>
      <c r="W335">
        <v>0</v>
      </c>
      <c r="X335">
        <v>30.097999999999999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111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105</v>
      </c>
      <c r="AT335" t="s">
        <v>71</v>
      </c>
      <c r="AU335">
        <v>0</v>
      </c>
      <c r="AV335">
        <v>0</v>
      </c>
    </row>
    <row r="336" spans="1:48" x14ac:dyDescent="0.25">
      <c r="A336" t="s">
        <v>1334</v>
      </c>
      <c r="B336" t="s">
        <v>105</v>
      </c>
      <c r="C336" t="s">
        <v>50</v>
      </c>
      <c r="D336">
        <v>440198.89980000001</v>
      </c>
      <c r="E336">
        <v>1827681.8171000001</v>
      </c>
      <c r="F336">
        <v>31.649000000000001</v>
      </c>
      <c r="G336" t="s">
        <v>1335</v>
      </c>
      <c r="H336" t="s">
        <v>52</v>
      </c>
      <c r="I336">
        <v>31.649000000000001</v>
      </c>
      <c r="J336" t="s">
        <v>53</v>
      </c>
      <c r="K336">
        <v>0</v>
      </c>
      <c r="L336" t="s">
        <v>146</v>
      </c>
      <c r="M336" t="s">
        <v>1336</v>
      </c>
      <c r="N336">
        <v>0</v>
      </c>
      <c r="O336" t="s">
        <v>56</v>
      </c>
      <c r="P336" t="s">
        <v>57</v>
      </c>
      <c r="Q336" t="s">
        <v>59</v>
      </c>
      <c r="R336" t="s">
        <v>109</v>
      </c>
      <c r="S336" t="s">
        <v>1337</v>
      </c>
      <c r="T336" t="s">
        <v>61</v>
      </c>
      <c r="U336">
        <v>1.6396999999999999</v>
      </c>
      <c r="V336" t="s">
        <v>62</v>
      </c>
      <c r="W336">
        <v>0</v>
      </c>
      <c r="X336">
        <v>30.009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111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105</v>
      </c>
      <c r="AT336" t="s">
        <v>71</v>
      </c>
      <c r="AU336">
        <v>0</v>
      </c>
      <c r="AV336">
        <v>0</v>
      </c>
    </row>
    <row r="337" spans="1:48" x14ac:dyDescent="0.25">
      <c r="A337" t="s">
        <v>1338</v>
      </c>
      <c r="B337" t="s">
        <v>105</v>
      </c>
      <c r="C337" t="s">
        <v>50</v>
      </c>
      <c r="D337">
        <v>440198.89980000001</v>
      </c>
      <c r="E337">
        <v>1827661.8171000001</v>
      </c>
      <c r="F337">
        <v>31.552</v>
      </c>
      <c r="G337" t="s">
        <v>1339</v>
      </c>
      <c r="H337" t="s">
        <v>52</v>
      </c>
      <c r="I337">
        <v>31.552</v>
      </c>
      <c r="J337" t="s">
        <v>53</v>
      </c>
      <c r="K337">
        <v>0</v>
      </c>
      <c r="L337" t="s">
        <v>146</v>
      </c>
      <c r="M337" t="s">
        <v>1340</v>
      </c>
      <c r="N337">
        <v>0</v>
      </c>
      <c r="O337" t="s">
        <v>56</v>
      </c>
      <c r="P337" t="s">
        <v>57</v>
      </c>
      <c r="Q337" t="s">
        <v>59</v>
      </c>
      <c r="R337" t="s">
        <v>109</v>
      </c>
      <c r="S337" t="s">
        <v>1341</v>
      </c>
      <c r="T337" t="s">
        <v>61</v>
      </c>
      <c r="U337">
        <v>1.6391</v>
      </c>
      <c r="V337" t="s">
        <v>62</v>
      </c>
      <c r="W337">
        <v>0</v>
      </c>
      <c r="X337">
        <v>29.913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111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105</v>
      </c>
      <c r="AT337" t="s">
        <v>71</v>
      </c>
      <c r="AU337">
        <v>0</v>
      </c>
      <c r="AV337">
        <v>0</v>
      </c>
    </row>
    <row r="338" spans="1:48" x14ac:dyDescent="0.25">
      <c r="A338" t="s">
        <v>1342</v>
      </c>
      <c r="B338" t="s">
        <v>105</v>
      </c>
      <c r="C338" t="s">
        <v>50</v>
      </c>
      <c r="D338">
        <v>440198.89980000001</v>
      </c>
      <c r="E338">
        <v>1827641.8171000001</v>
      </c>
      <c r="F338">
        <v>31.454999999999998</v>
      </c>
      <c r="G338" t="s">
        <v>1343</v>
      </c>
      <c r="H338" t="s">
        <v>52</v>
      </c>
      <c r="I338">
        <v>31.454999999999998</v>
      </c>
      <c r="J338" t="s">
        <v>53</v>
      </c>
      <c r="K338">
        <v>0</v>
      </c>
      <c r="L338" t="s">
        <v>146</v>
      </c>
      <c r="M338" t="s">
        <v>1344</v>
      </c>
      <c r="N338">
        <v>0</v>
      </c>
      <c r="O338" t="s">
        <v>56</v>
      </c>
      <c r="P338" t="s">
        <v>57</v>
      </c>
      <c r="Q338" t="s">
        <v>59</v>
      </c>
      <c r="R338" t="s">
        <v>109</v>
      </c>
      <c r="S338" t="s">
        <v>1345</v>
      </c>
      <c r="T338" t="s">
        <v>61</v>
      </c>
      <c r="U338">
        <v>1.6154999999999999</v>
      </c>
      <c r="V338" t="s">
        <v>62</v>
      </c>
      <c r="W338">
        <v>0</v>
      </c>
      <c r="X338">
        <v>29.84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111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105</v>
      </c>
      <c r="AT338" t="s">
        <v>71</v>
      </c>
      <c r="AU338">
        <v>0</v>
      </c>
      <c r="AV338">
        <v>0</v>
      </c>
    </row>
    <row r="339" spans="1:48" x14ac:dyDescent="0.25">
      <c r="A339" t="s">
        <v>1346</v>
      </c>
      <c r="B339" t="s">
        <v>105</v>
      </c>
      <c r="C339" t="s">
        <v>50</v>
      </c>
      <c r="D339">
        <v>440198.89980000001</v>
      </c>
      <c r="E339">
        <v>1827621.8171000001</v>
      </c>
      <c r="F339">
        <v>31.382999999999999</v>
      </c>
      <c r="G339" t="s">
        <v>1347</v>
      </c>
      <c r="H339" t="s">
        <v>52</v>
      </c>
      <c r="I339">
        <v>31.382999999999999</v>
      </c>
      <c r="J339" t="s">
        <v>53</v>
      </c>
      <c r="K339">
        <v>0</v>
      </c>
      <c r="L339" t="s">
        <v>146</v>
      </c>
      <c r="M339" t="s">
        <v>1348</v>
      </c>
      <c r="N339">
        <v>0</v>
      </c>
      <c r="O339" t="s">
        <v>56</v>
      </c>
      <c r="P339" t="s">
        <v>57</v>
      </c>
      <c r="Q339" t="s">
        <v>59</v>
      </c>
      <c r="R339" t="s">
        <v>109</v>
      </c>
      <c r="S339" t="s">
        <v>1349</v>
      </c>
      <c r="T339" t="s">
        <v>61</v>
      </c>
      <c r="U339">
        <v>1.9028</v>
      </c>
      <c r="V339" t="s">
        <v>62</v>
      </c>
      <c r="W339">
        <v>0</v>
      </c>
      <c r="X339">
        <v>29.48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111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105</v>
      </c>
      <c r="AT339" t="s">
        <v>71</v>
      </c>
      <c r="AU339">
        <v>0</v>
      </c>
      <c r="AV339">
        <v>0</v>
      </c>
    </row>
    <row r="340" spans="1:48" x14ac:dyDescent="0.25">
      <c r="A340" t="s">
        <v>1350</v>
      </c>
      <c r="B340" t="s">
        <v>105</v>
      </c>
      <c r="C340" t="s">
        <v>50</v>
      </c>
      <c r="D340">
        <v>440198.92479999998</v>
      </c>
      <c r="E340">
        <v>1827601.8171000001</v>
      </c>
      <c r="F340">
        <v>31.396000000000001</v>
      </c>
      <c r="G340" t="s">
        <v>1351</v>
      </c>
      <c r="H340" t="s">
        <v>52</v>
      </c>
      <c r="I340">
        <v>31.396000000000001</v>
      </c>
      <c r="J340" t="s">
        <v>53</v>
      </c>
      <c r="K340">
        <v>0</v>
      </c>
      <c r="L340" t="s">
        <v>146</v>
      </c>
      <c r="M340" t="s">
        <v>1352</v>
      </c>
      <c r="N340">
        <v>-2.5000000000000001E-2</v>
      </c>
      <c r="O340" t="s">
        <v>56</v>
      </c>
      <c r="P340" t="s">
        <v>57</v>
      </c>
      <c r="Q340" t="s">
        <v>59</v>
      </c>
      <c r="R340" t="s">
        <v>109</v>
      </c>
      <c r="S340" t="s">
        <v>1353</v>
      </c>
      <c r="T340" t="s">
        <v>61</v>
      </c>
      <c r="U340">
        <v>1.9361999999999999</v>
      </c>
      <c r="V340" t="s">
        <v>62</v>
      </c>
      <c r="W340">
        <v>0</v>
      </c>
      <c r="X340">
        <v>29.46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111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105</v>
      </c>
      <c r="AT340" t="s">
        <v>71</v>
      </c>
      <c r="AU340">
        <v>0</v>
      </c>
      <c r="AV340">
        <v>0</v>
      </c>
    </row>
    <row r="341" spans="1:48" x14ac:dyDescent="0.25">
      <c r="A341" t="s">
        <v>1354</v>
      </c>
      <c r="B341" t="s">
        <v>73</v>
      </c>
      <c r="C341" t="s">
        <v>50</v>
      </c>
      <c r="D341">
        <v>440053.62449999998</v>
      </c>
      <c r="E341">
        <v>1827840.9783000001</v>
      </c>
      <c r="F341">
        <v>33.481999999999999</v>
      </c>
      <c r="G341" t="s">
        <v>1355</v>
      </c>
      <c r="H341" t="s">
        <v>52</v>
      </c>
      <c r="I341">
        <v>33.481999999999999</v>
      </c>
      <c r="J341" t="s">
        <v>53</v>
      </c>
      <c r="K341">
        <v>0</v>
      </c>
      <c r="L341" t="s">
        <v>381</v>
      </c>
      <c r="M341" t="s">
        <v>1356</v>
      </c>
      <c r="N341">
        <v>0.1613</v>
      </c>
      <c r="O341" t="s">
        <v>56</v>
      </c>
      <c r="P341" t="s">
        <v>57</v>
      </c>
      <c r="Q341" t="s">
        <v>59</v>
      </c>
      <c r="R341" t="s">
        <v>58</v>
      </c>
      <c r="S341" t="s">
        <v>1357</v>
      </c>
      <c r="T341" t="s">
        <v>61</v>
      </c>
      <c r="U341">
        <v>1.45</v>
      </c>
      <c r="V341" t="s">
        <v>62</v>
      </c>
      <c r="W341">
        <v>0</v>
      </c>
      <c r="X341">
        <v>32.031999999999996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73</v>
      </c>
      <c r="AT341" t="s">
        <v>71</v>
      </c>
      <c r="AU341">
        <v>0</v>
      </c>
      <c r="AV341">
        <v>0</v>
      </c>
    </row>
    <row r="342" spans="1:48" x14ac:dyDescent="0.25">
      <c r="A342" t="s">
        <v>1358</v>
      </c>
      <c r="B342" t="s">
        <v>73</v>
      </c>
      <c r="C342" t="s">
        <v>50</v>
      </c>
      <c r="D342">
        <v>440053.62449999998</v>
      </c>
      <c r="E342">
        <v>1827820.9783000001</v>
      </c>
      <c r="F342">
        <v>33.521999999999998</v>
      </c>
      <c r="G342" t="s">
        <v>1359</v>
      </c>
      <c r="H342" t="s">
        <v>52</v>
      </c>
      <c r="I342">
        <v>33.521999999999998</v>
      </c>
      <c r="J342" t="s">
        <v>53</v>
      </c>
      <c r="K342">
        <v>0</v>
      </c>
      <c r="L342" t="s">
        <v>381</v>
      </c>
      <c r="M342" t="s">
        <v>1360</v>
      </c>
      <c r="N342">
        <v>0.15529999999999999</v>
      </c>
      <c r="O342" t="s">
        <v>56</v>
      </c>
      <c r="P342" t="s">
        <v>57</v>
      </c>
      <c r="Q342" t="s">
        <v>59</v>
      </c>
      <c r="R342" t="s">
        <v>58</v>
      </c>
      <c r="S342" t="s">
        <v>1361</v>
      </c>
      <c r="T342" t="s">
        <v>61</v>
      </c>
      <c r="U342">
        <v>1.5241</v>
      </c>
      <c r="V342" t="s">
        <v>62</v>
      </c>
      <c r="W342">
        <v>0</v>
      </c>
      <c r="X342">
        <v>31.998000000000001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73</v>
      </c>
      <c r="AT342" t="s">
        <v>71</v>
      </c>
      <c r="AU342">
        <v>0</v>
      </c>
      <c r="AV342">
        <v>0</v>
      </c>
    </row>
    <row r="343" spans="1:48" x14ac:dyDescent="0.25">
      <c r="A343" t="s">
        <v>1362</v>
      </c>
      <c r="B343" t="s">
        <v>73</v>
      </c>
      <c r="C343" t="s">
        <v>50</v>
      </c>
      <c r="D343">
        <v>440053.62449999998</v>
      </c>
      <c r="E343">
        <v>1827799.3092</v>
      </c>
      <c r="F343">
        <v>33.552</v>
      </c>
      <c r="G343" t="s">
        <v>1363</v>
      </c>
      <c r="H343" t="s">
        <v>52</v>
      </c>
      <c r="I343">
        <v>33.552</v>
      </c>
      <c r="J343" t="s">
        <v>53</v>
      </c>
      <c r="K343">
        <v>0</v>
      </c>
      <c r="L343" t="s">
        <v>381</v>
      </c>
      <c r="M343" t="s">
        <v>1364</v>
      </c>
      <c r="N343">
        <v>0.1489</v>
      </c>
      <c r="O343" t="s">
        <v>56</v>
      </c>
      <c r="P343" t="s">
        <v>57</v>
      </c>
      <c r="Q343" t="s">
        <v>59</v>
      </c>
      <c r="R343" t="s">
        <v>58</v>
      </c>
      <c r="S343" t="s">
        <v>1365</v>
      </c>
      <c r="T343" t="s">
        <v>61</v>
      </c>
      <c r="U343">
        <v>1.5769</v>
      </c>
      <c r="V343" t="s">
        <v>62</v>
      </c>
      <c r="W343">
        <v>0</v>
      </c>
      <c r="X343">
        <v>31.975000000000001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73</v>
      </c>
      <c r="AT343" t="s">
        <v>71</v>
      </c>
      <c r="AU343">
        <v>0</v>
      </c>
      <c r="AV343">
        <v>0</v>
      </c>
    </row>
    <row r="344" spans="1:48" x14ac:dyDescent="0.25">
      <c r="A344" t="s">
        <v>1366</v>
      </c>
      <c r="B344" t="s">
        <v>73</v>
      </c>
      <c r="C344" t="s">
        <v>50</v>
      </c>
      <c r="D344">
        <v>440053.62449999998</v>
      </c>
      <c r="E344">
        <v>1827760.9783000001</v>
      </c>
      <c r="F344">
        <v>33.539000000000001</v>
      </c>
      <c r="G344" t="s">
        <v>1367</v>
      </c>
      <c r="H344" t="s">
        <v>52</v>
      </c>
      <c r="I344">
        <v>33.539000000000001</v>
      </c>
      <c r="J344" t="s">
        <v>53</v>
      </c>
      <c r="K344">
        <v>0</v>
      </c>
      <c r="L344" t="s">
        <v>381</v>
      </c>
      <c r="M344" t="s">
        <v>1368</v>
      </c>
      <c r="N344">
        <v>0.1376</v>
      </c>
      <c r="O344" t="s">
        <v>56</v>
      </c>
      <c r="P344" t="s">
        <v>57</v>
      </c>
      <c r="Q344" t="s">
        <v>59</v>
      </c>
      <c r="R344" t="s">
        <v>58</v>
      </c>
      <c r="S344" t="s">
        <v>1369</v>
      </c>
      <c r="T344" t="s">
        <v>61</v>
      </c>
      <c r="U344">
        <v>1.6020000000000001</v>
      </c>
      <c r="V344" t="s">
        <v>62</v>
      </c>
      <c r="W344">
        <v>0</v>
      </c>
      <c r="X344">
        <v>31.937000000000001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73</v>
      </c>
      <c r="AT344" t="s">
        <v>71</v>
      </c>
      <c r="AU344">
        <v>0</v>
      </c>
      <c r="AV344">
        <v>0</v>
      </c>
    </row>
    <row r="345" spans="1:48" x14ac:dyDescent="0.25">
      <c r="A345" t="s">
        <v>1370</v>
      </c>
      <c r="B345" t="s">
        <v>73</v>
      </c>
      <c r="C345" t="s">
        <v>50</v>
      </c>
      <c r="D345">
        <v>440053.62449999998</v>
      </c>
      <c r="E345">
        <v>1827740.9783000001</v>
      </c>
      <c r="F345">
        <v>33.499000000000002</v>
      </c>
      <c r="G345" t="s">
        <v>1371</v>
      </c>
      <c r="H345" t="s">
        <v>52</v>
      </c>
      <c r="I345">
        <v>33.499000000000002</v>
      </c>
      <c r="J345" t="s">
        <v>53</v>
      </c>
      <c r="K345">
        <v>0</v>
      </c>
      <c r="L345" t="s">
        <v>381</v>
      </c>
      <c r="M345" t="s">
        <v>1372</v>
      </c>
      <c r="N345">
        <v>0.13159999999999999</v>
      </c>
      <c r="O345" t="s">
        <v>56</v>
      </c>
      <c r="P345" t="s">
        <v>57</v>
      </c>
      <c r="Q345" t="s">
        <v>59</v>
      </c>
      <c r="R345" t="s">
        <v>58</v>
      </c>
      <c r="S345" t="s">
        <v>1373</v>
      </c>
      <c r="T345" t="s">
        <v>61</v>
      </c>
      <c r="U345">
        <v>1.5820000000000001</v>
      </c>
      <c r="V345" t="s">
        <v>62</v>
      </c>
      <c r="W345">
        <v>0</v>
      </c>
      <c r="X345">
        <v>31.917000000000002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68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73</v>
      </c>
      <c r="AT345" t="s">
        <v>71</v>
      </c>
      <c r="AU345">
        <v>0</v>
      </c>
      <c r="AV345">
        <v>0</v>
      </c>
    </row>
    <row r="346" spans="1:48" x14ac:dyDescent="0.25">
      <c r="A346" t="s">
        <v>1374</v>
      </c>
      <c r="B346" t="s">
        <v>73</v>
      </c>
      <c r="C346" t="s">
        <v>50</v>
      </c>
      <c r="D346">
        <v>440053.62449999998</v>
      </c>
      <c r="E346">
        <v>1827699.5242000001</v>
      </c>
      <c r="F346">
        <v>33.343000000000004</v>
      </c>
      <c r="G346" t="s">
        <v>1375</v>
      </c>
      <c r="H346" t="s">
        <v>52</v>
      </c>
      <c r="I346">
        <v>33.343000000000004</v>
      </c>
      <c r="J346" t="s">
        <v>53</v>
      </c>
      <c r="K346">
        <v>0</v>
      </c>
      <c r="L346" t="s">
        <v>381</v>
      </c>
      <c r="M346" t="s">
        <v>1376</v>
      </c>
      <c r="N346">
        <v>0.11940000000000001</v>
      </c>
      <c r="O346" t="s">
        <v>56</v>
      </c>
      <c r="P346" t="s">
        <v>57</v>
      </c>
      <c r="Q346" t="s">
        <v>59</v>
      </c>
      <c r="R346" t="s">
        <v>58</v>
      </c>
      <c r="S346" t="s">
        <v>1377</v>
      </c>
      <c r="T346" t="s">
        <v>61</v>
      </c>
      <c r="U346">
        <v>1.5123</v>
      </c>
      <c r="V346" t="s">
        <v>62</v>
      </c>
      <c r="W346">
        <v>0</v>
      </c>
      <c r="X346">
        <v>31.831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68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73</v>
      </c>
      <c r="AT346" t="s">
        <v>71</v>
      </c>
      <c r="AU346">
        <v>0</v>
      </c>
      <c r="AV346">
        <v>0</v>
      </c>
    </row>
    <row r="347" spans="1:48" x14ac:dyDescent="0.25">
      <c r="A347" t="s">
        <v>1378</v>
      </c>
      <c r="B347" t="s">
        <v>73</v>
      </c>
      <c r="C347" t="s">
        <v>50</v>
      </c>
      <c r="D347">
        <v>440053.62449999998</v>
      </c>
      <c r="E347">
        <v>1827679.3526999999</v>
      </c>
      <c r="F347">
        <v>33.235999999999997</v>
      </c>
      <c r="G347" t="s">
        <v>1379</v>
      </c>
      <c r="H347" t="s">
        <v>52</v>
      </c>
      <c r="I347">
        <v>33.235999999999997</v>
      </c>
      <c r="J347" t="s">
        <v>53</v>
      </c>
      <c r="K347">
        <v>0</v>
      </c>
      <c r="L347" t="s">
        <v>381</v>
      </c>
      <c r="M347" t="s">
        <v>1380</v>
      </c>
      <c r="N347">
        <v>0.1134</v>
      </c>
      <c r="O347" t="s">
        <v>56</v>
      </c>
      <c r="P347" t="s">
        <v>57</v>
      </c>
      <c r="Q347" t="s">
        <v>59</v>
      </c>
      <c r="R347" t="s">
        <v>58</v>
      </c>
      <c r="S347" t="s">
        <v>1381</v>
      </c>
      <c r="T347" t="s">
        <v>61</v>
      </c>
      <c r="U347">
        <v>1.5091000000000001</v>
      </c>
      <c r="V347" t="s">
        <v>62</v>
      </c>
      <c r="W347">
        <v>0</v>
      </c>
      <c r="X347">
        <v>31.727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68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73</v>
      </c>
      <c r="AT347" t="s">
        <v>71</v>
      </c>
      <c r="AU347">
        <v>0</v>
      </c>
      <c r="AV347">
        <v>0</v>
      </c>
    </row>
    <row r="348" spans="1:48" x14ac:dyDescent="0.25">
      <c r="A348" t="s">
        <v>1382</v>
      </c>
      <c r="B348" t="s">
        <v>73</v>
      </c>
      <c r="C348" t="s">
        <v>50</v>
      </c>
      <c r="D348">
        <v>440053.62449999998</v>
      </c>
      <c r="E348">
        <v>1827660.9783000001</v>
      </c>
      <c r="F348">
        <v>33.137</v>
      </c>
      <c r="G348" t="s">
        <v>1383</v>
      </c>
      <c r="H348" t="s">
        <v>52</v>
      </c>
      <c r="I348">
        <v>33.137</v>
      </c>
      <c r="J348" t="s">
        <v>53</v>
      </c>
      <c r="K348">
        <v>0</v>
      </c>
      <c r="L348" t="s">
        <v>381</v>
      </c>
      <c r="M348" t="s">
        <v>1384</v>
      </c>
      <c r="N348">
        <v>0.1079</v>
      </c>
      <c r="O348" t="s">
        <v>56</v>
      </c>
      <c r="P348" t="s">
        <v>57</v>
      </c>
      <c r="Q348" t="s">
        <v>59</v>
      </c>
      <c r="R348" t="s">
        <v>58</v>
      </c>
      <c r="S348" t="s">
        <v>1385</v>
      </c>
      <c r="T348" t="s">
        <v>61</v>
      </c>
      <c r="U348">
        <v>1.5136000000000001</v>
      </c>
      <c r="V348" t="s">
        <v>62</v>
      </c>
      <c r="W348">
        <v>0</v>
      </c>
      <c r="X348">
        <v>31.623000000000001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73</v>
      </c>
      <c r="AT348" t="s">
        <v>71</v>
      </c>
      <c r="AU348">
        <v>0</v>
      </c>
      <c r="AV348">
        <v>0</v>
      </c>
    </row>
    <row r="349" spans="1:48" x14ac:dyDescent="0.25">
      <c r="A349" t="s">
        <v>1386</v>
      </c>
      <c r="B349" t="s">
        <v>73</v>
      </c>
      <c r="C349" t="s">
        <v>50</v>
      </c>
      <c r="D349">
        <v>440053.62449999998</v>
      </c>
      <c r="E349">
        <v>1827640.9783000001</v>
      </c>
      <c r="F349">
        <v>33.027999999999999</v>
      </c>
      <c r="G349" t="s">
        <v>1387</v>
      </c>
      <c r="H349" t="s">
        <v>52</v>
      </c>
      <c r="I349">
        <v>33.027999999999999</v>
      </c>
      <c r="J349" t="s">
        <v>53</v>
      </c>
      <c r="K349">
        <v>0</v>
      </c>
      <c r="L349" t="s">
        <v>381</v>
      </c>
      <c r="M349" t="s">
        <v>1388</v>
      </c>
      <c r="N349">
        <v>0.10199999999999999</v>
      </c>
      <c r="O349" t="s">
        <v>56</v>
      </c>
      <c r="P349" t="s">
        <v>57</v>
      </c>
      <c r="Q349" t="s">
        <v>59</v>
      </c>
      <c r="R349" t="s">
        <v>58</v>
      </c>
      <c r="S349" t="s">
        <v>1389</v>
      </c>
      <c r="T349" t="s">
        <v>61</v>
      </c>
      <c r="U349">
        <v>1.5104</v>
      </c>
      <c r="V349" t="s">
        <v>62</v>
      </c>
      <c r="W349">
        <v>0</v>
      </c>
      <c r="X349">
        <v>31.518000000000001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66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73</v>
      </c>
      <c r="AT349" t="s">
        <v>71</v>
      </c>
      <c r="AU349">
        <v>0</v>
      </c>
      <c r="AV349">
        <v>0</v>
      </c>
    </row>
    <row r="350" spans="1:48" x14ac:dyDescent="0.25">
      <c r="A350" t="s">
        <v>1390</v>
      </c>
      <c r="B350" t="s">
        <v>73</v>
      </c>
      <c r="C350" t="s">
        <v>50</v>
      </c>
      <c r="D350">
        <v>440053.62449999998</v>
      </c>
      <c r="E350">
        <v>1827604.1370000001</v>
      </c>
      <c r="F350">
        <v>32.829000000000001</v>
      </c>
      <c r="G350" t="s">
        <v>1391</v>
      </c>
      <c r="H350" t="s">
        <v>52</v>
      </c>
      <c r="I350">
        <v>32.829000000000001</v>
      </c>
      <c r="J350" t="s">
        <v>53</v>
      </c>
      <c r="K350">
        <v>0</v>
      </c>
      <c r="L350" t="s">
        <v>381</v>
      </c>
      <c r="M350" t="s">
        <v>1392</v>
      </c>
      <c r="N350">
        <v>9.11E-2</v>
      </c>
      <c r="O350" t="s">
        <v>56</v>
      </c>
      <c r="P350" t="s">
        <v>57</v>
      </c>
      <c r="Q350" t="s">
        <v>59</v>
      </c>
      <c r="R350" t="s">
        <v>58</v>
      </c>
      <c r="S350" t="s">
        <v>1393</v>
      </c>
      <c r="T350" t="s">
        <v>61</v>
      </c>
      <c r="U350">
        <v>1.5059</v>
      </c>
      <c r="V350" t="s">
        <v>62</v>
      </c>
      <c r="W350">
        <v>0</v>
      </c>
      <c r="X350">
        <v>31.323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73</v>
      </c>
      <c r="AT350" t="s">
        <v>71</v>
      </c>
      <c r="AU350">
        <v>0</v>
      </c>
      <c r="AV350">
        <v>0</v>
      </c>
    </row>
    <row r="351" spans="1:48" x14ac:dyDescent="0.25">
      <c r="A351" t="s">
        <v>1394</v>
      </c>
      <c r="B351" t="s">
        <v>73</v>
      </c>
      <c r="C351" t="s">
        <v>50</v>
      </c>
      <c r="D351">
        <v>440053.62449999998</v>
      </c>
      <c r="E351">
        <v>1827586.3441999999</v>
      </c>
      <c r="F351">
        <v>32.732999999999997</v>
      </c>
      <c r="G351" t="s">
        <v>1395</v>
      </c>
      <c r="H351" t="s">
        <v>52</v>
      </c>
      <c r="I351">
        <v>32.732999999999997</v>
      </c>
      <c r="J351" t="s">
        <v>53</v>
      </c>
      <c r="K351">
        <v>0</v>
      </c>
      <c r="L351" t="s">
        <v>381</v>
      </c>
      <c r="M351" t="s">
        <v>1396</v>
      </c>
      <c r="N351">
        <v>8.5800000000000001E-2</v>
      </c>
      <c r="O351" t="s">
        <v>56</v>
      </c>
      <c r="P351" t="s">
        <v>57</v>
      </c>
      <c r="Q351" t="s">
        <v>59</v>
      </c>
      <c r="R351" t="s">
        <v>58</v>
      </c>
      <c r="S351" t="s">
        <v>1397</v>
      </c>
      <c r="T351" t="s">
        <v>61</v>
      </c>
      <c r="U351">
        <v>1.5045999999999999</v>
      </c>
      <c r="V351" t="s">
        <v>62</v>
      </c>
      <c r="W351">
        <v>0</v>
      </c>
      <c r="X351">
        <v>31.228000000000002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73</v>
      </c>
      <c r="AT351" t="s">
        <v>71</v>
      </c>
      <c r="AU351">
        <v>0</v>
      </c>
      <c r="AV351">
        <v>0</v>
      </c>
    </row>
    <row r="352" spans="1:48" x14ac:dyDescent="0.25">
      <c r="A352" t="s">
        <v>1398</v>
      </c>
      <c r="B352" t="s">
        <v>73</v>
      </c>
      <c r="C352" t="s">
        <v>50</v>
      </c>
      <c r="D352">
        <v>440053.62449999998</v>
      </c>
      <c r="E352">
        <v>1827570.2196</v>
      </c>
      <c r="F352">
        <v>32.645000000000003</v>
      </c>
      <c r="G352" t="s">
        <v>1399</v>
      </c>
      <c r="H352" t="s">
        <v>52</v>
      </c>
      <c r="I352">
        <v>32.645000000000003</v>
      </c>
      <c r="J352" t="s">
        <v>53</v>
      </c>
      <c r="K352">
        <v>0</v>
      </c>
      <c r="L352" t="s">
        <v>381</v>
      </c>
      <c r="M352" t="s">
        <v>1400</v>
      </c>
      <c r="N352">
        <v>8.1100000000000005E-2</v>
      </c>
      <c r="O352" t="s">
        <v>56</v>
      </c>
      <c r="P352" t="s">
        <v>57</v>
      </c>
      <c r="Q352" t="s">
        <v>59</v>
      </c>
      <c r="R352" t="s">
        <v>58</v>
      </c>
      <c r="S352" t="s">
        <v>1401</v>
      </c>
      <c r="T352" t="s">
        <v>61</v>
      </c>
      <c r="U352">
        <v>1.6403000000000001</v>
      </c>
      <c r="V352" t="s">
        <v>62</v>
      </c>
      <c r="W352">
        <v>0</v>
      </c>
      <c r="X352">
        <v>31.004999999999999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73</v>
      </c>
      <c r="AT352" t="s">
        <v>71</v>
      </c>
      <c r="AU352">
        <v>0</v>
      </c>
      <c r="AV352">
        <v>0</v>
      </c>
    </row>
    <row r="353" spans="1:48" x14ac:dyDescent="0.25">
      <c r="A353" t="s">
        <v>1402</v>
      </c>
      <c r="B353" t="s">
        <v>105</v>
      </c>
      <c r="C353" t="s">
        <v>50</v>
      </c>
      <c r="D353">
        <v>439962.04979999998</v>
      </c>
      <c r="E353">
        <v>1828205.8171000001</v>
      </c>
      <c r="F353">
        <v>34.710999999999999</v>
      </c>
      <c r="G353" t="s">
        <v>1403</v>
      </c>
      <c r="H353" t="s">
        <v>52</v>
      </c>
      <c r="I353">
        <v>34.710999999999999</v>
      </c>
      <c r="J353" t="s">
        <v>53</v>
      </c>
      <c r="K353">
        <v>0</v>
      </c>
      <c r="L353" t="s">
        <v>1404</v>
      </c>
      <c r="M353" t="s">
        <v>774</v>
      </c>
      <c r="N353">
        <v>0.25679999999999997</v>
      </c>
      <c r="O353" t="s">
        <v>56</v>
      </c>
      <c r="P353" t="s">
        <v>57</v>
      </c>
      <c r="Q353" t="s">
        <v>59</v>
      </c>
      <c r="R353" t="s">
        <v>109</v>
      </c>
      <c r="S353" t="s">
        <v>1405</v>
      </c>
      <c r="T353" t="s">
        <v>61</v>
      </c>
      <c r="U353">
        <v>1.4524999999999999</v>
      </c>
      <c r="V353" t="s">
        <v>62</v>
      </c>
      <c r="W353">
        <v>0</v>
      </c>
      <c r="X353">
        <v>33.259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111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105</v>
      </c>
      <c r="AT353" t="s">
        <v>71</v>
      </c>
      <c r="AU353">
        <v>0</v>
      </c>
      <c r="AV353">
        <v>0</v>
      </c>
    </row>
    <row r="354" spans="1:48" x14ac:dyDescent="0.25">
      <c r="A354" t="s">
        <v>1406</v>
      </c>
      <c r="B354" t="s">
        <v>105</v>
      </c>
      <c r="C354" t="s">
        <v>50</v>
      </c>
      <c r="D354">
        <v>439962.04979999998</v>
      </c>
      <c r="E354">
        <v>1828185.8171000001</v>
      </c>
      <c r="F354">
        <v>34.801000000000002</v>
      </c>
      <c r="G354" t="s">
        <v>1407</v>
      </c>
      <c r="H354" t="s">
        <v>52</v>
      </c>
      <c r="I354">
        <v>34.801000000000002</v>
      </c>
      <c r="J354" t="s">
        <v>53</v>
      </c>
      <c r="K354">
        <v>0</v>
      </c>
      <c r="L354" t="s">
        <v>1404</v>
      </c>
      <c r="M354" s="1" t="s">
        <v>452</v>
      </c>
      <c r="N354">
        <v>0.2482</v>
      </c>
      <c r="O354" t="s">
        <v>56</v>
      </c>
      <c r="P354" t="s">
        <v>57</v>
      </c>
      <c r="Q354" t="s">
        <v>59</v>
      </c>
      <c r="R354" t="s">
        <v>109</v>
      </c>
      <c r="S354" t="s">
        <v>1408</v>
      </c>
      <c r="T354" t="s">
        <v>61</v>
      </c>
      <c r="U354">
        <v>1.5634999999999999</v>
      </c>
      <c r="V354" t="s">
        <v>62</v>
      </c>
      <c r="W354">
        <v>0</v>
      </c>
      <c r="X354">
        <v>33.237000000000002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111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105</v>
      </c>
      <c r="AT354" t="s">
        <v>71</v>
      </c>
      <c r="AU354">
        <v>0</v>
      </c>
      <c r="AV354">
        <v>0</v>
      </c>
    </row>
    <row r="355" spans="1:48" x14ac:dyDescent="0.25">
      <c r="A355" t="s">
        <v>1409</v>
      </c>
      <c r="B355" t="s">
        <v>105</v>
      </c>
      <c r="C355" t="s">
        <v>50</v>
      </c>
      <c r="D355">
        <v>439962.04979999998</v>
      </c>
      <c r="E355">
        <v>1828165.8171000001</v>
      </c>
      <c r="F355">
        <v>34.89</v>
      </c>
      <c r="G355" t="s">
        <v>1410</v>
      </c>
      <c r="H355" t="s">
        <v>52</v>
      </c>
      <c r="I355">
        <v>34.89</v>
      </c>
      <c r="J355" t="s">
        <v>53</v>
      </c>
      <c r="K355">
        <v>0</v>
      </c>
      <c r="L355" t="s">
        <v>1404</v>
      </c>
      <c r="M355" t="s">
        <v>448</v>
      </c>
      <c r="N355">
        <v>0.23960000000000001</v>
      </c>
      <c r="O355" t="s">
        <v>56</v>
      </c>
      <c r="P355" t="s">
        <v>57</v>
      </c>
      <c r="Q355" t="s">
        <v>59</v>
      </c>
      <c r="R355" t="s">
        <v>109</v>
      </c>
      <c r="S355" t="s">
        <v>1411</v>
      </c>
      <c r="T355" t="s">
        <v>61</v>
      </c>
      <c r="U355">
        <v>1.6736</v>
      </c>
      <c r="V355" t="s">
        <v>62</v>
      </c>
      <c r="W355">
        <v>0</v>
      </c>
      <c r="X355">
        <v>33.216000000000001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111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105</v>
      </c>
      <c r="AT355" t="s">
        <v>71</v>
      </c>
      <c r="AU355">
        <v>0</v>
      </c>
      <c r="AV355">
        <v>0</v>
      </c>
    </row>
    <row r="356" spans="1:48" x14ac:dyDescent="0.25">
      <c r="A356" t="s">
        <v>1412</v>
      </c>
      <c r="B356" t="s">
        <v>105</v>
      </c>
      <c r="C356" t="s">
        <v>50</v>
      </c>
      <c r="D356">
        <v>439962.04979999998</v>
      </c>
      <c r="E356">
        <v>1828145.8171000001</v>
      </c>
      <c r="F356">
        <v>34.978999999999999</v>
      </c>
      <c r="G356" t="s">
        <v>1413</v>
      </c>
      <c r="H356" t="s">
        <v>52</v>
      </c>
      <c r="I356">
        <v>34.978999999999999</v>
      </c>
      <c r="J356" t="s">
        <v>53</v>
      </c>
      <c r="K356">
        <v>0</v>
      </c>
      <c r="L356" t="s">
        <v>1404</v>
      </c>
      <c r="M356" t="s">
        <v>444</v>
      </c>
      <c r="N356">
        <v>0.23100000000000001</v>
      </c>
      <c r="O356" t="s">
        <v>56</v>
      </c>
      <c r="P356" t="s">
        <v>57</v>
      </c>
      <c r="Q356" t="s">
        <v>59</v>
      </c>
      <c r="R356" t="s">
        <v>109</v>
      </c>
      <c r="S356" t="s">
        <v>1414</v>
      </c>
      <c r="T356" t="s">
        <v>61</v>
      </c>
      <c r="U356">
        <v>1.7826</v>
      </c>
      <c r="V356" t="s">
        <v>62</v>
      </c>
      <c r="W356">
        <v>0</v>
      </c>
      <c r="X356">
        <v>33.195999999999998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111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105</v>
      </c>
      <c r="AT356" t="s">
        <v>71</v>
      </c>
      <c r="AU356">
        <v>0</v>
      </c>
      <c r="AV356">
        <v>0</v>
      </c>
    </row>
    <row r="357" spans="1:48" x14ac:dyDescent="0.25">
      <c r="A357" t="s">
        <v>1415</v>
      </c>
      <c r="B357" t="s">
        <v>105</v>
      </c>
      <c r="C357" t="s">
        <v>50</v>
      </c>
      <c r="D357">
        <v>439962.04979999998</v>
      </c>
      <c r="E357">
        <v>1828125.8171000001</v>
      </c>
      <c r="F357">
        <v>35.067999999999998</v>
      </c>
      <c r="G357" t="s">
        <v>1416</v>
      </c>
      <c r="H357" t="s">
        <v>52</v>
      </c>
      <c r="I357">
        <v>35.067999999999998</v>
      </c>
      <c r="J357" t="s">
        <v>53</v>
      </c>
      <c r="K357">
        <v>0</v>
      </c>
      <c r="L357" t="s">
        <v>1404</v>
      </c>
      <c r="M357" t="s">
        <v>440</v>
      </c>
      <c r="N357">
        <v>0.22239999999999999</v>
      </c>
      <c r="O357" t="s">
        <v>56</v>
      </c>
      <c r="P357" t="s">
        <v>57</v>
      </c>
      <c r="Q357" t="s">
        <v>59</v>
      </c>
      <c r="R357" t="s">
        <v>109</v>
      </c>
      <c r="S357" t="s">
        <v>1417</v>
      </c>
      <c r="T357" t="s">
        <v>61</v>
      </c>
      <c r="U357">
        <v>1.8915</v>
      </c>
      <c r="V357" t="s">
        <v>62</v>
      </c>
      <c r="W357">
        <v>0</v>
      </c>
      <c r="X357">
        <v>33.176000000000002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111</v>
      </c>
      <c r="AG357" t="s">
        <v>65</v>
      </c>
      <c r="AH357" t="s">
        <v>65</v>
      </c>
      <c r="AI357" t="s">
        <v>67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105</v>
      </c>
      <c r="AT357" t="s">
        <v>71</v>
      </c>
      <c r="AU357">
        <v>0</v>
      </c>
      <c r="AV357">
        <v>0</v>
      </c>
    </row>
    <row r="358" spans="1:48" x14ac:dyDescent="0.25">
      <c r="A358" t="s">
        <v>1418</v>
      </c>
      <c r="B358" t="s">
        <v>105</v>
      </c>
      <c r="C358" t="s">
        <v>50</v>
      </c>
      <c r="D358">
        <v>439962.0748</v>
      </c>
      <c r="E358">
        <v>1828105.8171000001</v>
      </c>
      <c r="F358">
        <v>35.134999999999998</v>
      </c>
      <c r="G358" t="s">
        <v>1419</v>
      </c>
      <c r="H358" t="s">
        <v>52</v>
      </c>
      <c r="I358">
        <v>35.134999999999998</v>
      </c>
      <c r="J358" t="s">
        <v>53</v>
      </c>
      <c r="K358">
        <v>0</v>
      </c>
      <c r="L358" t="s">
        <v>1404</v>
      </c>
      <c r="M358" t="s">
        <v>597</v>
      </c>
      <c r="N358">
        <v>0.1888</v>
      </c>
      <c r="O358" t="s">
        <v>56</v>
      </c>
      <c r="P358" t="s">
        <v>57</v>
      </c>
      <c r="Q358" t="s">
        <v>59</v>
      </c>
      <c r="R358" t="s">
        <v>109</v>
      </c>
      <c r="S358" t="s">
        <v>1420</v>
      </c>
      <c r="T358" t="s">
        <v>61</v>
      </c>
      <c r="U358">
        <v>2.1294</v>
      </c>
      <c r="V358" t="s">
        <v>62</v>
      </c>
      <c r="W358">
        <v>0</v>
      </c>
      <c r="X358">
        <v>33.006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111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105</v>
      </c>
      <c r="AT358" t="s">
        <v>71</v>
      </c>
      <c r="AU358">
        <v>0</v>
      </c>
      <c r="AV358">
        <v>0</v>
      </c>
    </row>
    <row r="359" spans="1:48" x14ac:dyDescent="0.25">
      <c r="A359" t="s">
        <v>1421</v>
      </c>
      <c r="B359" t="s">
        <v>105</v>
      </c>
      <c r="C359" t="s">
        <v>50</v>
      </c>
      <c r="D359">
        <v>439962.04979999998</v>
      </c>
      <c r="E359">
        <v>1828085.8171000001</v>
      </c>
      <c r="F359">
        <v>35.164999999999999</v>
      </c>
      <c r="G359" t="s">
        <v>1422</v>
      </c>
      <c r="H359" t="s">
        <v>52</v>
      </c>
      <c r="I359">
        <v>35.164999999999999</v>
      </c>
      <c r="J359" t="s">
        <v>53</v>
      </c>
      <c r="K359">
        <v>0</v>
      </c>
      <c r="L359" t="s">
        <v>1404</v>
      </c>
      <c r="M359" t="s">
        <v>432</v>
      </c>
      <c r="N359">
        <v>0.20519999999999999</v>
      </c>
      <c r="O359" t="s">
        <v>56</v>
      </c>
      <c r="P359" t="s">
        <v>57</v>
      </c>
      <c r="Q359" t="s">
        <v>59</v>
      </c>
      <c r="R359" t="s">
        <v>109</v>
      </c>
      <c r="S359" t="s">
        <v>1423</v>
      </c>
      <c r="T359" t="s">
        <v>61</v>
      </c>
      <c r="U359">
        <v>2.1793</v>
      </c>
      <c r="V359" t="s">
        <v>62</v>
      </c>
      <c r="W359">
        <v>0</v>
      </c>
      <c r="X359">
        <v>32.985999999999997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111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105</v>
      </c>
      <c r="AT359" t="s">
        <v>71</v>
      </c>
      <c r="AU359">
        <v>0</v>
      </c>
      <c r="AV359">
        <v>0</v>
      </c>
    </row>
    <row r="360" spans="1:48" x14ac:dyDescent="0.25">
      <c r="A360" t="s">
        <v>1424</v>
      </c>
      <c r="B360" t="s">
        <v>105</v>
      </c>
      <c r="C360" t="s">
        <v>50</v>
      </c>
      <c r="D360">
        <v>439962.04979999998</v>
      </c>
      <c r="E360">
        <v>1828065.8171000001</v>
      </c>
      <c r="F360">
        <v>35.158999999999999</v>
      </c>
      <c r="G360" t="s">
        <v>1425</v>
      </c>
      <c r="H360" t="s">
        <v>52</v>
      </c>
      <c r="I360">
        <v>35.158999999999999</v>
      </c>
      <c r="J360" t="s">
        <v>53</v>
      </c>
      <c r="K360">
        <v>0</v>
      </c>
      <c r="L360" t="s">
        <v>1404</v>
      </c>
      <c r="M360" t="s">
        <v>428</v>
      </c>
      <c r="N360">
        <v>0.1966</v>
      </c>
      <c r="O360" t="s">
        <v>56</v>
      </c>
      <c r="P360" t="s">
        <v>57</v>
      </c>
      <c r="Q360" t="s">
        <v>59</v>
      </c>
      <c r="R360" t="s">
        <v>109</v>
      </c>
      <c r="S360" t="s">
        <v>1426</v>
      </c>
      <c r="T360" t="s">
        <v>61</v>
      </c>
      <c r="U360">
        <v>2.1926999999999999</v>
      </c>
      <c r="V360" t="s">
        <v>62</v>
      </c>
      <c r="W360">
        <v>0</v>
      </c>
      <c r="X360">
        <v>32.966000000000001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111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105</v>
      </c>
      <c r="AT360" t="s">
        <v>71</v>
      </c>
      <c r="AU360">
        <v>0</v>
      </c>
      <c r="AV360">
        <v>0</v>
      </c>
    </row>
    <row r="361" spans="1:48" x14ac:dyDescent="0.25">
      <c r="A361" t="s">
        <v>1427</v>
      </c>
      <c r="B361" t="s">
        <v>105</v>
      </c>
      <c r="C361" t="s">
        <v>50</v>
      </c>
      <c r="D361">
        <v>439962.04979999998</v>
      </c>
      <c r="E361">
        <v>1828045.8171000001</v>
      </c>
      <c r="F361">
        <v>35.115000000000002</v>
      </c>
      <c r="G361" t="s">
        <v>1428</v>
      </c>
      <c r="H361" t="s">
        <v>52</v>
      </c>
      <c r="I361">
        <v>35.115000000000002</v>
      </c>
      <c r="J361" t="s">
        <v>53</v>
      </c>
      <c r="K361">
        <v>0</v>
      </c>
      <c r="L361" t="s">
        <v>1404</v>
      </c>
      <c r="M361" t="s">
        <v>424</v>
      </c>
      <c r="N361">
        <v>0.188</v>
      </c>
      <c r="O361" t="s">
        <v>56</v>
      </c>
      <c r="P361" t="s">
        <v>57</v>
      </c>
      <c r="Q361" t="s">
        <v>59</v>
      </c>
      <c r="R361" t="s">
        <v>109</v>
      </c>
      <c r="S361" t="s">
        <v>1429</v>
      </c>
      <c r="T361" t="s">
        <v>61</v>
      </c>
      <c r="U361">
        <v>2.1692</v>
      </c>
      <c r="V361" t="s">
        <v>62</v>
      </c>
      <c r="W361">
        <v>0</v>
      </c>
      <c r="X361">
        <v>32.945999999999998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111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105</v>
      </c>
      <c r="AT361" t="s">
        <v>71</v>
      </c>
      <c r="AU361">
        <v>0</v>
      </c>
      <c r="AV361">
        <v>0</v>
      </c>
    </row>
    <row r="362" spans="1:48" x14ac:dyDescent="0.25">
      <c r="A362" t="s">
        <v>1430</v>
      </c>
      <c r="B362" t="s">
        <v>105</v>
      </c>
      <c r="C362" t="s">
        <v>50</v>
      </c>
      <c r="D362">
        <v>439962.04979999998</v>
      </c>
      <c r="E362">
        <v>1828025.8171000001</v>
      </c>
      <c r="F362">
        <v>35.034999999999997</v>
      </c>
      <c r="G362" t="s">
        <v>1431</v>
      </c>
      <c r="H362" t="s">
        <v>52</v>
      </c>
      <c r="I362">
        <v>35.034999999999997</v>
      </c>
      <c r="J362" t="s">
        <v>53</v>
      </c>
      <c r="K362">
        <v>0</v>
      </c>
      <c r="L362" t="s">
        <v>1404</v>
      </c>
      <c r="M362" t="s">
        <v>420</v>
      </c>
      <c r="N362">
        <v>0.17949999999999999</v>
      </c>
      <c r="O362" t="s">
        <v>56</v>
      </c>
      <c r="P362" t="s">
        <v>57</v>
      </c>
      <c r="Q362" t="s">
        <v>59</v>
      </c>
      <c r="R362" t="s">
        <v>109</v>
      </c>
      <c r="S362" t="s">
        <v>1432</v>
      </c>
      <c r="T362" t="s">
        <v>61</v>
      </c>
      <c r="U362">
        <v>2.1089000000000002</v>
      </c>
      <c r="V362" t="s">
        <v>62</v>
      </c>
      <c r="W362">
        <v>0</v>
      </c>
      <c r="X362">
        <v>32.926000000000002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111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105</v>
      </c>
      <c r="AT362" t="s">
        <v>71</v>
      </c>
      <c r="AU362">
        <v>0</v>
      </c>
      <c r="AV362">
        <v>0</v>
      </c>
    </row>
    <row r="363" spans="1:48" x14ac:dyDescent="0.25">
      <c r="A363" t="s">
        <v>1433</v>
      </c>
      <c r="B363" t="s">
        <v>105</v>
      </c>
      <c r="C363" t="s">
        <v>50</v>
      </c>
      <c r="D363">
        <v>439962.04979999998</v>
      </c>
      <c r="E363">
        <v>1828005.8171000001</v>
      </c>
      <c r="F363">
        <v>34.939</v>
      </c>
      <c r="G363" t="s">
        <v>1434</v>
      </c>
      <c r="H363" t="s">
        <v>52</v>
      </c>
      <c r="I363">
        <v>34.939</v>
      </c>
      <c r="J363" t="s">
        <v>53</v>
      </c>
      <c r="K363">
        <v>0</v>
      </c>
      <c r="L363" t="s">
        <v>1404</v>
      </c>
      <c r="M363" t="s">
        <v>416</v>
      </c>
      <c r="N363">
        <v>0.1709</v>
      </c>
      <c r="O363" t="s">
        <v>56</v>
      </c>
      <c r="P363" t="s">
        <v>57</v>
      </c>
      <c r="Q363" t="s">
        <v>59</v>
      </c>
      <c r="R363" t="s">
        <v>109</v>
      </c>
      <c r="S363" t="s">
        <v>1435</v>
      </c>
      <c r="T363" t="s">
        <v>61</v>
      </c>
      <c r="U363">
        <v>2.0331999999999999</v>
      </c>
      <c r="V363" t="s">
        <v>62</v>
      </c>
      <c r="W363">
        <v>0</v>
      </c>
      <c r="X363">
        <v>32.905999999999999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111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105</v>
      </c>
      <c r="AT363" t="s">
        <v>71</v>
      </c>
      <c r="AU363">
        <v>0</v>
      </c>
      <c r="AV363">
        <v>0</v>
      </c>
    </row>
    <row r="364" spans="1:48" x14ac:dyDescent="0.25">
      <c r="A364" t="s">
        <v>1436</v>
      </c>
      <c r="B364" t="s">
        <v>105</v>
      </c>
      <c r="C364" t="s">
        <v>50</v>
      </c>
      <c r="D364">
        <v>439962.04979999998</v>
      </c>
      <c r="E364">
        <v>1827985.8171000001</v>
      </c>
      <c r="F364">
        <v>34.843000000000004</v>
      </c>
      <c r="G364" t="s">
        <v>1437</v>
      </c>
      <c r="H364" t="s">
        <v>52</v>
      </c>
      <c r="I364">
        <v>34.843000000000004</v>
      </c>
      <c r="J364" t="s">
        <v>53</v>
      </c>
      <c r="K364">
        <v>0</v>
      </c>
      <c r="L364" t="s">
        <v>1404</v>
      </c>
      <c r="M364" t="s">
        <v>529</v>
      </c>
      <c r="N364">
        <v>0.1623</v>
      </c>
      <c r="O364" t="s">
        <v>56</v>
      </c>
      <c r="P364" t="s">
        <v>57</v>
      </c>
      <c r="Q364" t="s">
        <v>59</v>
      </c>
      <c r="R364" t="s">
        <v>109</v>
      </c>
      <c r="S364" t="s">
        <v>1438</v>
      </c>
      <c r="T364" t="s">
        <v>61</v>
      </c>
      <c r="U364">
        <v>1.9575</v>
      </c>
      <c r="V364" t="s">
        <v>62</v>
      </c>
      <c r="W364">
        <v>0</v>
      </c>
      <c r="X364">
        <v>32.886000000000003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111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105</v>
      </c>
      <c r="AT364" t="s">
        <v>71</v>
      </c>
      <c r="AU364">
        <v>0</v>
      </c>
      <c r="AV364">
        <v>0</v>
      </c>
    </row>
    <row r="365" spans="1:48" x14ac:dyDescent="0.25">
      <c r="A365" t="s">
        <v>1439</v>
      </c>
      <c r="B365" t="s">
        <v>105</v>
      </c>
      <c r="C365" t="s">
        <v>50</v>
      </c>
      <c r="D365">
        <v>439962.04979999998</v>
      </c>
      <c r="E365">
        <v>1827965.8171000001</v>
      </c>
      <c r="F365">
        <v>34.747999999999998</v>
      </c>
      <c r="G365" t="s">
        <v>1440</v>
      </c>
      <c r="H365" t="s">
        <v>52</v>
      </c>
      <c r="I365">
        <v>34.747999999999998</v>
      </c>
      <c r="J365" t="s">
        <v>53</v>
      </c>
      <c r="K365">
        <v>0</v>
      </c>
      <c r="L365" t="s">
        <v>1404</v>
      </c>
      <c r="M365" t="s">
        <v>525</v>
      </c>
      <c r="N365">
        <v>0.1537</v>
      </c>
      <c r="O365" t="s">
        <v>56</v>
      </c>
      <c r="P365" t="s">
        <v>57</v>
      </c>
      <c r="Q365" t="s">
        <v>59</v>
      </c>
      <c r="R365" t="s">
        <v>109</v>
      </c>
      <c r="S365" t="s">
        <v>1441</v>
      </c>
      <c r="T365" t="s">
        <v>61</v>
      </c>
      <c r="U365">
        <v>1.8817999999999999</v>
      </c>
      <c r="V365" t="s">
        <v>62</v>
      </c>
      <c r="W365">
        <v>0</v>
      </c>
      <c r="X365">
        <v>32.866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111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105</v>
      </c>
      <c r="AT365" t="s">
        <v>71</v>
      </c>
      <c r="AU365">
        <v>0</v>
      </c>
      <c r="AV365">
        <v>0</v>
      </c>
    </row>
    <row r="366" spans="1:48" x14ac:dyDescent="0.25">
      <c r="A366" t="s">
        <v>1442</v>
      </c>
      <c r="B366" t="s">
        <v>105</v>
      </c>
      <c r="C366" t="s">
        <v>50</v>
      </c>
      <c r="D366">
        <v>439962.04979999998</v>
      </c>
      <c r="E366">
        <v>1827945.8171000001</v>
      </c>
      <c r="F366">
        <v>34.652000000000001</v>
      </c>
      <c r="G366" t="s">
        <v>1443</v>
      </c>
      <c r="H366" t="s">
        <v>52</v>
      </c>
      <c r="I366">
        <v>34.652000000000001</v>
      </c>
      <c r="J366" t="s">
        <v>53</v>
      </c>
      <c r="K366">
        <v>0</v>
      </c>
      <c r="L366" t="s">
        <v>1404</v>
      </c>
      <c r="M366" t="s">
        <v>1444</v>
      </c>
      <c r="N366">
        <v>0.14510000000000001</v>
      </c>
      <c r="O366" t="s">
        <v>56</v>
      </c>
      <c r="P366" t="s">
        <v>57</v>
      </c>
      <c r="Q366" t="s">
        <v>59</v>
      </c>
      <c r="R366" t="s">
        <v>109</v>
      </c>
      <c r="S366" t="s">
        <v>1445</v>
      </c>
      <c r="T366" t="s">
        <v>61</v>
      </c>
      <c r="U366">
        <v>1.9560999999999999</v>
      </c>
      <c r="V366" t="s">
        <v>62</v>
      </c>
      <c r="W366">
        <v>0</v>
      </c>
      <c r="X366">
        <v>32.695999999999998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111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105</v>
      </c>
      <c r="AT366" t="s">
        <v>71</v>
      </c>
      <c r="AU366">
        <v>0</v>
      </c>
      <c r="AV366">
        <v>0</v>
      </c>
    </row>
    <row r="367" spans="1:48" x14ac:dyDescent="0.25">
      <c r="A367" t="s">
        <v>1446</v>
      </c>
      <c r="B367" t="s">
        <v>105</v>
      </c>
      <c r="C367" t="s">
        <v>50</v>
      </c>
      <c r="D367">
        <v>439962.04979999998</v>
      </c>
      <c r="E367">
        <v>1827925.8171000001</v>
      </c>
      <c r="F367">
        <v>34.555999999999997</v>
      </c>
      <c r="G367" t="s">
        <v>1447</v>
      </c>
      <c r="H367" t="s">
        <v>52</v>
      </c>
      <c r="I367">
        <v>34.555999999999997</v>
      </c>
      <c r="J367" t="s">
        <v>53</v>
      </c>
      <c r="K367">
        <v>0</v>
      </c>
      <c r="L367" t="s">
        <v>1404</v>
      </c>
      <c r="M367" t="s">
        <v>1057</v>
      </c>
      <c r="N367">
        <v>0.13650000000000001</v>
      </c>
      <c r="O367" t="s">
        <v>56</v>
      </c>
      <c r="P367" t="s">
        <v>57</v>
      </c>
      <c r="Q367" t="s">
        <v>59</v>
      </c>
      <c r="R367" t="s">
        <v>109</v>
      </c>
      <c r="S367" t="s">
        <v>1448</v>
      </c>
      <c r="T367" t="s">
        <v>61</v>
      </c>
      <c r="U367">
        <v>1.8804000000000001</v>
      </c>
      <c r="V367" t="s">
        <v>62</v>
      </c>
      <c r="W367">
        <v>0</v>
      </c>
      <c r="X367">
        <v>32.676000000000002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111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105</v>
      </c>
      <c r="AT367" t="s">
        <v>71</v>
      </c>
      <c r="AU367">
        <v>0</v>
      </c>
      <c r="AV367">
        <v>0</v>
      </c>
    </row>
    <row r="368" spans="1:48" x14ac:dyDescent="0.25">
      <c r="A368" t="s">
        <v>1449</v>
      </c>
      <c r="B368" t="s">
        <v>105</v>
      </c>
      <c r="C368" t="s">
        <v>50</v>
      </c>
      <c r="D368">
        <v>439962.04979999998</v>
      </c>
      <c r="E368">
        <v>1827905.8171000001</v>
      </c>
      <c r="F368">
        <v>34.460999999999999</v>
      </c>
      <c r="G368" t="s">
        <v>1450</v>
      </c>
      <c r="H368" t="s">
        <v>52</v>
      </c>
      <c r="I368">
        <v>34.460999999999999</v>
      </c>
      <c r="J368" t="s">
        <v>53</v>
      </c>
      <c r="K368">
        <v>0</v>
      </c>
      <c r="L368" t="s">
        <v>1404</v>
      </c>
      <c r="M368" t="s">
        <v>1061</v>
      </c>
      <c r="N368">
        <v>0.12790000000000001</v>
      </c>
      <c r="O368" t="s">
        <v>56</v>
      </c>
      <c r="P368" t="s">
        <v>57</v>
      </c>
      <c r="Q368" t="s">
        <v>59</v>
      </c>
      <c r="R368" t="s">
        <v>109</v>
      </c>
      <c r="S368" t="s">
        <v>1451</v>
      </c>
      <c r="T368" t="s">
        <v>61</v>
      </c>
      <c r="U368">
        <v>1.8047</v>
      </c>
      <c r="V368" t="s">
        <v>62</v>
      </c>
      <c r="W368">
        <v>0</v>
      </c>
      <c r="X368">
        <v>32.655999999999999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111</v>
      </c>
      <c r="AG368" t="s">
        <v>65</v>
      </c>
      <c r="AH368" t="s">
        <v>65</v>
      </c>
      <c r="AI368" t="s">
        <v>67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105</v>
      </c>
      <c r="AT368" t="s">
        <v>71</v>
      </c>
      <c r="AU368">
        <v>0</v>
      </c>
      <c r="AV368">
        <v>0</v>
      </c>
    </row>
    <row r="369" spans="1:48" x14ac:dyDescent="0.25">
      <c r="A369" t="s">
        <v>1452</v>
      </c>
      <c r="B369" t="s">
        <v>105</v>
      </c>
      <c r="C369" t="s">
        <v>50</v>
      </c>
      <c r="D369">
        <v>439962.04979999998</v>
      </c>
      <c r="E369">
        <v>1827885.8171000001</v>
      </c>
      <c r="F369">
        <v>34.365000000000002</v>
      </c>
      <c r="G369" t="s">
        <v>1453</v>
      </c>
      <c r="H369" t="s">
        <v>52</v>
      </c>
      <c r="I369">
        <v>34.365000000000002</v>
      </c>
      <c r="J369" t="s">
        <v>53</v>
      </c>
      <c r="K369">
        <v>0</v>
      </c>
      <c r="L369" t="s">
        <v>1404</v>
      </c>
      <c r="M369" t="s">
        <v>1065</v>
      </c>
      <c r="N369">
        <v>0.1193</v>
      </c>
      <c r="O369" t="s">
        <v>56</v>
      </c>
      <c r="P369" t="s">
        <v>57</v>
      </c>
      <c r="Q369" t="s">
        <v>59</v>
      </c>
      <c r="R369" t="s">
        <v>109</v>
      </c>
      <c r="S369" t="s">
        <v>1454</v>
      </c>
      <c r="T369" t="s">
        <v>61</v>
      </c>
      <c r="U369">
        <v>1.9750000000000001</v>
      </c>
      <c r="V369" t="s">
        <v>62</v>
      </c>
      <c r="W369">
        <v>0</v>
      </c>
      <c r="X369">
        <v>32.39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111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105</v>
      </c>
      <c r="AT369" t="s">
        <v>71</v>
      </c>
      <c r="AU369">
        <v>0</v>
      </c>
      <c r="AV369">
        <v>0</v>
      </c>
    </row>
    <row r="370" spans="1:48" x14ac:dyDescent="0.25">
      <c r="A370" t="s">
        <v>1455</v>
      </c>
      <c r="B370" t="s">
        <v>105</v>
      </c>
      <c r="C370" t="s">
        <v>50</v>
      </c>
      <c r="D370">
        <v>439962.04979999998</v>
      </c>
      <c r="E370">
        <v>1827865.8171000001</v>
      </c>
      <c r="F370">
        <v>34.228000000000002</v>
      </c>
      <c r="G370" t="s">
        <v>1456</v>
      </c>
      <c r="H370" t="s">
        <v>52</v>
      </c>
      <c r="I370">
        <v>34.228000000000002</v>
      </c>
      <c r="J370" t="s">
        <v>53</v>
      </c>
      <c r="K370">
        <v>0</v>
      </c>
      <c r="L370" t="s">
        <v>1404</v>
      </c>
      <c r="M370" t="s">
        <v>1457</v>
      </c>
      <c r="N370">
        <v>0.11070000000000001</v>
      </c>
      <c r="O370" t="s">
        <v>56</v>
      </c>
      <c r="P370" t="s">
        <v>57</v>
      </c>
      <c r="Q370" t="s">
        <v>59</v>
      </c>
      <c r="R370" t="s">
        <v>109</v>
      </c>
      <c r="S370" t="s">
        <v>1458</v>
      </c>
      <c r="T370" t="s">
        <v>61</v>
      </c>
      <c r="U370">
        <v>1.8980999999999999</v>
      </c>
      <c r="V370" t="s">
        <v>62</v>
      </c>
      <c r="W370">
        <v>0</v>
      </c>
      <c r="X370">
        <v>32.33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111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105</v>
      </c>
      <c r="AT370" t="s">
        <v>71</v>
      </c>
      <c r="AU370">
        <v>0</v>
      </c>
      <c r="AV370">
        <v>0</v>
      </c>
    </row>
    <row r="371" spans="1:48" x14ac:dyDescent="0.25">
      <c r="A371" t="s">
        <v>1459</v>
      </c>
      <c r="B371" t="s">
        <v>105</v>
      </c>
      <c r="C371" t="s">
        <v>50</v>
      </c>
      <c r="D371">
        <v>439962.04979999998</v>
      </c>
      <c r="E371">
        <v>1827845.8171000001</v>
      </c>
      <c r="F371">
        <v>34.173999999999999</v>
      </c>
      <c r="G371" t="s">
        <v>1460</v>
      </c>
      <c r="H371" t="s">
        <v>52</v>
      </c>
      <c r="I371">
        <v>34.173999999999999</v>
      </c>
      <c r="J371" t="s">
        <v>53</v>
      </c>
      <c r="K371">
        <v>0</v>
      </c>
      <c r="L371" t="s">
        <v>1404</v>
      </c>
      <c r="M371" t="s">
        <v>853</v>
      </c>
      <c r="N371">
        <v>0.1022</v>
      </c>
      <c r="O371" t="s">
        <v>56</v>
      </c>
      <c r="P371" t="s">
        <v>57</v>
      </c>
      <c r="Q371" t="s">
        <v>59</v>
      </c>
      <c r="R371" t="s">
        <v>109</v>
      </c>
      <c r="S371" t="s">
        <v>1461</v>
      </c>
      <c r="T371" t="s">
        <v>61</v>
      </c>
      <c r="U371">
        <v>1.8635999999999999</v>
      </c>
      <c r="V371" t="s">
        <v>62</v>
      </c>
      <c r="W371">
        <v>0</v>
      </c>
      <c r="X371">
        <v>32.31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111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105</v>
      </c>
      <c r="AT371" t="s">
        <v>71</v>
      </c>
      <c r="AU371">
        <v>0</v>
      </c>
      <c r="AV371">
        <v>0</v>
      </c>
    </row>
    <row r="372" spans="1:48" x14ac:dyDescent="0.25">
      <c r="A372" t="s">
        <v>1462</v>
      </c>
      <c r="B372" t="s">
        <v>105</v>
      </c>
      <c r="C372" t="s">
        <v>50</v>
      </c>
      <c r="D372">
        <v>439962.04979999998</v>
      </c>
      <c r="E372">
        <v>1827825.8171000001</v>
      </c>
      <c r="F372">
        <v>34.078000000000003</v>
      </c>
      <c r="G372" t="s">
        <v>1463</v>
      </c>
      <c r="H372" t="s">
        <v>52</v>
      </c>
      <c r="I372">
        <v>34.078000000000003</v>
      </c>
      <c r="J372" t="s">
        <v>53</v>
      </c>
      <c r="K372">
        <v>0</v>
      </c>
      <c r="L372" t="s">
        <v>1404</v>
      </c>
      <c r="M372" t="s">
        <v>849</v>
      </c>
      <c r="N372">
        <v>9.3600000000000003E-2</v>
      </c>
      <c r="O372" t="s">
        <v>56</v>
      </c>
      <c r="P372" t="s">
        <v>57</v>
      </c>
      <c r="Q372" t="s">
        <v>59</v>
      </c>
      <c r="R372" t="s">
        <v>109</v>
      </c>
      <c r="S372" t="s">
        <v>1464</v>
      </c>
      <c r="T372" t="s">
        <v>61</v>
      </c>
      <c r="U372">
        <v>1.7879</v>
      </c>
      <c r="V372" t="s">
        <v>62</v>
      </c>
      <c r="W372">
        <v>0</v>
      </c>
      <c r="X372">
        <v>32.29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111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105</v>
      </c>
      <c r="AT372" t="s">
        <v>71</v>
      </c>
      <c r="AU372">
        <v>0</v>
      </c>
      <c r="AV372">
        <v>0</v>
      </c>
    </row>
    <row r="373" spans="1:48" x14ac:dyDescent="0.25">
      <c r="A373" t="s">
        <v>1465</v>
      </c>
      <c r="B373" t="s">
        <v>105</v>
      </c>
      <c r="C373" t="s">
        <v>50</v>
      </c>
      <c r="D373">
        <v>439962.04979999998</v>
      </c>
      <c r="E373">
        <v>1827805.8171000001</v>
      </c>
      <c r="F373">
        <v>33.981999999999999</v>
      </c>
      <c r="G373" t="s">
        <v>1466</v>
      </c>
      <c r="H373" t="s">
        <v>52</v>
      </c>
      <c r="I373">
        <v>33.981999999999999</v>
      </c>
      <c r="J373" t="s">
        <v>53</v>
      </c>
      <c r="K373">
        <v>0</v>
      </c>
      <c r="L373" t="s">
        <v>1404</v>
      </c>
      <c r="M373" t="s">
        <v>865</v>
      </c>
      <c r="N373">
        <v>8.5000000000000006E-2</v>
      </c>
      <c r="O373" t="s">
        <v>56</v>
      </c>
      <c r="P373" t="s">
        <v>57</v>
      </c>
      <c r="Q373" t="s">
        <v>59</v>
      </c>
      <c r="R373" t="s">
        <v>109</v>
      </c>
      <c r="S373" t="s">
        <v>1467</v>
      </c>
      <c r="T373" t="s">
        <v>61</v>
      </c>
      <c r="U373">
        <v>1.7870999999999999</v>
      </c>
      <c r="V373" t="s">
        <v>62</v>
      </c>
      <c r="W373">
        <v>0</v>
      </c>
      <c r="X373">
        <v>32.195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111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105</v>
      </c>
      <c r="AT373" t="s">
        <v>71</v>
      </c>
      <c r="AU373">
        <v>0</v>
      </c>
      <c r="AV373">
        <v>0</v>
      </c>
    </row>
    <row r="374" spans="1:48" x14ac:dyDescent="0.25">
      <c r="A374" t="s">
        <v>1468</v>
      </c>
      <c r="B374" t="s">
        <v>105</v>
      </c>
      <c r="C374" t="s">
        <v>50</v>
      </c>
      <c r="D374">
        <v>439962.04979999998</v>
      </c>
      <c r="E374">
        <v>1827785.8171000001</v>
      </c>
      <c r="F374">
        <v>33.887</v>
      </c>
      <c r="G374" t="s">
        <v>1469</v>
      </c>
      <c r="H374" t="s">
        <v>52</v>
      </c>
      <c r="I374">
        <v>33.887</v>
      </c>
      <c r="J374" t="s">
        <v>53</v>
      </c>
      <c r="K374">
        <v>0</v>
      </c>
      <c r="L374" t="s">
        <v>1404</v>
      </c>
      <c r="M374" t="s">
        <v>832</v>
      </c>
      <c r="N374">
        <v>7.6399999999999996E-2</v>
      </c>
      <c r="O374" t="s">
        <v>56</v>
      </c>
      <c r="P374" t="s">
        <v>57</v>
      </c>
      <c r="Q374" t="s">
        <v>59</v>
      </c>
      <c r="R374" t="s">
        <v>109</v>
      </c>
      <c r="S374" t="s">
        <v>1470</v>
      </c>
      <c r="T374" t="s">
        <v>61</v>
      </c>
      <c r="U374">
        <v>1.7823</v>
      </c>
      <c r="V374" t="s">
        <v>62</v>
      </c>
      <c r="W374">
        <v>0</v>
      </c>
      <c r="X374">
        <v>32.104999999999997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111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105</v>
      </c>
      <c r="AT374" t="s">
        <v>71</v>
      </c>
      <c r="AU374">
        <v>0</v>
      </c>
      <c r="AV374">
        <v>0</v>
      </c>
    </row>
    <row r="375" spans="1:48" x14ac:dyDescent="0.25">
      <c r="A375" t="s">
        <v>1471</v>
      </c>
      <c r="B375" t="s">
        <v>105</v>
      </c>
      <c r="C375" t="s">
        <v>50</v>
      </c>
      <c r="D375">
        <v>439962.04979999998</v>
      </c>
      <c r="E375">
        <v>1827765.8171000001</v>
      </c>
      <c r="F375">
        <v>33.796999999999997</v>
      </c>
      <c r="G375" t="s">
        <v>1472</v>
      </c>
      <c r="H375" t="s">
        <v>52</v>
      </c>
      <c r="I375">
        <v>33.796999999999997</v>
      </c>
      <c r="J375" t="s">
        <v>53</v>
      </c>
      <c r="K375">
        <v>0</v>
      </c>
      <c r="L375" t="s">
        <v>1404</v>
      </c>
      <c r="M375" t="s">
        <v>824</v>
      </c>
      <c r="N375">
        <v>6.7799999999999999E-2</v>
      </c>
      <c r="O375" t="s">
        <v>56</v>
      </c>
      <c r="P375" t="s">
        <v>57</v>
      </c>
      <c r="Q375" t="s">
        <v>59</v>
      </c>
      <c r="R375" t="s">
        <v>109</v>
      </c>
      <c r="S375" t="s">
        <v>1473</v>
      </c>
      <c r="T375" t="s">
        <v>61</v>
      </c>
      <c r="U375">
        <v>1.7773000000000001</v>
      </c>
      <c r="V375" t="s">
        <v>62</v>
      </c>
      <c r="W375">
        <v>0</v>
      </c>
      <c r="X375">
        <v>32.020000000000003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111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105</v>
      </c>
      <c r="AT375" t="s">
        <v>71</v>
      </c>
      <c r="AU375">
        <v>0</v>
      </c>
      <c r="AV375">
        <v>0</v>
      </c>
    </row>
    <row r="376" spans="1:48" x14ac:dyDescent="0.25">
      <c r="A376" t="s">
        <v>1474</v>
      </c>
      <c r="B376" t="s">
        <v>105</v>
      </c>
      <c r="C376" t="s">
        <v>50</v>
      </c>
      <c r="D376">
        <v>439962.04979999998</v>
      </c>
      <c r="E376">
        <v>1827745.8171000001</v>
      </c>
      <c r="F376">
        <v>33.713000000000001</v>
      </c>
      <c r="G376" t="s">
        <v>1475</v>
      </c>
      <c r="H376" t="s">
        <v>52</v>
      </c>
      <c r="I376">
        <v>33.713000000000001</v>
      </c>
      <c r="J376" t="s">
        <v>53</v>
      </c>
      <c r="K376">
        <v>0</v>
      </c>
      <c r="L376" t="s">
        <v>1404</v>
      </c>
      <c r="M376" t="s">
        <v>816</v>
      </c>
      <c r="N376">
        <v>5.9200000000000003E-2</v>
      </c>
      <c r="O376" t="s">
        <v>56</v>
      </c>
      <c r="P376" t="s">
        <v>57</v>
      </c>
      <c r="Q376" t="s">
        <v>59</v>
      </c>
      <c r="R376" t="s">
        <v>109</v>
      </c>
      <c r="S376" t="s">
        <v>1476</v>
      </c>
      <c r="T376" t="s">
        <v>61</v>
      </c>
      <c r="U376">
        <v>1.7717000000000001</v>
      </c>
      <c r="V376" t="s">
        <v>62</v>
      </c>
      <c r="W376">
        <v>0</v>
      </c>
      <c r="X376">
        <v>31.940999999999999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111</v>
      </c>
      <c r="AG376" t="s">
        <v>65</v>
      </c>
      <c r="AH376" t="s">
        <v>65</v>
      </c>
      <c r="AI376" t="s">
        <v>67</v>
      </c>
      <c r="AK376" t="s">
        <v>66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105</v>
      </c>
      <c r="AT376" t="s">
        <v>71</v>
      </c>
      <c r="AU376">
        <v>0</v>
      </c>
      <c r="AV376">
        <v>0</v>
      </c>
    </row>
    <row r="377" spans="1:48" x14ac:dyDescent="0.25">
      <c r="A377" t="s">
        <v>1477</v>
      </c>
      <c r="B377" t="s">
        <v>105</v>
      </c>
      <c r="C377" t="s">
        <v>50</v>
      </c>
      <c r="D377">
        <v>439962.04979999998</v>
      </c>
      <c r="E377">
        <v>1827725.8171000001</v>
      </c>
      <c r="F377">
        <v>33.634</v>
      </c>
      <c r="G377" t="s">
        <v>1478</v>
      </c>
      <c r="H377" t="s">
        <v>52</v>
      </c>
      <c r="I377">
        <v>33.634</v>
      </c>
      <c r="J377" t="s">
        <v>53</v>
      </c>
      <c r="K377">
        <v>0</v>
      </c>
      <c r="L377" t="s">
        <v>1404</v>
      </c>
      <c r="M377" t="s">
        <v>1479</v>
      </c>
      <c r="N377">
        <v>5.0599999999999999E-2</v>
      </c>
      <c r="O377" t="s">
        <v>56</v>
      </c>
      <c r="P377" t="s">
        <v>57</v>
      </c>
      <c r="Q377" t="s">
        <v>59</v>
      </c>
      <c r="R377" t="s">
        <v>109</v>
      </c>
      <c r="S377" t="s">
        <v>1480</v>
      </c>
      <c r="T377" t="s">
        <v>61</v>
      </c>
      <c r="U377">
        <v>1.7665</v>
      </c>
      <c r="V377" t="s">
        <v>62</v>
      </c>
      <c r="W377">
        <v>0</v>
      </c>
      <c r="X377">
        <v>31.867000000000001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111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105</v>
      </c>
      <c r="AT377" t="s">
        <v>71</v>
      </c>
      <c r="AU377">
        <v>0</v>
      </c>
      <c r="AV377">
        <v>0</v>
      </c>
    </row>
    <row r="378" spans="1:48" x14ac:dyDescent="0.25">
      <c r="A378" t="s">
        <v>1481</v>
      </c>
      <c r="B378" t="s">
        <v>105</v>
      </c>
      <c r="C378" t="s">
        <v>50</v>
      </c>
      <c r="D378">
        <v>439962.04979999998</v>
      </c>
      <c r="E378">
        <v>1827705.8171000001</v>
      </c>
      <c r="F378">
        <v>33.56</v>
      </c>
      <c r="G378" t="s">
        <v>1482</v>
      </c>
      <c r="H378" t="s">
        <v>52</v>
      </c>
      <c r="I378">
        <v>33.56</v>
      </c>
      <c r="J378" t="s">
        <v>53</v>
      </c>
      <c r="K378">
        <v>0</v>
      </c>
      <c r="L378" t="s">
        <v>1404</v>
      </c>
      <c r="M378" t="s">
        <v>1483</v>
      </c>
      <c r="N378">
        <v>4.2000000000000003E-2</v>
      </c>
      <c r="O378" t="s">
        <v>56</v>
      </c>
      <c r="P378" t="s">
        <v>57</v>
      </c>
      <c r="Q378" t="s">
        <v>59</v>
      </c>
      <c r="R378" t="s">
        <v>109</v>
      </c>
      <c r="S378" t="s">
        <v>1484</v>
      </c>
      <c r="T378" t="s">
        <v>61</v>
      </c>
      <c r="U378">
        <v>1.7617</v>
      </c>
      <c r="V378" t="s">
        <v>62</v>
      </c>
      <c r="W378">
        <v>0</v>
      </c>
      <c r="X378">
        <v>31.797999999999998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111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105</v>
      </c>
      <c r="AT378" t="s">
        <v>71</v>
      </c>
      <c r="AU378">
        <v>0</v>
      </c>
      <c r="AV378">
        <v>0</v>
      </c>
    </row>
    <row r="379" spans="1:48" x14ac:dyDescent="0.25">
      <c r="A379" t="s">
        <v>1485</v>
      </c>
      <c r="B379" t="s">
        <v>105</v>
      </c>
      <c r="C379" t="s">
        <v>50</v>
      </c>
      <c r="D379">
        <v>439962.04979999998</v>
      </c>
      <c r="E379">
        <v>1827685.8171000001</v>
      </c>
      <c r="F379">
        <v>33.49</v>
      </c>
      <c r="G379" t="s">
        <v>1486</v>
      </c>
      <c r="H379" t="s">
        <v>52</v>
      </c>
      <c r="I379">
        <v>33.49</v>
      </c>
      <c r="J379" t="s">
        <v>53</v>
      </c>
      <c r="K379">
        <v>0</v>
      </c>
      <c r="L379" t="s">
        <v>1404</v>
      </c>
      <c r="M379" t="s">
        <v>1487</v>
      </c>
      <c r="N379">
        <v>3.3399999999999999E-2</v>
      </c>
      <c r="O379" t="s">
        <v>56</v>
      </c>
      <c r="P379" t="s">
        <v>57</v>
      </c>
      <c r="Q379" t="s">
        <v>59</v>
      </c>
      <c r="R379" t="s">
        <v>109</v>
      </c>
      <c r="S379" t="s">
        <v>1488</v>
      </c>
      <c r="T379" t="s">
        <v>61</v>
      </c>
      <c r="U379">
        <v>1.7613000000000001</v>
      </c>
      <c r="V379" t="s">
        <v>62</v>
      </c>
      <c r="W379">
        <v>0</v>
      </c>
      <c r="X379">
        <v>31.728999999999999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111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105</v>
      </c>
      <c r="AT379" t="s">
        <v>71</v>
      </c>
      <c r="AU379">
        <v>0</v>
      </c>
      <c r="AV379">
        <v>0</v>
      </c>
    </row>
    <row r="380" spans="1:48" x14ac:dyDescent="0.25">
      <c r="A380" t="s">
        <v>1489</v>
      </c>
      <c r="B380" t="s">
        <v>105</v>
      </c>
      <c r="C380" t="s">
        <v>50</v>
      </c>
      <c r="D380">
        <v>439962.04979999998</v>
      </c>
      <c r="E380">
        <v>1827665.8171000001</v>
      </c>
      <c r="F380">
        <v>33.421999999999997</v>
      </c>
      <c r="G380" t="s">
        <v>1490</v>
      </c>
      <c r="H380" t="s">
        <v>52</v>
      </c>
      <c r="I380">
        <v>33.421999999999997</v>
      </c>
      <c r="J380" t="s">
        <v>53</v>
      </c>
      <c r="K380">
        <v>0</v>
      </c>
      <c r="L380" t="s">
        <v>1404</v>
      </c>
      <c r="M380" t="s">
        <v>1491</v>
      </c>
      <c r="N380">
        <v>2.4899999999999999E-2</v>
      </c>
      <c r="O380" t="s">
        <v>56</v>
      </c>
      <c r="P380" t="s">
        <v>57</v>
      </c>
      <c r="Q380" t="s">
        <v>59</v>
      </c>
      <c r="R380" t="s">
        <v>109</v>
      </c>
      <c r="S380" t="s">
        <v>1492</v>
      </c>
      <c r="T380" t="s">
        <v>61</v>
      </c>
      <c r="U380">
        <v>1.7615000000000001</v>
      </c>
      <c r="V380" t="s">
        <v>62</v>
      </c>
      <c r="W380">
        <v>0</v>
      </c>
      <c r="X380">
        <v>31.66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111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105</v>
      </c>
      <c r="AT380" t="s">
        <v>71</v>
      </c>
      <c r="AU380">
        <v>0</v>
      </c>
      <c r="AV380">
        <v>0</v>
      </c>
    </row>
    <row r="381" spans="1:48" x14ac:dyDescent="0.25">
      <c r="A381" t="s">
        <v>1493</v>
      </c>
      <c r="B381" t="s">
        <v>105</v>
      </c>
      <c r="C381" t="s">
        <v>50</v>
      </c>
      <c r="D381">
        <v>439962.04979999998</v>
      </c>
      <c r="E381">
        <v>1827645.8171000001</v>
      </c>
      <c r="F381">
        <v>33.353000000000002</v>
      </c>
      <c r="G381" t="s">
        <v>1494</v>
      </c>
      <c r="H381" t="s">
        <v>52</v>
      </c>
      <c r="I381">
        <v>33.353000000000002</v>
      </c>
      <c r="J381" t="s">
        <v>53</v>
      </c>
      <c r="K381">
        <v>0</v>
      </c>
      <c r="L381" t="s">
        <v>1404</v>
      </c>
      <c r="M381" t="s">
        <v>1495</v>
      </c>
      <c r="N381">
        <v>1.6299999999999999E-2</v>
      </c>
      <c r="O381" t="s">
        <v>56</v>
      </c>
      <c r="P381" t="s">
        <v>57</v>
      </c>
      <c r="Q381" t="s">
        <v>59</v>
      </c>
      <c r="R381" t="s">
        <v>109</v>
      </c>
      <c r="S381" t="s">
        <v>1484</v>
      </c>
      <c r="T381" t="s">
        <v>61</v>
      </c>
      <c r="U381">
        <v>1.7617</v>
      </c>
      <c r="V381" t="s">
        <v>62</v>
      </c>
      <c r="W381">
        <v>0</v>
      </c>
      <c r="X381">
        <v>31.591000000000001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111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105</v>
      </c>
      <c r="AT381" t="s">
        <v>71</v>
      </c>
      <c r="AU381">
        <v>0</v>
      </c>
      <c r="AV381">
        <v>0</v>
      </c>
    </row>
    <row r="382" spans="1:48" x14ac:dyDescent="0.25">
      <c r="A382" t="s">
        <v>1496</v>
      </c>
      <c r="B382" t="s">
        <v>105</v>
      </c>
      <c r="C382" t="s">
        <v>50</v>
      </c>
      <c r="D382">
        <v>439962.04979999998</v>
      </c>
      <c r="E382">
        <v>1827625.8171000001</v>
      </c>
      <c r="F382">
        <v>33.283999999999999</v>
      </c>
      <c r="G382" t="s">
        <v>1497</v>
      </c>
      <c r="H382" t="s">
        <v>52</v>
      </c>
      <c r="I382">
        <v>33.283999999999999</v>
      </c>
      <c r="J382" t="s">
        <v>53</v>
      </c>
      <c r="K382">
        <v>0</v>
      </c>
      <c r="L382" t="s">
        <v>1404</v>
      </c>
      <c r="M382" t="s">
        <v>575</v>
      </c>
      <c r="N382">
        <v>7.7000000000000002E-3</v>
      </c>
      <c r="O382" t="s">
        <v>56</v>
      </c>
      <c r="P382" t="s">
        <v>57</v>
      </c>
      <c r="Q382" t="s">
        <v>59</v>
      </c>
      <c r="R382" t="s">
        <v>109</v>
      </c>
      <c r="S382" t="s">
        <v>1498</v>
      </c>
      <c r="T382" t="s">
        <v>61</v>
      </c>
      <c r="U382">
        <v>1.7618</v>
      </c>
      <c r="V382" t="s">
        <v>62</v>
      </c>
      <c r="W382">
        <v>0</v>
      </c>
      <c r="X382">
        <v>31.521999999999998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111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105</v>
      </c>
      <c r="AT382" t="s">
        <v>71</v>
      </c>
      <c r="AU382">
        <v>0</v>
      </c>
      <c r="AV382">
        <v>0</v>
      </c>
    </row>
    <row r="383" spans="1:48" x14ac:dyDescent="0.25">
      <c r="A383" t="s">
        <v>1499</v>
      </c>
      <c r="B383" t="s">
        <v>105</v>
      </c>
      <c r="C383" t="s">
        <v>50</v>
      </c>
      <c r="D383">
        <v>439962.04979999998</v>
      </c>
      <c r="E383">
        <v>1827605.8171000001</v>
      </c>
      <c r="F383">
        <v>33.215000000000003</v>
      </c>
      <c r="G383" t="s">
        <v>1500</v>
      </c>
      <c r="H383" t="s">
        <v>52</v>
      </c>
      <c r="I383">
        <v>33.215000000000003</v>
      </c>
      <c r="J383" t="s">
        <v>53</v>
      </c>
      <c r="K383">
        <v>0</v>
      </c>
      <c r="L383" t="s">
        <v>1404</v>
      </c>
      <c r="M383" s="1" t="s">
        <v>571</v>
      </c>
      <c r="N383">
        <v>-8.9999999999999998E-4</v>
      </c>
      <c r="O383" t="s">
        <v>56</v>
      </c>
      <c r="P383" t="s">
        <v>57</v>
      </c>
      <c r="Q383" t="s">
        <v>59</v>
      </c>
      <c r="R383" t="s">
        <v>109</v>
      </c>
      <c r="S383" t="s">
        <v>1501</v>
      </c>
      <c r="T383" t="s">
        <v>61</v>
      </c>
      <c r="U383">
        <v>1.7609999999999999</v>
      </c>
      <c r="V383" t="s">
        <v>62</v>
      </c>
      <c r="W383">
        <v>0</v>
      </c>
      <c r="X383">
        <v>31.454000000000001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111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105</v>
      </c>
      <c r="AT383" t="s">
        <v>71</v>
      </c>
      <c r="AU383">
        <v>0</v>
      </c>
      <c r="AV383">
        <v>0</v>
      </c>
    </row>
    <row r="384" spans="1:48" x14ac:dyDescent="0.25">
      <c r="A384" t="s">
        <v>1502</v>
      </c>
      <c r="B384" t="s">
        <v>105</v>
      </c>
      <c r="C384" t="s">
        <v>50</v>
      </c>
      <c r="D384">
        <v>439962.04979999998</v>
      </c>
      <c r="E384">
        <v>1827585.8171000001</v>
      </c>
      <c r="F384">
        <v>33.146000000000001</v>
      </c>
      <c r="G384" t="s">
        <v>1503</v>
      </c>
      <c r="H384" t="s">
        <v>52</v>
      </c>
      <c r="I384">
        <v>33.146000000000001</v>
      </c>
      <c r="J384" t="s">
        <v>53</v>
      </c>
      <c r="K384">
        <v>0</v>
      </c>
      <c r="L384" t="s">
        <v>1404</v>
      </c>
      <c r="M384" t="s">
        <v>567</v>
      </c>
      <c r="N384">
        <v>-9.4999999999999998E-3</v>
      </c>
      <c r="O384" t="s">
        <v>56</v>
      </c>
      <c r="P384" t="s">
        <v>57</v>
      </c>
      <c r="Q384" t="s">
        <v>59</v>
      </c>
      <c r="R384" t="s">
        <v>109</v>
      </c>
      <c r="S384" t="s">
        <v>1504</v>
      </c>
      <c r="T384" t="s">
        <v>61</v>
      </c>
      <c r="U384">
        <v>1.7612000000000001</v>
      </c>
      <c r="V384" t="s">
        <v>62</v>
      </c>
      <c r="W384">
        <v>0</v>
      </c>
      <c r="X384">
        <v>31.385000000000002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111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105</v>
      </c>
      <c r="AT384" t="s">
        <v>71</v>
      </c>
      <c r="AU384">
        <v>0</v>
      </c>
      <c r="AV384">
        <v>0</v>
      </c>
    </row>
    <row r="385" spans="1:48" x14ac:dyDescent="0.25">
      <c r="A385" t="s">
        <v>1505</v>
      </c>
      <c r="B385" t="s">
        <v>105</v>
      </c>
      <c r="C385" t="s">
        <v>50</v>
      </c>
      <c r="D385">
        <v>439962.04979999998</v>
      </c>
      <c r="E385">
        <v>1827565.8171000001</v>
      </c>
      <c r="F385">
        <v>33.076999999999998</v>
      </c>
      <c r="G385" t="s">
        <v>1506</v>
      </c>
      <c r="H385" t="s">
        <v>52</v>
      </c>
      <c r="I385">
        <v>33.076999999999998</v>
      </c>
      <c r="J385" t="s">
        <v>53</v>
      </c>
      <c r="K385">
        <v>0</v>
      </c>
      <c r="L385" t="s">
        <v>1404</v>
      </c>
      <c r="M385" t="s">
        <v>563</v>
      </c>
      <c r="N385">
        <v>-1.8100000000000002E-2</v>
      </c>
      <c r="O385" t="s">
        <v>56</v>
      </c>
      <c r="P385" t="s">
        <v>57</v>
      </c>
      <c r="Q385" t="s">
        <v>59</v>
      </c>
      <c r="R385" t="s">
        <v>109</v>
      </c>
      <c r="S385" t="s">
        <v>1507</v>
      </c>
      <c r="T385" t="s">
        <v>61</v>
      </c>
      <c r="U385">
        <v>1.9263999999999999</v>
      </c>
      <c r="V385" t="s">
        <v>62</v>
      </c>
      <c r="W385">
        <v>0</v>
      </c>
      <c r="X385">
        <v>31.151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111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105</v>
      </c>
      <c r="AT385" t="s">
        <v>71</v>
      </c>
      <c r="AU385">
        <v>0</v>
      </c>
      <c r="AV385">
        <v>0</v>
      </c>
    </row>
    <row r="386" spans="1:48" x14ac:dyDescent="0.25">
      <c r="A386" t="s">
        <v>1508</v>
      </c>
      <c r="B386" t="s">
        <v>105</v>
      </c>
      <c r="C386" t="s">
        <v>50</v>
      </c>
      <c r="D386">
        <v>439951.39980000001</v>
      </c>
      <c r="E386">
        <v>1828205.8171000001</v>
      </c>
      <c r="F386">
        <v>34.710999999999999</v>
      </c>
      <c r="G386" t="s">
        <v>1509</v>
      </c>
      <c r="H386" t="s">
        <v>52</v>
      </c>
      <c r="I386">
        <v>34.710999999999999</v>
      </c>
      <c r="J386" t="s">
        <v>53</v>
      </c>
      <c r="K386">
        <v>0</v>
      </c>
      <c r="L386" t="s">
        <v>1510</v>
      </c>
      <c r="M386" t="s">
        <v>774</v>
      </c>
      <c r="N386">
        <v>0</v>
      </c>
      <c r="O386" t="s">
        <v>56</v>
      </c>
      <c r="P386" t="s">
        <v>57</v>
      </c>
      <c r="Q386" t="s">
        <v>59</v>
      </c>
      <c r="R386" t="s">
        <v>109</v>
      </c>
      <c r="S386" t="s">
        <v>1405</v>
      </c>
      <c r="T386" t="s">
        <v>61</v>
      </c>
      <c r="U386">
        <v>1.4524999999999999</v>
      </c>
      <c r="V386" t="s">
        <v>62</v>
      </c>
      <c r="W386">
        <v>0</v>
      </c>
      <c r="X386">
        <v>33.259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111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105</v>
      </c>
      <c r="AT386" t="s">
        <v>71</v>
      </c>
      <c r="AU386">
        <v>0</v>
      </c>
      <c r="AV386">
        <v>0</v>
      </c>
    </row>
    <row r="387" spans="1:48" x14ac:dyDescent="0.25">
      <c r="A387" t="s">
        <v>1511</v>
      </c>
      <c r="B387" t="s">
        <v>105</v>
      </c>
      <c r="C387" t="s">
        <v>50</v>
      </c>
      <c r="D387">
        <v>439951.39980000001</v>
      </c>
      <c r="E387">
        <v>1828185.8171000001</v>
      </c>
      <c r="F387">
        <v>34.801000000000002</v>
      </c>
      <c r="G387" t="s">
        <v>1512</v>
      </c>
      <c r="H387" t="s">
        <v>52</v>
      </c>
      <c r="I387">
        <v>34.801000000000002</v>
      </c>
      <c r="J387" t="s">
        <v>53</v>
      </c>
      <c r="K387">
        <v>0</v>
      </c>
      <c r="L387" t="s">
        <v>1510</v>
      </c>
      <c r="M387" t="s">
        <v>452</v>
      </c>
      <c r="N387">
        <v>0</v>
      </c>
      <c r="O387" t="s">
        <v>56</v>
      </c>
      <c r="P387" t="s">
        <v>57</v>
      </c>
      <c r="Q387" t="s">
        <v>59</v>
      </c>
      <c r="R387" t="s">
        <v>109</v>
      </c>
      <c r="S387" t="s">
        <v>1408</v>
      </c>
      <c r="T387" t="s">
        <v>61</v>
      </c>
      <c r="U387">
        <v>1.5634999999999999</v>
      </c>
      <c r="V387" t="s">
        <v>62</v>
      </c>
      <c r="W387">
        <v>0</v>
      </c>
      <c r="X387">
        <v>33.237000000000002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111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105</v>
      </c>
      <c r="AT387" t="s">
        <v>71</v>
      </c>
      <c r="AU387">
        <v>0</v>
      </c>
      <c r="AV387">
        <v>0</v>
      </c>
    </row>
    <row r="388" spans="1:48" x14ac:dyDescent="0.25">
      <c r="A388" t="s">
        <v>1513</v>
      </c>
      <c r="B388" t="s">
        <v>105</v>
      </c>
      <c r="C388" t="s">
        <v>50</v>
      </c>
      <c r="D388">
        <v>439951.39980000001</v>
      </c>
      <c r="E388">
        <v>1828165.8171000001</v>
      </c>
      <c r="F388">
        <v>34.89</v>
      </c>
      <c r="G388" t="s">
        <v>1514</v>
      </c>
      <c r="H388" t="s">
        <v>52</v>
      </c>
      <c r="I388">
        <v>34.89</v>
      </c>
      <c r="J388" t="s">
        <v>53</v>
      </c>
      <c r="K388">
        <v>0</v>
      </c>
      <c r="L388" t="s">
        <v>1510</v>
      </c>
      <c r="M388" t="s">
        <v>448</v>
      </c>
      <c r="N388">
        <v>0</v>
      </c>
      <c r="O388" t="s">
        <v>56</v>
      </c>
      <c r="P388" t="s">
        <v>57</v>
      </c>
      <c r="Q388" t="s">
        <v>59</v>
      </c>
      <c r="R388" t="s">
        <v>109</v>
      </c>
      <c r="S388" t="s">
        <v>1515</v>
      </c>
      <c r="T388" t="s">
        <v>61</v>
      </c>
      <c r="U388">
        <v>1.6726000000000001</v>
      </c>
      <c r="V388" t="s">
        <v>62</v>
      </c>
      <c r="W388">
        <v>0</v>
      </c>
      <c r="X388">
        <v>33.216999999999999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111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105</v>
      </c>
      <c r="AT388" t="s">
        <v>71</v>
      </c>
      <c r="AU388">
        <v>0</v>
      </c>
      <c r="AV388">
        <v>0</v>
      </c>
    </row>
    <row r="389" spans="1:48" x14ac:dyDescent="0.25">
      <c r="A389" t="s">
        <v>1516</v>
      </c>
      <c r="B389" t="s">
        <v>105</v>
      </c>
      <c r="C389" t="s">
        <v>50</v>
      </c>
      <c r="D389">
        <v>439951.39980000001</v>
      </c>
      <c r="E389">
        <v>1828145.8171000001</v>
      </c>
      <c r="F389">
        <v>34.978999999999999</v>
      </c>
      <c r="G389" t="s">
        <v>1517</v>
      </c>
      <c r="H389" t="s">
        <v>52</v>
      </c>
      <c r="I389">
        <v>34.978999999999999</v>
      </c>
      <c r="J389" t="s">
        <v>53</v>
      </c>
      <c r="K389">
        <v>0</v>
      </c>
      <c r="L389" t="s">
        <v>1510</v>
      </c>
      <c r="M389" t="s">
        <v>444</v>
      </c>
      <c r="N389">
        <v>0</v>
      </c>
      <c r="O389" t="s">
        <v>56</v>
      </c>
      <c r="P389" t="s">
        <v>57</v>
      </c>
      <c r="Q389" t="s">
        <v>59</v>
      </c>
      <c r="R389" t="s">
        <v>109</v>
      </c>
      <c r="S389" t="s">
        <v>1518</v>
      </c>
      <c r="T389" t="s">
        <v>61</v>
      </c>
      <c r="U389">
        <v>1.7816000000000001</v>
      </c>
      <c r="V389" t="s">
        <v>62</v>
      </c>
      <c r="W389">
        <v>0</v>
      </c>
      <c r="X389">
        <v>33.197000000000003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111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105</v>
      </c>
      <c r="AT389" t="s">
        <v>71</v>
      </c>
      <c r="AU389">
        <v>0</v>
      </c>
      <c r="AV389">
        <v>0</v>
      </c>
    </row>
    <row r="390" spans="1:48" x14ac:dyDescent="0.25">
      <c r="A390" t="s">
        <v>1519</v>
      </c>
      <c r="B390" t="s">
        <v>105</v>
      </c>
      <c r="C390" t="s">
        <v>50</v>
      </c>
      <c r="D390">
        <v>439951.3248</v>
      </c>
      <c r="E390">
        <v>1828125.8171000001</v>
      </c>
      <c r="F390">
        <v>35.069000000000003</v>
      </c>
      <c r="G390" t="s">
        <v>1520</v>
      </c>
      <c r="H390" t="s">
        <v>52</v>
      </c>
      <c r="I390">
        <v>35.069000000000003</v>
      </c>
      <c r="J390" t="s">
        <v>53</v>
      </c>
      <c r="K390">
        <v>0</v>
      </c>
      <c r="L390" t="s">
        <v>1510</v>
      </c>
      <c r="M390" t="s">
        <v>440</v>
      </c>
      <c r="N390">
        <v>7.4999999999999997E-2</v>
      </c>
      <c r="O390" t="s">
        <v>56</v>
      </c>
      <c r="P390" t="s">
        <v>57</v>
      </c>
      <c r="Q390" t="s">
        <v>59</v>
      </c>
      <c r="R390" t="s">
        <v>109</v>
      </c>
      <c r="S390" t="s">
        <v>1521</v>
      </c>
      <c r="T390" t="s">
        <v>61</v>
      </c>
      <c r="U390">
        <v>1.8919999999999999</v>
      </c>
      <c r="V390" t="s">
        <v>62</v>
      </c>
      <c r="W390">
        <v>0</v>
      </c>
      <c r="X390">
        <v>33.177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111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105</v>
      </c>
      <c r="AT390" t="s">
        <v>71</v>
      </c>
      <c r="AU390">
        <v>0</v>
      </c>
      <c r="AV390">
        <v>0</v>
      </c>
    </row>
    <row r="391" spans="1:48" x14ac:dyDescent="0.25">
      <c r="A391" t="s">
        <v>1522</v>
      </c>
      <c r="B391" t="s">
        <v>105</v>
      </c>
      <c r="C391" t="s">
        <v>50</v>
      </c>
      <c r="D391">
        <v>439951.39980000001</v>
      </c>
      <c r="E391">
        <v>1828105.8171000001</v>
      </c>
      <c r="F391">
        <v>35.134999999999998</v>
      </c>
      <c r="G391" t="s">
        <v>1523</v>
      </c>
      <c r="H391" t="s">
        <v>52</v>
      </c>
      <c r="I391">
        <v>35.134999999999998</v>
      </c>
      <c r="J391" t="s">
        <v>53</v>
      </c>
      <c r="K391">
        <v>0</v>
      </c>
      <c r="L391" t="s">
        <v>1510</v>
      </c>
      <c r="M391" t="s">
        <v>597</v>
      </c>
      <c r="N391">
        <v>0</v>
      </c>
      <c r="O391" t="s">
        <v>56</v>
      </c>
      <c r="P391" t="s">
        <v>57</v>
      </c>
      <c r="Q391" t="s">
        <v>59</v>
      </c>
      <c r="R391" t="s">
        <v>109</v>
      </c>
      <c r="S391" t="s">
        <v>1524</v>
      </c>
      <c r="T391" t="s">
        <v>61</v>
      </c>
      <c r="U391">
        <v>1.9779</v>
      </c>
      <c r="V391" t="s">
        <v>62</v>
      </c>
      <c r="W391">
        <v>0</v>
      </c>
      <c r="X391">
        <v>33.156999999999996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111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105</v>
      </c>
      <c r="AT391" t="s">
        <v>71</v>
      </c>
      <c r="AU391">
        <v>0</v>
      </c>
      <c r="AV391">
        <v>0</v>
      </c>
    </row>
    <row r="392" spans="1:48" x14ac:dyDescent="0.25">
      <c r="A392" t="s">
        <v>1525</v>
      </c>
      <c r="B392" t="s">
        <v>105</v>
      </c>
      <c r="C392" t="s">
        <v>50</v>
      </c>
      <c r="D392">
        <v>439951.39980000001</v>
      </c>
      <c r="E392">
        <v>1828085.8171000001</v>
      </c>
      <c r="F392">
        <v>35.164999999999999</v>
      </c>
      <c r="G392" t="s">
        <v>1526</v>
      </c>
      <c r="H392" t="s">
        <v>52</v>
      </c>
      <c r="I392">
        <v>35.164999999999999</v>
      </c>
      <c r="J392" t="s">
        <v>53</v>
      </c>
      <c r="K392">
        <v>0</v>
      </c>
      <c r="L392" t="s">
        <v>1510</v>
      </c>
      <c r="M392" t="s">
        <v>432</v>
      </c>
      <c r="N392">
        <v>0</v>
      </c>
      <c r="O392" t="s">
        <v>56</v>
      </c>
      <c r="P392" t="s">
        <v>57</v>
      </c>
      <c r="Q392" t="s">
        <v>59</v>
      </c>
      <c r="R392" t="s">
        <v>109</v>
      </c>
      <c r="S392" t="s">
        <v>1527</v>
      </c>
      <c r="T392" t="s">
        <v>61</v>
      </c>
      <c r="U392">
        <v>2.1783000000000001</v>
      </c>
      <c r="V392" t="s">
        <v>62</v>
      </c>
      <c r="W392">
        <v>0</v>
      </c>
      <c r="X392">
        <v>32.987000000000002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111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105</v>
      </c>
      <c r="AT392" t="s">
        <v>71</v>
      </c>
      <c r="AU392">
        <v>0</v>
      </c>
      <c r="AV392">
        <v>0</v>
      </c>
    </row>
    <row r="393" spans="1:48" x14ac:dyDescent="0.25">
      <c r="A393" t="s">
        <v>1528</v>
      </c>
      <c r="B393" t="s">
        <v>105</v>
      </c>
      <c r="C393" t="s">
        <v>50</v>
      </c>
      <c r="D393">
        <v>439951.39980000001</v>
      </c>
      <c r="E393">
        <v>1828065.8171000001</v>
      </c>
      <c r="F393">
        <v>35.158999999999999</v>
      </c>
      <c r="G393" t="s">
        <v>1529</v>
      </c>
      <c r="H393" t="s">
        <v>52</v>
      </c>
      <c r="I393">
        <v>35.158999999999999</v>
      </c>
      <c r="J393" t="s">
        <v>53</v>
      </c>
      <c r="K393">
        <v>0</v>
      </c>
      <c r="L393" t="s">
        <v>1510</v>
      </c>
      <c r="M393" t="s">
        <v>428</v>
      </c>
      <c r="N393">
        <v>0</v>
      </c>
      <c r="O393" t="s">
        <v>56</v>
      </c>
      <c r="P393" t="s">
        <v>57</v>
      </c>
      <c r="Q393" t="s">
        <v>59</v>
      </c>
      <c r="R393" t="s">
        <v>109</v>
      </c>
      <c r="S393" t="s">
        <v>1530</v>
      </c>
      <c r="T393" t="s">
        <v>61</v>
      </c>
      <c r="U393">
        <v>2.1917</v>
      </c>
      <c r="V393" t="s">
        <v>62</v>
      </c>
      <c r="W393">
        <v>0</v>
      </c>
      <c r="X393">
        <v>32.966999999999999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111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105</v>
      </c>
      <c r="AT393" t="s">
        <v>71</v>
      </c>
      <c r="AU393">
        <v>0</v>
      </c>
      <c r="AV393">
        <v>0</v>
      </c>
    </row>
    <row r="394" spans="1:48" x14ac:dyDescent="0.25">
      <c r="A394" t="s">
        <v>1531</v>
      </c>
      <c r="B394" t="s">
        <v>105</v>
      </c>
      <c r="C394" t="s">
        <v>50</v>
      </c>
      <c r="D394">
        <v>439951.39980000001</v>
      </c>
      <c r="E394">
        <v>1828045.8171000001</v>
      </c>
      <c r="F394">
        <v>35.115000000000002</v>
      </c>
      <c r="G394" t="s">
        <v>1532</v>
      </c>
      <c r="H394" t="s">
        <v>52</v>
      </c>
      <c r="I394">
        <v>35.115000000000002</v>
      </c>
      <c r="J394" t="s">
        <v>53</v>
      </c>
      <c r="K394">
        <v>0</v>
      </c>
      <c r="L394" t="s">
        <v>1510</v>
      </c>
      <c r="M394" t="s">
        <v>424</v>
      </c>
      <c r="N394">
        <v>0</v>
      </c>
      <c r="O394" t="s">
        <v>56</v>
      </c>
      <c r="P394" t="s">
        <v>57</v>
      </c>
      <c r="Q394" t="s">
        <v>59</v>
      </c>
      <c r="R394" t="s">
        <v>109</v>
      </c>
      <c r="S394" t="s">
        <v>1533</v>
      </c>
      <c r="T394" t="s">
        <v>61</v>
      </c>
      <c r="U394">
        <v>2.1682000000000001</v>
      </c>
      <c r="V394" t="s">
        <v>62</v>
      </c>
      <c r="W394">
        <v>0</v>
      </c>
      <c r="X394">
        <v>32.947000000000003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111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105</v>
      </c>
      <c r="AT394" t="s">
        <v>71</v>
      </c>
      <c r="AU394">
        <v>0</v>
      </c>
      <c r="AV394">
        <v>0</v>
      </c>
    </row>
    <row r="395" spans="1:48" x14ac:dyDescent="0.25">
      <c r="A395" t="s">
        <v>1534</v>
      </c>
      <c r="B395" t="s">
        <v>105</v>
      </c>
      <c r="C395" t="s">
        <v>50</v>
      </c>
      <c r="D395">
        <v>439951.39980000001</v>
      </c>
      <c r="E395">
        <v>1828025.8171000001</v>
      </c>
      <c r="F395">
        <v>35.034999999999997</v>
      </c>
      <c r="G395" t="s">
        <v>1535</v>
      </c>
      <c r="H395" t="s">
        <v>52</v>
      </c>
      <c r="I395">
        <v>35.034999999999997</v>
      </c>
      <c r="J395" t="s">
        <v>53</v>
      </c>
      <c r="K395">
        <v>0</v>
      </c>
      <c r="L395" t="s">
        <v>1510</v>
      </c>
      <c r="M395" t="s">
        <v>420</v>
      </c>
      <c r="N395">
        <v>0</v>
      </c>
      <c r="O395" t="s">
        <v>56</v>
      </c>
      <c r="P395" t="s">
        <v>57</v>
      </c>
      <c r="Q395" t="s">
        <v>59</v>
      </c>
      <c r="R395" t="s">
        <v>109</v>
      </c>
      <c r="S395" t="s">
        <v>1536</v>
      </c>
      <c r="T395" t="s">
        <v>61</v>
      </c>
      <c r="U395">
        <v>2.1078999999999999</v>
      </c>
      <c r="V395" t="s">
        <v>62</v>
      </c>
      <c r="W395">
        <v>0</v>
      </c>
      <c r="X395">
        <v>32.927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111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105</v>
      </c>
      <c r="AT395" t="s">
        <v>71</v>
      </c>
      <c r="AU395">
        <v>0</v>
      </c>
      <c r="AV395">
        <v>0</v>
      </c>
    </row>
    <row r="396" spans="1:48" x14ac:dyDescent="0.25">
      <c r="A396" t="s">
        <v>1537</v>
      </c>
      <c r="B396" t="s">
        <v>105</v>
      </c>
      <c r="C396" t="s">
        <v>50</v>
      </c>
      <c r="D396">
        <v>439951.39980000001</v>
      </c>
      <c r="E396">
        <v>1828005.8171000001</v>
      </c>
      <c r="F396">
        <v>34.939</v>
      </c>
      <c r="G396" t="s">
        <v>1538</v>
      </c>
      <c r="H396" t="s">
        <v>52</v>
      </c>
      <c r="I396">
        <v>34.939</v>
      </c>
      <c r="J396" t="s">
        <v>53</v>
      </c>
      <c r="K396">
        <v>0</v>
      </c>
      <c r="L396" t="s">
        <v>1510</v>
      </c>
      <c r="M396" t="s">
        <v>416</v>
      </c>
      <c r="N396">
        <v>0</v>
      </c>
      <c r="O396" t="s">
        <v>56</v>
      </c>
      <c r="P396" t="s">
        <v>57</v>
      </c>
      <c r="Q396" t="s">
        <v>59</v>
      </c>
      <c r="R396" t="s">
        <v>109</v>
      </c>
      <c r="S396" t="s">
        <v>1539</v>
      </c>
      <c r="T396" t="s">
        <v>61</v>
      </c>
      <c r="U396">
        <v>2.0322</v>
      </c>
      <c r="V396" t="s">
        <v>62</v>
      </c>
      <c r="W396">
        <v>0</v>
      </c>
      <c r="X396">
        <v>32.906999999999996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111</v>
      </c>
      <c r="AG396" t="s">
        <v>65</v>
      </c>
      <c r="AH396" t="s">
        <v>65</v>
      </c>
      <c r="AI396" t="s">
        <v>67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105</v>
      </c>
      <c r="AT396" t="s">
        <v>71</v>
      </c>
      <c r="AU396">
        <v>0</v>
      </c>
      <c r="AV396">
        <v>0</v>
      </c>
    </row>
    <row r="397" spans="1:48" x14ac:dyDescent="0.25">
      <c r="A397" t="s">
        <v>1540</v>
      </c>
      <c r="B397" t="s">
        <v>105</v>
      </c>
      <c r="C397" t="s">
        <v>50</v>
      </c>
      <c r="D397">
        <v>439951.39980000001</v>
      </c>
      <c r="E397">
        <v>1827985.8171000001</v>
      </c>
      <c r="F397">
        <v>34.843000000000004</v>
      </c>
      <c r="G397" t="s">
        <v>1541</v>
      </c>
      <c r="H397" t="s">
        <v>52</v>
      </c>
      <c r="I397">
        <v>34.843000000000004</v>
      </c>
      <c r="J397" t="s">
        <v>53</v>
      </c>
      <c r="K397">
        <v>0</v>
      </c>
      <c r="L397" t="s">
        <v>1510</v>
      </c>
      <c r="M397" t="s">
        <v>529</v>
      </c>
      <c r="N397">
        <v>0</v>
      </c>
      <c r="O397" t="s">
        <v>56</v>
      </c>
      <c r="P397" t="s">
        <v>57</v>
      </c>
      <c r="Q397" t="s">
        <v>59</v>
      </c>
      <c r="R397" t="s">
        <v>109</v>
      </c>
      <c r="S397" t="s">
        <v>1542</v>
      </c>
      <c r="T397" t="s">
        <v>61</v>
      </c>
      <c r="U397">
        <v>1.9564999999999999</v>
      </c>
      <c r="V397" t="s">
        <v>62</v>
      </c>
      <c r="W397">
        <v>0</v>
      </c>
      <c r="X397">
        <v>32.887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111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105</v>
      </c>
      <c r="AT397" t="s">
        <v>71</v>
      </c>
      <c r="AU397">
        <v>0</v>
      </c>
      <c r="AV397">
        <v>0</v>
      </c>
    </row>
    <row r="398" spans="1:48" x14ac:dyDescent="0.25">
      <c r="A398" t="s">
        <v>1543</v>
      </c>
      <c r="B398" t="s">
        <v>105</v>
      </c>
      <c r="C398" t="s">
        <v>50</v>
      </c>
      <c r="D398">
        <v>439951.39980000001</v>
      </c>
      <c r="E398">
        <v>1827965.8171000001</v>
      </c>
      <c r="F398">
        <v>34.747999999999998</v>
      </c>
      <c r="G398" t="s">
        <v>1544</v>
      </c>
      <c r="H398" t="s">
        <v>52</v>
      </c>
      <c r="I398">
        <v>34.747999999999998</v>
      </c>
      <c r="J398" t="s">
        <v>53</v>
      </c>
      <c r="K398">
        <v>0</v>
      </c>
      <c r="L398" t="s">
        <v>1510</v>
      </c>
      <c r="M398" t="s">
        <v>525</v>
      </c>
      <c r="N398">
        <v>0</v>
      </c>
      <c r="O398" t="s">
        <v>56</v>
      </c>
      <c r="P398" t="s">
        <v>57</v>
      </c>
      <c r="Q398" t="s">
        <v>59</v>
      </c>
      <c r="R398" t="s">
        <v>109</v>
      </c>
      <c r="S398" t="s">
        <v>1545</v>
      </c>
      <c r="T398" t="s">
        <v>61</v>
      </c>
      <c r="U398">
        <v>1.8808</v>
      </c>
      <c r="V398" t="s">
        <v>62</v>
      </c>
      <c r="W398">
        <v>0</v>
      </c>
      <c r="X398">
        <v>32.866999999999997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111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105</v>
      </c>
      <c r="AT398" t="s">
        <v>71</v>
      </c>
      <c r="AU398">
        <v>0</v>
      </c>
      <c r="AV398">
        <v>0</v>
      </c>
    </row>
    <row r="399" spans="1:48" x14ac:dyDescent="0.25">
      <c r="A399" t="s">
        <v>1546</v>
      </c>
      <c r="B399" t="s">
        <v>105</v>
      </c>
      <c r="C399" t="s">
        <v>50</v>
      </c>
      <c r="D399">
        <v>439951.39980000001</v>
      </c>
      <c r="E399">
        <v>1827945.8171000001</v>
      </c>
      <c r="F399">
        <v>34.652000000000001</v>
      </c>
      <c r="G399" t="s">
        <v>1547</v>
      </c>
      <c r="H399" t="s">
        <v>52</v>
      </c>
      <c r="I399">
        <v>34.652000000000001</v>
      </c>
      <c r="J399" t="s">
        <v>53</v>
      </c>
      <c r="K399">
        <v>0</v>
      </c>
      <c r="L399" t="s">
        <v>1510</v>
      </c>
      <c r="M399" t="s">
        <v>1444</v>
      </c>
      <c r="N399">
        <v>0</v>
      </c>
      <c r="O399" t="s">
        <v>56</v>
      </c>
      <c r="P399" t="s">
        <v>57</v>
      </c>
      <c r="Q399" t="s">
        <v>59</v>
      </c>
      <c r="R399" t="s">
        <v>109</v>
      </c>
      <c r="S399" t="s">
        <v>1548</v>
      </c>
      <c r="T399" t="s">
        <v>61</v>
      </c>
      <c r="U399">
        <v>1.9551000000000001</v>
      </c>
      <c r="V399" t="s">
        <v>62</v>
      </c>
      <c r="W399">
        <v>0</v>
      </c>
      <c r="X399">
        <v>32.697000000000003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111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105</v>
      </c>
      <c r="AT399" t="s">
        <v>71</v>
      </c>
      <c r="AU399">
        <v>0</v>
      </c>
      <c r="AV399">
        <v>0</v>
      </c>
    </row>
    <row r="400" spans="1:48" x14ac:dyDescent="0.25">
      <c r="A400" t="s">
        <v>1549</v>
      </c>
      <c r="B400" t="s">
        <v>105</v>
      </c>
      <c r="C400" t="s">
        <v>50</v>
      </c>
      <c r="D400">
        <v>439951.39980000001</v>
      </c>
      <c r="E400">
        <v>1827925.8171000001</v>
      </c>
      <c r="F400">
        <v>34.555999999999997</v>
      </c>
      <c r="G400" t="s">
        <v>1550</v>
      </c>
      <c r="H400" t="s">
        <v>52</v>
      </c>
      <c r="I400">
        <v>34.555999999999997</v>
      </c>
      <c r="J400" t="s">
        <v>53</v>
      </c>
      <c r="K400">
        <v>0</v>
      </c>
      <c r="L400" t="s">
        <v>1510</v>
      </c>
      <c r="M400" t="s">
        <v>1057</v>
      </c>
      <c r="N400">
        <v>0</v>
      </c>
      <c r="O400" t="s">
        <v>56</v>
      </c>
      <c r="P400" t="s">
        <v>57</v>
      </c>
      <c r="Q400" t="s">
        <v>59</v>
      </c>
      <c r="R400" t="s">
        <v>109</v>
      </c>
      <c r="S400" t="s">
        <v>1551</v>
      </c>
      <c r="T400" t="s">
        <v>61</v>
      </c>
      <c r="U400">
        <v>1.8794</v>
      </c>
      <c r="V400" t="s">
        <v>62</v>
      </c>
      <c r="W400">
        <v>0</v>
      </c>
      <c r="X400">
        <v>32.677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111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105</v>
      </c>
      <c r="AT400" t="s">
        <v>71</v>
      </c>
      <c r="AU400">
        <v>0</v>
      </c>
      <c r="AV400">
        <v>0</v>
      </c>
    </row>
    <row r="401" spans="1:48" x14ac:dyDescent="0.25">
      <c r="A401" t="s">
        <v>1552</v>
      </c>
      <c r="B401" t="s">
        <v>105</v>
      </c>
      <c r="C401" t="s">
        <v>50</v>
      </c>
      <c r="D401">
        <v>439951.39980000001</v>
      </c>
      <c r="E401">
        <v>1827905.8171000001</v>
      </c>
      <c r="F401">
        <v>34.460999999999999</v>
      </c>
      <c r="G401" t="s">
        <v>1553</v>
      </c>
      <c r="H401" t="s">
        <v>52</v>
      </c>
      <c r="I401">
        <v>34.460999999999999</v>
      </c>
      <c r="J401" t="s">
        <v>53</v>
      </c>
      <c r="K401">
        <v>0</v>
      </c>
      <c r="L401" t="s">
        <v>1510</v>
      </c>
      <c r="M401" t="s">
        <v>1061</v>
      </c>
      <c r="N401">
        <v>0</v>
      </c>
      <c r="O401" t="s">
        <v>56</v>
      </c>
      <c r="P401" t="s">
        <v>57</v>
      </c>
      <c r="Q401" t="s">
        <v>59</v>
      </c>
      <c r="R401" t="s">
        <v>109</v>
      </c>
      <c r="S401" t="s">
        <v>1554</v>
      </c>
      <c r="T401" t="s">
        <v>61</v>
      </c>
      <c r="U401">
        <v>1.8037000000000001</v>
      </c>
      <c r="V401" t="s">
        <v>62</v>
      </c>
      <c r="W401">
        <v>0</v>
      </c>
      <c r="X401">
        <v>32.656999999999996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111</v>
      </c>
      <c r="AG401" t="s">
        <v>65</v>
      </c>
      <c r="AH401" t="s">
        <v>65</v>
      </c>
      <c r="AI401" t="s">
        <v>67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105</v>
      </c>
      <c r="AT401" t="s">
        <v>71</v>
      </c>
      <c r="AU401">
        <v>0</v>
      </c>
      <c r="AV401">
        <v>0</v>
      </c>
    </row>
    <row r="402" spans="1:48" x14ac:dyDescent="0.25">
      <c r="A402" t="s">
        <v>1555</v>
      </c>
      <c r="B402" t="s">
        <v>105</v>
      </c>
      <c r="C402" t="s">
        <v>50</v>
      </c>
      <c r="D402">
        <v>439951.39980000001</v>
      </c>
      <c r="E402">
        <v>1827885.8171000001</v>
      </c>
      <c r="F402">
        <v>34.365000000000002</v>
      </c>
      <c r="G402" t="s">
        <v>1556</v>
      </c>
      <c r="H402" t="s">
        <v>52</v>
      </c>
      <c r="I402">
        <v>34.365000000000002</v>
      </c>
      <c r="J402" t="s">
        <v>53</v>
      </c>
      <c r="K402">
        <v>0</v>
      </c>
      <c r="L402" t="s">
        <v>1510</v>
      </c>
      <c r="M402" t="s">
        <v>1065</v>
      </c>
      <c r="N402">
        <v>0</v>
      </c>
      <c r="O402" t="s">
        <v>56</v>
      </c>
      <c r="P402" t="s">
        <v>57</v>
      </c>
      <c r="Q402" t="s">
        <v>59</v>
      </c>
      <c r="R402" t="s">
        <v>109</v>
      </c>
      <c r="S402" t="s">
        <v>1557</v>
      </c>
      <c r="T402" t="s">
        <v>61</v>
      </c>
      <c r="U402">
        <v>1.7889999999999999</v>
      </c>
      <c r="V402" t="s">
        <v>62</v>
      </c>
      <c r="W402">
        <v>0</v>
      </c>
      <c r="X402">
        <v>32.576000000000001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111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105</v>
      </c>
      <c r="AT402" t="s">
        <v>71</v>
      </c>
      <c r="AU402">
        <v>0</v>
      </c>
      <c r="AV402">
        <v>0</v>
      </c>
    </row>
    <row r="403" spans="1:48" x14ac:dyDescent="0.25">
      <c r="A403" t="s">
        <v>1558</v>
      </c>
      <c r="B403" t="s">
        <v>105</v>
      </c>
      <c r="C403" t="s">
        <v>50</v>
      </c>
      <c r="D403">
        <v>439951.39980000001</v>
      </c>
      <c r="E403">
        <v>1827865.6044999999</v>
      </c>
      <c r="F403">
        <v>34.268000000000001</v>
      </c>
      <c r="G403" t="s">
        <v>1559</v>
      </c>
      <c r="H403" t="s">
        <v>52</v>
      </c>
      <c r="I403">
        <v>34.268000000000001</v>
      </c>
      <c r="J403" t="s">
        <v>53</v>
      </c>
      <c r="K403">
        <v>0</v>
      </c>
      <c r="L403" t="s">
        <v>1510</v>
      </c>
      <c r="M403" t="s">
        <v>1560</v>
      </c>
      <c r="N403">
        <v>0</v>
      </c>
      <c r="O403" t="s">
        <v>56</v>
      </c>
      <c r="P403" t="s">
        <v>57</v>
      </c>
      <c r="Q403" t="s">
        <v>59</v>
      </c>
      <c r="R403" t="s">
        <v>109</v>
      </c>
      <c r="S403" t="s">
        <v>1561</v>
      </c>
      <c r="T403" t="s">
        <v>61</v>
      </c>
      <c r="U403">
        <v>1.7682</v>
      </c>
      <c r="V403" t="s">
        <v>62</v>
      </c>
      <c r="W403">
        <v>0</v>
      </c>
      <c r="X403">
        <v>32.5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111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105</v>
      </c>
      <c r="AT403" t="s">
        <v>71</v>
      </c>
      <c r="AU403">
        <v>0</v>
      </c>
      <c r="AV403">
        <v>0</v>
      </c>
    </row>
    <row r="404" spans="1:48" x14ac:dyDescent="0.25">
      <c r="A404" t="s">
        <v>1562</v>
      </c>
      <c r="B404" t="s">
        <v>105</v>
      </c>
      <c r="C404" t="s">
        <v>50</v>
      </c>
      <c r="D404">
        <v>439951.39980000001</v>
      </c>
      <c r="E404">
        <v>1827845.8171000001</v>
      </c>
      <c r="F404">
        <v>34.173999999999999</v>
      </c>
      <c r="G404" t="s">
        <v>1563</v>
      </c>
      <c r="H404" t="s">
        <v>52</v>
      </c>
      <c r="I404">
        <v>34.173999999999999</v>
      </c>
      <c r="J404" t="s">
        <v>53</v>
      </c>
      <c r="K404">
        <v>0</v>
      </c>
      <c r="L404" t="s">
        <v>1510</v>
      </c>
      <c r="M404" t="s">
        <v>853</v>
      </c>
      <c r="N404">
        <v>0</v>
      </c>
      <c r="O404" t="s">
        <v>56</v>
      </c>
      <c r="P404" t="s">
        <v>57</v>
      </c>
      <c r="Q404" t="s">
        <v>59</v>
      </c>
      <c r="R404" t="s">
        <v>109</v>
      </c>
      <c r="S404" t="s">
        <v>1564</v>
      </c>
      <c r="T404" t="s">
        <v>61</v>
      </c>
      <c r="U404">
        <v>1.7886</v>
      </c>
      <c r="V404" t="s">
        <v>62</v>
      </c>
      <c r="W404">
        <v>0</v>
      </c>
      <c r="X404">
        <v>32.384999999999998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111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105</v>
      </c>
      <c r="AT404" t="s">
        <v>71</v>
      </c>
      <c r="AU404">
        <v>0</v>
      </c>
      <c r="AV404">
        <v>0</v>
      </c>
    </row>
    <row r="405" spans="1:48" x14ac:dyDescent="0.25">
      <c r="A405" t="s">
        <v>1565</v>
      </c>
      <c r="B405" t="s">
        <v>105</v>
      </c>
      <c r="C405" t="s">
        <v>50</v>
      </c>
      <c r="D405">
        <v>439951.39980000001</v>
      </c>
      <c r="E405">
        <v>1827825.8171000001</v>
      </c>
      <c r="F405">
        <v>34.078000000000003</v>
      </c>
      <c r="G405" t="s">
        <v>1566</v>
      </c>
      <c r="H405" t="s">
        <v>52</v>
      </c>
      <c r="I405">
        <v>34.078000000000003</v>
      </c>
      <c r="J405" t="s">
        <v>53</v>
      </c>
      <c r="K405">
        <v>0</v>
      </c>
      <c r="L405" t="s">
        <v>1510</v>
      </c>
      <c r="M405" t="s">
        <v>849</v>
      </c>
      <c r="N405">
        <v>0</v>
      </c>
      <c r="O405" t="s">
        <v>56</v>
      </c>
      <c r="P405" t="s">
        <v>57</v>
      </c>
      <c r="Q405" t="s">
        <v>59</v>
      </c>
      <c r="R405" t="s">
        <v>109</v>
      </c>
      <c r="S405" t="s">
        <v>1464</v>
      </c>
      <c r="T405" t="s">
        <v>61</v>
      </c>
      <c r="U405">
        <v>1.7879</v>
      </c>
      <c r="V405" t="s">
        <v>62</v>
      </c>
      <c r="W405">
        <v>0</v>
      </c>
      <c r="X405">
        <v>32.29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111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105</v>
      </c>
      <c r="AT405" t="s">
        <v>71</v>
      </c>
      <c r="AU405">
        <v>0</v>
      </c>
      <c r="AV405">
        <v>0</v>
      </c>
    </row>
    <row r="406" spans="1:48" x14ac:dyDescent="0.25">
      <c r="A406" t="s">
        <v>1567</v>
      </c>
      <c r="B406" t="s">
        <v>105</v>
      </c>
      <c r="C406" t="s">
        <v>50</v>
      </c>
      <c r="D406">
        <v>439951.39980000001</v>
      </c>
      <c r="E406">
        <v>1827805.8171000001</v>
      </c>
      <c r="F406">
        <v>33.981999999999999</v>
      </c>
      <c r="G406" t="s">
        <v>1568</v>
      </c>
      <c r="H406" t="s">
        <v>52</v>
      </c>
      <c r="I406">
        <v>33.981999999999999</v>
      </c>
      <c r="J406" t="s">
        <v>53</v>
      </c>
      <c r="K406">
        <v>0</v>
      </c>
      <c r="L406" t="s">
        <v>1510</v>
      </c>
      <c r="M406" t="s">
        <v>865</v>
      </c>
      <c r="N406">
        <v>0</v>
      </c>
      <c r="O406" t="s">
        <v>56</v>
      </c>
      <c r="P406" t="s">
        <v>57</v>
      </c>
      <c r="Q406" t="s">
        <v>59</v>
      </c>
      <c r="R406" t="s">
        <v>109</v>
      </c>
      <c r="S406" t="s">
        <v>1467</v>
      </c>
      <c r="T406" t="s">
        <v>61</v>
      </c>
      <c r="U406">
        <v>1.7870999999999999</v>
      </c>
      <c r="V406" t="s">
        <v>62</v>
      </c>
      <c r="W406">
        <v>0</v>
      </c>
      <c r="X406">
        <v>32.195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111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105</v>
      </c>
      <c r="AT406" t="s">
        <v>71</v>
      </c>
      <c r="AU406">
        <v>0</v>
      </c>
      <c r="AV406">
        <v>0</v>
      </c>
    </row>
    <row r="407" spans="1:48" x14ac:dyDescent="0.25">
      <c r="A407" t="s">
        <v>1569</v>
      </c>
      <c r="B407" t="s">
        <v>105</v>
      </c>
      <c r="C407" t="s">
        <v>50</v>
      </c>
      <c r="D407">
        <v>439951.39980000001</v>
      </c>
      <c r="E407">
        <v>1827785.8171000001</v>
      </c>
      <c r="F407">
        <v>33.887</v>
      </c>
      <c r="G407" t="s">
        <v>1570</v>
      </c>
      <c r="H407" t="s">
        <v>52</v>
      </c>
      <c r="I407">
        <v>33.887</v>
      </c>
      <c r="J407" t="s">
        <v>53</v>
      </c>
      <c r="K407">
        <v>0</v>
      </c>
      <c r="L407" t="s">
        <v>1510</v>
      </c>
      <c r="M407" t="s">
        <v>832</v>
      </c>
      <c r="N407">
        <v>0</v>
      </c>
      <c r="O407" t="s">
        <v>56</v>
      </c>
      <c r="P407" t="s">
        <v>57</v>
      </c>
      <c r="Q407" t="s">
        <v>59</v>
      </c>
      <c r="R407" t="s">
        <v>109</v>
      </c>
      <c r="S407" t="s">
        <v>1470</v>
      </c>
      <c r="T407" t="s">
        <v>61</v>
      </c>
      <c r="U407">
        <v>1.7823</v>
      </c>
      <c r="V407" t="s">
        <v>62</v>
      </c>
      <c r="W407">
        <v>0</v>
      </c>
      <c r="X407">
        <v>32.104999999999997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111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105</v>
      </c>
      <c r="AT407" t="s">
        <v>71</v>
      </c>
      <c r="AU407">
        <v>0</v>
      </c>
      <c r="AV407">
        <v>0</v>
      </c>
    </row>
    <row r="408" spans="1:48" x14ac:dyDescent="0.25">
      <c r="A408" t="s">
        <v>1571</v>
      </c>
      <c r="B408" t="s">
        <v>105</v>
      </c>
      <c r="C408" t="s">
        <v>50</v>
      </c>
      <c r="D408">
        <v>439951.39980000001</v>
      </c>
      <c r="E408">
        <v>1827765.8171000001</v>
      </c>
      <c r="F408">
        <v>33.796999999999997</v>
      </c>
      <c r="G408" t="s">
        <v>1572</v>
      </c>
      <c r="H408" t="s">
        <v>52</v>
      </c>
      <c r="I408">
        <v>33.796999999999997</v>
      </c>
      <c r="J408" t="s">
        <v>53</v>
      </c>
      <c r="K408">
        <v>0</v>
      </c>
      <c r="L408" t="s">
        <v>1510</v>
      </c>
      <c r="M408" t="s">
        <v>824</v>
      </c>
      <c r="N408">
        <v>0</v>
      </c>
      <c r="O408" t="s">
        <v>56</v>
      </c>
      <c r="P408" t="s">
        <v>57</v>
      </c>
      <c r="Q408" t="s">
        <v>59</v>
      </c>
      <c r="R408" t="s">
        <v>109</v>
      </c>
      <c r="S408" t="s">
        <v>1473</v>
      </c>
      <c r="T408" t="s">
        <v>61</v>
      </c>
      <c r="U408">
        <v>1.7773000000000001</v>
      </c>
      <c r="V408" t="s">
        <v>62</v>
      </c>
      <c r="W408">
        <v>0</v>
      </c>
      <c r="X408">
        <v>32.020000000000003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111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105</v>
      </c>
      <c r="AT408" t="s">
        <v>71</v>
      </c>
      <c r="AU408">
        <v>0</v>
      </c>
      <c r="AV408">
        <v>0</v>
      </c>
    </row>
    <row r="409" spans="1:48" x14ac:dyDescent="0.25">
      <c r="A409" t="s">
        <v>1573</v>
      </c>
      <c r="B409" t="s">
        <v>105</v>
      </c>
      <c r="C409" t="s">
        <v>50</v>
      </c>
      <c r="D409">
        <v>439951.39980000001</v>
      </c>
      <c r="E409">
        <v>1827745.8171000001</v>
      </c>
      <c r="F409">
        <v>33.713000000000001</v>
      </c>
      <c r="G409" t="s">
        <v>1574</v>
      </c>
      <c r="H409" t="s">
        <v>52</v>
      </c>
      <c r="I409">
        <v>33.713000000000001</v>
      </c>
      <c r="J409" t="s">
        <v>53</v>
      </c>
      <c r="K409">
        <v>0</v>
      </c>
      <c r="L409" t="s">
        <v>1510</v>
      </c>
      <c r="M409" t="s">
        <v>816</v>
      </c>
      <c r="N409">
        <v>0</v>
      </c>
      <c r="O409" t="s">
        <v>56</v>
      </c>
      <c r="P409" t="s">
        <v>57</v>
      </c>
      <c r="Q409" t="s">
        <v>59</v>
      </c>
      <c r="R409" t="s">
        <v>109</v>
      </c>
      <c r="S409" t="s">
        <v>1476</v>
      </c>
      <c r="T409" t="s">
        <v>61</v>
      </c>
      <c r="U409">
        <v>1.7717000000000001</v>
      </c>
      <c r="V409" t="s">
        <v>62</v>
      </c>
      <c r="W409">
        <v>0</v>
      </c>
      <c r="X409">
        <v>31.940999999999999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111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105</v>
      </c>
      <c r="AT409" t="s">
        <v>71</v>
      </c>
      <c r="AU409">
        <v>0</v>
      </c>
      <c r="AV409">
        <v>0</v>
      </c>
    </row>
    <row r="410" spans="1:48" x14ac:dyDescent="0.25">
      <c r="A410" t="s">
        <v>1575</v>
      </c>
      <c r="B410" t="s">
        <v>105</v>
      </c>
      <c r="C410" t="s">
        <v>50</v>
      </c>
      <c r="D410">
        <v>439951.39980000001</v>
      </c>
      <c r="E410">
        <v>1827725.8171000001</v>
      </c>
      <c r="F410">
        <v>33.634</v>
      </c>
      <c r="G410" t="s">
        <v>1576</v>
      </c>
      <c r="H410" t="s">
        <v>52</v>
      </c>
      <c r="I410">
        <v>33.634</v>
      </c>
      <c r="J410" t="s">
        <v>53</v>
      </c>
      <c r="K410">
        <v>0</v>
      </c>
      <c r="L410" t="s">
        <v>1510</v>
      </c>
      <c r="M410" t="s">
        <v>1479</v>
      </c>
      <c r="N410">
        <v>0</v>
      </c>
      <c r="O410" t="s">
        <v>56</v>
      </c>
      <c r="P410" t="s">
        <v>57</v>
      </c>
      <c r="Q410" t="s">
        <v>59</v>
      </c>
      <c r="R410" t="s">
        <v>109</v>
      </c>
      <c r="S410" t="s">
        <v>1480</v>
      </c>
      <c r="T410" t="s">
        <v>61</v>
      </c>
      <c r="U410">
        <v>1.7665</v>
      </c>
      <c r="V410" t="s">
        <v>62</v>
      </c>
      <c r="W410">
        <v>0</v>
      </c>
      <c r="X410">
        <v>31.867000000000001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111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105</v>
      </c>
      <c r="AT410" t="s">
        <v>71</v>
      </c>
      <c r="AU410">
        <v>0</v>
      </c>
      <c r="AV410">
        <v>0</v>
      </c>
    </row>
    <row r="411" spans="1:48" x14ac:dyDescent="0.25">
      <c r="A411" t="s">
        <v>1577</v>
      </c>
      <c r="B411" t="s">
        <v>105</v>
      </c>
      <c r="C411" t="s">
        <v>50</v>
      </c>
      <c r="D411">
        <v>439951.39980000001</v>
      </c>
      <c r="E411">
        <v>1827705.8171000001</v>
      </c>
      <c r="F411">
        <v>33.56</v>
      </c>
      <c r="G411" t="s">
        <v>1578</v>
      </c>
      <c r="H411" t="s">
        <v>52</v>
      </c>
      <c r="I411">
        <v>33.56</v>
      </c>
      <c r="J411" t="s">
        <v>53</v>
      </c>
      <c r="K411">
        <v>0</v>
      </c>
      <c r="L411" t="s">
        <v>1510</v>
      </c>
      <c r="M411" t="s">
        <v>1483</v>
      </c>
      <c r="N411">
        <v>0</v>
      </c>
      <c r="O411" t="s">
        <v>56</v>
      </c>
      <c r="P411" t="s">
        <v>57</v>
      </c>
      <c r="Q411" t="s">
        <v>59</v>
      </c>
      <c r="R411" t="s">
        <v>109</v>
      </c>
      <c r="S411" t="s">
        <v>1484</v>
      </c>
      <c r="T411" t="s">
        <v>61</v>
      </c>
      <c r="U411">
        <v>1.7617</v>
      </c>
      <c r="V411" t="s">
        <v>62</v>
      </c>
      <c r="W411">
        <v>0</v>
      </c>
      <c r="X411">
        <v>31.797999999999998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111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105</v>
      </c>
      <c r="AT411" t="s">
        <v>71</v>
      </c>
      <c r="AU411">
        <v>0</v>
      </c>
      <c r="AV411">
        <v>0</v>
      </c>
    </row>
    <row r="412" spans="1:48" x14ac:dyDescent="0.25">
      <c r="A412" t="s">
        <v>1579</v>
      </c>
      <c r="B412" t="s">
        <v>105</v>
      </c>
      <c r="C412" t="s">
        <v>50</v>
      </c>
      <c r="D412">
        <v>439951.39980000001</v>
      </c>
      <c r="E412">
        <v>1827685.8171000001</v>
      </c>
      <c r="F412">
        <v>33.49</v>
      </c>
      <c r="G412" t="s">
        <v>1580</v>
      </c>
      <c r="H412" t="s">
        <v>52</v>
      </c>
      <c r="I412">
        <v>33.49</v>
      </c>
      <c r="J412" t="s">
        <v>53</v>
      </c>
      <c r="K412">
        <v>0</v>
      </c>
      <c r="L412" t="s">
        <v>1510</v>
      </c>
      <c r="M412" t="s">
        <v>1487</v>
      </c>
      <c r="N412">
        <v>0</v>
      </c>
      <c r="O412" t="s">
        <v>56</v>
      </c>
      <c r="P412" t="s">
        <v>57</v>
      </c>
      <c r="Q412" t="s">
        <v>59</v>
      </c>
      <c r="R412" t="s">
        <v>109</v>
      </c>
      <c r="S412" t="s">
        <v>1488</v>
      </c>
      <c r="T412" t="s">
        <v>61</v>
      </c>
      <c r="U412">
        <v>1.7613000000000001</v>
      </c>
      <c r="V412" t="s">
        <v>62</v>
      </c>
      <c r="W412">
        <v>0</v>
      </c>
      <c r="X412">
        <v>31.728999999999999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111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105</v>
      </c>
      <c r="AT412" t="s">
        <v>71</v>
      </c>
      <c r="AU412">
        <v>0</v>
      </c>
      <c r="AV412">
        <v>0</v>
      </c>
    </row>
    <row r="413" spans="1:48" x14ac:dyDescent="0.25">
      <c r="A413" t="s">
        <v>1581</v>
      </c>
      <c r="B413" t="s">
        <v>105</v>
      </c>
      <c r="C413" t="s">
        <v>50</v>
      </c>
      <c r="D413">
        <v>439951.39980000001</v>
      </c>
      <c r="E413">
        <v>1827665.8171000001</v>
      </c>
      <c r="F413">
        <v>33.421999999999997</v>
      </c>
      <c r="G413" t="s">
        <v>1582</v>
      </c>
      <c r="H413" t="s">
        <v>52</v>
      </c>
      <c r="I413">
        <v>33.421999999999997</v>
      </c>
      <c r="J413" t="s">
        <v>53</v>
      </c>
      <c r="K413">
        <v>0</v>
      </c>
      <c r="L413" t="s">
        <v>1510</v>
      </c>
      <c r="M413" t="s">
        <v>1491</v>
      </c>
      <c r="N413">
        <v>0</v>
      </c>
      <c r="O413" t="s">
        <v>56</v>
      </c>
      <c r="P413" t="s">
        <v>57</v>
      </c>
      <c r="Q413" t="s">
        <v>59</v>
      </c>
      <c r="R413" t="s">
        <v>109</v>
      </c>
      <c r="S413" t="s">
        <v>1583</v>
      </c>
      <c r="T413" t="s">
        <v>61</v>
      </c>
      <c r="U413">
        <v>1.7615000000000001</v>
      </c>
      <c r="V413" t="s">
        <v>62</v>
      </c>
      <c r="W413">
        <v>0</v>
      </c>
      <c r="X413">
        <v>31.66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111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105</v>
      </c>
      <c r="AT413" t="s">
        <v>71</v>
      </c>
      <c r="AU413">
        <v>0</v>
      </c>
      <c r="AV413">
        <v>0</v>
      </c>
    </row>
    <row r="414" spans="1:48" x14ac:dyDescent="0.25">
      <c r="A414" t="s">
        <v>1584</v>
      </c>
      <c r="B414" t="s">
        <v>105</v>
      </c>
      <c r="C414" t="s">
        <v>50</v>
      </c>
      <c r="D414">
        <v>439951.39980000001</v>
      </c>
      <c r="E414">
        <v>1827645.8171000001</v>
      </c>
      <c r="F414">
        <v>33.353000000000002</v>
      </c>
      <c r="G414" t="s">
        <v>1585</v>
      </c>
      <c r="H414" t="s">
        <v>52</v>
      </c>
      <c r="I414">
        <v>33.353000000000002</v>
      </c>
      <c r="J414" t="s">
        <v>53</v>
      </c>
      <c r="K414">
        <v>0</v>
      </c>
      <c r="L414" t="s">
        <v>1510</v>
      </c>
      <c r="M414" t="s">
        <v>1495</v>
      </c>
      <c r="N414">
        <v>0</v>
      </c>
      <c r="O414" t="s">
        <v>56</v>
      </c>
      <c r="P414" t="s">
        <v>57</v>
      </c>
      <c r="Q414" t="s">
        <v>59</v>
      </c>
      <c r="R414" t="s">
        <v>109</v>
      </c>
      <c r="S414" t="s">
        <v>1484</v>
      </c>
      <c r="T414" t="s">
        <v>61</v>
      </c>
      <c r="U414">
        <v>1.7617</v>
      </c>
      <c r="V414" t="s">
        <v>62</v>
      </c>
      <c r="W414">
        <v>0</v>
      </c>
      <c r="X414">
        <v>31.591000000000001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111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105</v>
      </c>
      <c r="AT414" t="s">
        <v>71</v>
      </c>
      <c r="AU414">
        <v>0</v>
      </c>
      <c r="AV414">
        <v>0</v>
      </c>
    </row>
    <row r="415" spans="1:48" x14ac:dyDescent="0.25">
      <c r="A415" t="s">
        <v>1586</v>
      </c>
      <c r="B415" t="s">
        <v>105</v>
      </c>
      <c r="C415" t="s">
        <v>50</v>
      </c>
      <c r="D415">
        <v>439951.39980000001</v>
      </c>
      <c r="E415">
        <v>1827625.8171000001</v>
      </c>
      <c r="F415">
        <v>33.283999999999999</v>
      </c>
      <c r="G415" t="s">
        <v>1587</v>
      </c>
      <c r="H415" t="s">
        <v>52</v>
      </c>
      <c r="I415">
        <v>33.283999999999999</v>
      </c>
      <c r="J415" t="s">
        <v>53</v>
      </c>
      <c r="K415">
        <v>0</v>
      </c>
      <c r="L415" t="s">
        <v>1510</v>
      </c>
      <c r="M415" t="s">
        <v>575</v>
      </c>
      <c r="N415">
        <v>0</v>
      </c>
      <c r="O415" t="s">
        <v>56</v>
      </c>
      <c r="P415" t="s">
        <v>57</v>
      </c>
      <c r="Q415" t="s">
        <v>59</v>
      </c>
      <c r="R415" t="s">
        <v>109</v>
      </c>
      <c r="S415" t="s">
        <v>1498</v>
      </c>
      <c r="T415" t="s">
        <v>61</v>
      </c>
      <c r="U415">
        <v>1.7618</v>
      </c>
      <c r="V415" t="s">
        <v>62</v>
      </c>
      <c r="W415">
        <v>0</v>
      </c>
      <c r="X415">
        <v>31.521999999999998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111</v>
      </c>
      <c r="AG415" t="s">
        <v>65</v>
      </c>
      <c r="AH415" t="s">
        <v>65</v>
      </c>
      <c r="AI415" t="s">
        <v>67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105</v>
      </c>
      <c r="AT415" t="s">
        <v>71</v>
      </c>
      <c r="AU415">
        <v>0</v>
      </c>
      <c r="AV415">
        <v>0</v>
      </c>
    </row>
    <row r="416" spans="1:48" x14ac:dyDescent="0.25">
      <c r="A416" t="s">
        <v>1588</v>
      </c>
      <c r="B416" t="s">
        <v>105</v>
      </c>
      <c r="C416" t="s">
        <v>50</v>
      </c>
      <c r="D416">
        <v>439951.39980000001</v>
      </c>
      <c r="E416">
        <v>1827605.8171000001</v>
      </c>
      <c r="F416">
        <v>33.215000000000003</v>
      </c>
      <c r="G416" t="s">
        <v>1589</v>
      </c>
      <c r="H416" t="s">
        <v>52</v>
      </c>
      <c r="I416">
        <v>33.215000000000003</v>
      </c>
      <c r="J416" t="s">
        <v>53</v>
      </c>
      <c r="K416">
        <v>0</v>
      </c>
      <c r="L416" t="s">
        <v>1510</v>
      </c>
      <c r="M416" t="s">
        <v>571</v>
      </c>
      <c r="N416">
        <v>0</v>
      </c>
      <c r="O416" t="s">
        <v>56</v>
      </c>
      <c r="P416" t="s">
        <v>57</v>
      </c>
      <c r="Q416" t="s">
        <v>59</v>
      </c>
      <c r="R416" t="s">
        <v>109</v>
      </c>
      <c r="S416" t="s">
        <v>1501</v>
      </c>
      <c r="T416" t="s">
        <v>61</v>
      </c>
      <c r="U416">
        <v>1.7609999999999999</v>
      </c>
      <c r="V416" t="s">
        <v>62</v>
      </c>
      <c r="W416">
        <v>0</v>
      </c>
      <c r="X416">
        <v>31.454000000000001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111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105</v>
      </c>
      <c r="AT416" t="s">
        <v>71</v>
      </c>
      <c r="AU416">
        <v>0</v>
      </c>
      <c r="AV416">
        <v>0</v>
      </c>
    </row>
    <row r="417" spans="1:48" x14ac:dyDescent="0.25">
      <c r="A417" t="s">
        <v>1590</v>
      </c>
      <c r="B417" t="s">
        <v>105</v>
      </c>
      <c r="C417" t="s">
        <v>50</v>
      </c>
      <c r="D417">
        <v>439951.39980000001</v>
      </c>
      <c r="E417">
        <v>1827585.8171000001</v>
      </c>
      <c r="F417">
        <v>33.146000000000001</v>
      </c>
      <c r="G417" t="s">
        <v>1591</v>
      </c>
      <c r="H417" t="s">
        <v>52</v>
      </c>
      <c r="I417">
        <v>33.146000000000001</v>
      </c>
      <c r="J417" t="s">
        <v>53</v>
      </c>
      <c r="K417">
        <v>0</v>
      </c>
      <c r="L417" t="s">
        <v>1510</v>
      </c>
      <c r="M417" t="s">
        <v>567</v>
      </c>
      <c r="N417">
        <v>0</v>
      </c>
      <c r="O417" t="s">
        <v>56</v>
      </c>
      <c r="P417" t="s">
        <v>57</v>
      </c>
      <c r="Q417" t="s">
        <v>59</v>
      </c>
      <c r="R417" t="s">
        <v>109</v>
      </c>
      <c r="S417" t="s">
        <v>1504</v>
      </c>
      <c r="T417" t="s">
        <v>61</v>
      </c>
      <c r="U417">
        <v>1.7612000000000001</v>
      </c>
      <c r="V417" t="s">
        <v>62</v>
      </c>
      <c r="W417">
        <v>0</v>
      </c>
      <c r="X417">
        <v>31.385000000000002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111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105</v>
      </c>
      <c r="AT417" t="s">
        <v>71</v>
      </c>
      <c r="AU417">
        <v>0</v>
      </c>
      <c r="AV417">
        <v>0</v>
      </c>
    </row>
    <row r="418" spans="1:48" x14ac:dyDescent="0.25">
      <c r="A418" t="s">
        <v>1592</v>
      </c>
      <c r="B418" t="s">
        <v>105</v>
      </c>
      <c r="C418" t="s">
        <v>50</v>
      </c>
      <c r="D418">
        <v>439951.39980000001</v>
      </c>
      <c r="E418">
        <v>1827565.8171000001</v>
      </c>
      <c r="F418">
        <v>33.076999999999998</v>
      </c>
      <c r="G418" t="s">
        <v>1593</v>
      </c>
      <c r="H418" t="s">
        <v>52</v>
      </c>
      <c r="I418">
        <v>33.076999999999998</v>
      </c>
      <c r="J418" t="s">
        <v>53</v>
      </c>
      <c r="K418">
        <v>0</v>
      </c>
      <c r="L418" t="s">
        <v>1510</v>
      </c>
      <c r="M418" t="s">
        <v>563</v>
      </c>
      <c r="N418">
        <v>0</v>
      </c>
      <c r="O418" t="s">
        <v>56</v>
      </c>
      <c r="P418" t="s">
        <v>57</v>
      </c>
      <c r="Q418" t="s">
        <v>59</v>
      </c>
      <c r="R418" t="s">
        <v>109</v>
      </c>
      <c r="S418" t="s">
        <v>1594</v>
      </c>
      <c r="T418" t="s">
        <v>61</v>
      </c>
      <c r="U418">
        <v>1.9133</v>
      </c>
      <c r="V418" t="s">
        <v>62</v>
      </c>
      <c r="W418">
        <v>0</v>
      </c>
      <c r="X418">
        <v>31.164000000000001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111</v>
      </c>
      <c r="AG418" t="s">
        <v>65</v>
      </c>
      <c r="AH418" t="s">
        <v>65</v>
      </c>
      <c r="AI418" t="s">
        <v>67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105</v>
      </c>
      <c r="AT418" t="s">
        <v>71</v>
      </c>
      <c r="AU418">
        <v>0</v>
      </c>
      <c r="AV418">
        <v>0</v>
      </c>
    </row>
    <row r="419" spans="1:48" x14ac:dyDescent="0.25">
      <c r="A419" t="s">
        <v>1595</v>
      </c>
      <c r="B419" t="s">
        <v>125</v>
      </c>
      <c r="C419" t="s">
        <v>50</v>
      </c>
      <c r="D419">
        <v>439919.15749999997</v>
      </c>
      <c r="E419">
        <v>1827550.3088</v>
      </c>
      <c r="F419">
        <v>33.168999999999997</v>
      </c>
      <c r="G419" t="s">
        <v>1596</v>
      </c>
      <c r="H419" t="s">
        <v>52</v>
      </c>
      <c r="I419">
        <v>33.168999999999997</v>
      </c>
      <c r="J419" t="s">
        <v>53</v>
      </c>
      <c r="K419">
        <v>0</v>
      </c>
      <c r="L419" t="s">
        <v>132</v>
      </c>
      <c r="M419" t="s">
        <v>1597</v>
      </c>
      <c r="N419">
        <v>0</v>
      </c>
      <c r="O419" t="s">
        <v>56</v>
      </c>
      <c r="P419" t="s">
        <v>57</v>
      </c>
      <c r="Q419" t="s">
        <v>109</v>
      </c>
      <c r="R419" t="s">
        <v>59</v>
      </c>
      <c r="S419" t="s">
        <v>1598</v>
      </c>
      <c r="T419" t="s">
        <v>61</v>
      </c>
      <c r="U419">
        <v>1.4984999999999999</v>
      </c>
      <c r="V419" t="s">
        <v>62</v>
      </c>
      <c r="W419">
        <v>0</v>
      </c>
      <c r="X419">
        <v>31.670999999999999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111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125</v>
      </c>
      <c r="AT419" t="s">
        <v>71</v>
      </c>
      <c r="AU419">
        <v>0</v>
      </c>
      <c r="AV419">
        <v>0</v>
      </c>
    </row>
    <row r="420" spans="1:48" x14ac:dyDescent="0.25">
      <c r="A420" t="s">
        <v>1599</v>
      </c>
      <c r="B420" t="s">
        <v>125</v>
      </c>
      <c r="C420" t="s">
        <v>50</v>
      </c>
      <c r="D420">
        <v>439936.8051</v>
      </c>
      <c r="E420">
        <v>1827550.3088</v>
      </c>
      <c r="F420">
        <v>33.069000000000003</v>
      </c>
      <c r="G420" t="s">
        <v>1600</v>
      </c>
      <c r="H420" t="s">
        <v>52</v>
      </c>
      <c r="I420">
        <v>33.069000000000003</v>
      </c>
      <c r="J420" t="s">
        <v>53</v>
      </c>
      <c r="K420">
        <v>0</v>
      </c>
      <c r="L420" t="s">
        <v>132</v>
      </c>
      <c r="M420" t="s">
        <v>1601</v>
      </c>
      <c r="N420">
        <v>0</v>
      </c>
      <c r="O420" t="s">
        <v>56</v>
      </c>
      <c r="P420" t="s">
        <v>57</v>
      </c>
      <c r="Q420" t="s">
        <v>109</v>
      </c>
      <c r="R420" t="s">
        <v>59</v>
      </c>
      <c r="S420" t="s">
        <v>1602</v>
      </c>
      <c r="T420" t="s">
        <v>61</v>
      </c>
      <c r="U420">
        <v>1.6081000000000001</v>
      </c>
      <c r="V420" t="s">
        <v>62</v>
      </c>
      <c r="W420">
        <v>0</v>
      </c>
      <c r="X420">
        <v>31.460999999999999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111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125</v>
      </c>
      <c r="AT420" t="s">
        <v>71</v>
      </c>
      <c r="AU420">
        <v>0</v>
      </c>
      <c r="AV420">
        <v>0</v>
      </c>
    </row>
    <row r="421" spans="1:48" x14ac:dyDescent="0.25">
      <c r="A421" t="s">
        <v>1603</v>
      </c>
      <c r="B421" t="s">
        <v>125</v>
      </c>
      <c r="C421" t="s">
        <v>50</v>
      </c>
      <c r="D421">
        <v>439951.42479999998</v>
      </c>
      <c r="E421">
        <v>1827550.3088</v>
      </c>
      <c r="F421">
        <v>32.865000000000002</v>
      </c>
      <c r="G421" t="s">
        <v>1604</v>
      </c>
      <c r="H421" t="s">
        <v>52</v>
      </c>
      <c r="I421">
        <v>32.865000000000002</v>
      </c>
      <c r="J421" t="s">
        <v>53</v>
      </c>
      <c r="K421">
        <v>0</v>
      </c>
      <c r="L421" t="s">
        <v>132</v>
      </c>
      <c r="M421" t="s">
        <v>1605</v>
      </c>
      <c r="N421">
        <v>0</v>
      </c>
      <c r="O421" t="s">
        <v>56</v>
      </c>
      <c r="P421" t="s">
        <v>57</v>
      </c>
      <c r="Q421" t="s">
        <v>109</v>
      </c>
      <c r="R421" t="s">
        <v>59</v>
      </c>
      <c r="S421" t="s">
        <v>1606</v>
      </c>
      <c r="T421" t="s">
        <v>61</v>
      </c>
      <c r="U421">
        <v>2.0478000000000001</v>
      </c>
      <c r="V421" t="s">
        <v>62</v>
      </c>
      <c r="W421">
        <v>0</v>
      </c>
      <c r="X421">
        <v>30.817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111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125</v>
      </c>
      <c r="AT421" t="s">
        <v>71</v>
      </c>
      <c r="AU421">
        <v>0</v>
      </c>
      <c r="AV421">
        <v>0</v>
      </c>
    </row>
    <row r="422" spans="1:48" x14ac:dyDescent="0.25">
      <c r="A422" t="s">
        <v>1607</v>
      </c>
      <c r="B422" t="s">
        <v>125</v>
      </c>
      <c r="C422" t="s">
        <v>50</v>
      </c>
      <c r="D422">
        <v>439962.02480000001</v>
      </c>
      <c r="E422">
        <v>1827550.3088</v>
      </c>
      <c r="F422">
        <v>32.851999999999997</v>
      </c>
      <c r="G422" t="s">
        <v>1608</v>
      </c>
      <c r="H422" t="s">
        <v>52</v>
      </c>
      <c r="I422">
        <v>32.851999999999997</v>
      </c>
      <c r="J422" t="s">
        <v>53</v>
      </c>
      <c r="K422">
        <v>0</v>
      </c>
      <c r="L422" t="s">
        <v>132</v>
      </c>
      <c r="M422" t="s">
        <v>1609</v>
      </c>
      <c r="N422">
        <v>0</v>
      </c>
      <c r="O422" t="s">
        <v>56</v>
      </c>
      <c r="P422" t="s">
        <v>57</v>
      </c>
      <c r="Q422" t="s">
        <v>109</v>
      </c>
      <c r="R422" t="s">
        <v>59</v>
      </c>
      <c r="S422" t="s">
        <v>1610</v>
      </c>
      <c r="T422" t="s">
        <v>61</v>
      </c>
      <c r="U422">
        <v>2.4975000000000001</v>
      </c>
      <c r="V422" t="s">
        <v>62</v>
      </c>
      <c r="W422">
        <v>0</v>
      </c>
      <c r="X422">
        <v>30.353999999999999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111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125</v>
      </c>
      <c r="AT422" t="s">
        <v>71</v>
      </c>
      <c r="AU422">
        <v>0</v>
      </c>
      <c r="AV422">
        <v>0</v>
      </c>
    </row>
    <row r="423" spans="1:48" x14ac:dyDescent="0.25">
      <c r="A423" t="s">
        <v>1611</v>
      </c>
      <c r="B423" t="s">
        <v>125</v>
      </c>
      <c r="C423" t="s">
        <v>50</v>
      </c>
      <c r="D423">
        <v>439972.35210000002</v>
      </c>
      <c r="E423">
        <v>1827550.3088</v>
      </c>
      <c r="F423">
        <v>32.866999999999997</v>
      </c>
      <c r="G423" t="s">
        <v>1612</v>
      </c>
      <c r="H423" t="s">
        <v>52</v>
      </c>
      <c r="I423">
        <v>32.866999999999997</v>
      </c>
      <c r="J423" t="s">
        <v>53</v>
      </c>
      <c r="K423">
        <v>0</v>
      </c>
      <c r="L423" t="s">
        <v>132</v>
      </c>
      <c r="M423" t="s">
        <v>1613</v>
      </c>
      <c r="N423">
        <v>0</v>
      </c>
      <c r="O423" t="s">
        <v>56</v>
      </c>
      <c r="P423" t="s">
        <v>57</v>
      </c>
      <c r="Q423" t="s">
        <v>109</v>
      </c>
      <c r="R423" t="s">
        <v>59</v>
      </c>
      <c r="S423" t="s">
        <v>1614</v>
      </c>
      <c r="T423" t="s">
        <v>61</v>
      </c>
      <c r="U423">
        <v>2.5327999999999999</v>
      </c>
      <c r="V423" t="s">
        <v>62</v>
      </c>
      <c r="W423">
        <v>0</v>
      </c>
      <c r="X423">
        <v>30.334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111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125</v>
      </c>
      <c r="AT423" t="s">
        <v>71</v>
      </c>
      <c r="AU423">
        <v>0</v>
      </c>
      <c r="AV423">
        <v>0</v>
      </c>
    </row>
    <row r="424" spans="1:48" x14ac:dyDescent="0.25">
      <c r="A424" t="s">
        <v>1615</v>
      </c>
      <c r="B424" t="s">
        <v>125</v>
      </c>
      <c r="C424" t="s">
        <v>50</v>
      </c>
      <c r="D424">
        <v>439992.3334</v>
      </c>
      <c r="E424">
        <v>1827550.3088</v>
      </c>
      <c r="F424">
        <v>32.753</v>
      </c>
      <c r="G424" t="s">
        <v>1616</v>
      </c>
      <c r="H424" t="s">
        <v>52</v>
      </c>
      <c r="I424">
        <v>32.753</v>
      </c>
      <c r="J424" t="s">
        <v>53</v>
      </c>
      <c r="K424">
        <v>0</v>
      </c>
      <c r="L424" t="s">
        <v>132</v>
      </c>
      <c r="M424" t="s">
        <v>1617</v>
      </c>
      <c r="N424">
        <v>0</v>
      </c>
      <c r="O424" t="s">
        <v>56</v>
      </c>
      <c r="P424" t="s">
        <v>57</v>
      </c>
      <c r="Q424" t="s">
        <v>109</v>
      </c>
      <c r="R424" t="s">
        <v>59</v>
      </c>
      <c r="S424" t="s">
        <v>1618</v>
      </c>
      <c r="T424" t="s">
        <v>61</v>
      </c>
      <c r="U424">
        <v>2.5331000000000001</v>
      </c>
      <c r="V424" t="s">
        <v>62</v>
      </c>
      <c r="W424">
        <v>0</v>
      </c>
      <c r="X424">
        <v>30.22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111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125</v>
      </c>
      <c r="AT424" t="s">
        <v>71</v>
      </c>
      <c r="AU424">
        <v>0</v>
      </c>
      <c r="AV424">
        <v>0</v>
      </c>
    </row>
    <row r="425" spans="1:48" x14ac:dyDescent="0.25">
      <c r="A425" t="s">
        <v>1619</v>
      </c>
      <c r="B425" t="s">
        <v>125</v>
      </c>
      <c r="C425" t="s">
        <v>50</v>
      </c>
      <c r="D425">
        <v>440012.3334</v>
      </c>
      <c r="E425">
        <v>1827550.3088</v>
      </c>
      <c r="F425">
        <v>32.639000000000003</v>
      </c>
      <c r="G425" t="s">
        <v>1620</v>
      </c>
      <c r="H425" t="s">
        <v>52</v>
      </c>
      <c r="I425">
        <v>32.639000000000003</v>
      </c>
      <c r="J425" t="s">
        <v>53</v>
      </c>
      <c r="K425">
        <v>0</v>
      </c>
      <c r="L425" t="s">
        <v>132</v>
      </c>
      <c r="M425" t="s">
        <v>1621</v>
      </c>
      <c r="N425">
        <v>0</v>
      </c>
      <c r="O425" t="s">
        <v>56</v>
      </c>
      <c r="P425" t="s">
        <v>57</v>
      </c>
      <c r="Q425" t="s">
        <v>109</v>
      </c>
      <c r="R425" t="s">
        <v>59</v>
      </c>
      <c r="S425" t="s">
        <v>1622</v>
      </c>
      <c r="T425" t="s">
        <v>61</v>
      </c>
      <c r="U425">
        <v>2.5773000000000001</v>
      </c>
      <c r="V425" t="s">
        <v>62</v>
      </c>
      <c r="W425">
        <v>0</v>
      </c>
      <c r="X425">
        <v>30.062000000000001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111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125</v>
      </c>
      <c r="AT425" t="s">
        <v>71</v>
      </c>
      <c r="AU425">
        <v>0</v>
      </c>
      <c r="AV425">
        <v>0</v>
      </c>
    </row>
    <row r="426" spans="1:48" x14ac:dyDescent="0.25">
      <c r="A426" t="s">
        <v>1623</v>
      </c>
      <c r="B426" t="s">
        <v>125</v>
      </c>
      <c r="C426" t="s">
        <v>50</v>
      </c>
      <c r="D426">
        <v>440032.3334</v>
      </c>
      <c r="E426">
        <v>1827550.3088</v>
      </c>
      <c r="F426">
        <v>32.481000000000002</v>
      </c>
      <c r="G426" t="s">
        <v>1624</v>
      </c>
      <c r="H426" t="s">
        <v>52</v>
      </c>
      <c r="I426">
        <v>32.481000000000002</v>
      </c>
      <c r="J426" t="s">
        <v>53</v>
      </c>
      <c r="K426">
        <v>0</v>
      </c>
      <c r="L426" t="s">
        <v>132</v>
      </c>
      <c r="M426" s="1" t="s">
        <v>1625</v>
      </c>
      <c r="N426">
        <v>0</v>
      </c>
      <c r="O426" t="s">
        <v>56</v>
      </c>
      <c r="P426" t="s">
        <v>57</v>
      </c>
      <c r="Q426" t="s">
        <v>109</v>
      </c>
      <c r="R426" t="s">
        <v>59</v>
      </c>
      <c r="S426" t="s">
        <v>1626</v>
      </c>
      <c r="T426" t="s">
        <v>61</v>
      </c>
      <c r="U426">
        <v>2.5308999999999999</v>
      </c>
      <c r="V426" t="s">
        <v>62</v>
      </c>
      <c r="W426">
        <v>0</v>
      </c>
      <c r="X426">
        <v>29.95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111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125</v>
      </c>
      <c r="AT426" t="s">
        <v>71</v>
      </c>
      <c r="AU426">
        <v>0</v>
      </c>
      <c r="AV426">
        <v>0</v>
      </c>
    </row>
    <row r="427" spans="1:48" x14ac:dyDescent="0.25">
      <c r="A427" t="s">
        <v>1627</v>
      </c>
      <c r="B427" t="s">
        <v>73</v>
      </c>
      <c r="C427" t="s">
        <v>50</v>
      </c>
      <c r="D427">
        <v>440044.22450000001</v>
      </c>
      <c r="E427">
        <v>1827841.2918</v>
      </c>
      <c r="F427">
        <v>33.481000000000002</v>
      </c>
      <c r="G427" t="s">
        <v>1628</v>
      </c>
      <c r="H427" t="s">
        <v>52</v>
      </c>
      <c r="I427">
        <v>33.481000000000002</v>
      </c>
      <c r="J427" t="s">
        <v>53</v>
      </c>
      <c r="K427">
        <v>0</v>
      </c>
      <c r="L427" t="s">
        <v>390</v>
      </c>
      <c r="M427" t="s">
        <v>1629</v>
      </c>
      <c r="N427">
        <v>0</v>
      </c>
      <c r="O427" t="s">
        <v>56</v>
      </c>
      <c r="P427" t="s">
        <v>57</v>
      </c>
      <c r="Q427" t="s">
        <v>59</v>
      </c>
      <c r="R427" t="s">
        <v>58</v>
      </c>
      <c r="S427" t="s">
        <v>1630</v>
      </c>
      <c r="T427" t="s">
        <v>61</v>
      </c>
      <c r="U427">
        <v>1.4553</v>
      </c>
      <c r="V427" t="s">
        <v>62</v>
      </c>
      <c r="W427">
        <v>0</v>
      </c>
      <c r="X427">
        <v>32.026000000000003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73</v>
      </c>
      <c r="AT427" t="s">
        <v>71</v>
      </c>
      <c r="AU427">
        <v>0</v>
      </c>
      <c r="AV427">
        <v>0</v>
      </c>
    </row>
    <row r="428" spans="1:48" x14ac:dyDescent="0.25">
      <c r="A428" t="s">
        <v>1631</v>
      </c>
      <c r="B428" t="s">
        <v>73</v>
      </c>
      <c r="C428" t="s">
        <v>50</v>
      </c>
      <c r="D428">
        <v>440044.22450000001</v>
      </c>
      <c r="E428">
        <v>1827801.0604999999</v>
      </c>
      <c r="F428">
        <v>33.549999999999997</v>
      </c>
      <c r="G428" t="s">
        <v>1632</v>
      </c>
      <c r="H428" t="s">
        <v>52</v>
      </c>
      <c r="I428">
        <v>33.549999999999997</v>
      </c>
      <c r="J428" t="s">
        <v>53</v>
      </c>
      <c r="K428">
        <v>0</v>
      </c>
      <c r="L428" t="s">
        <v>390</v>
      </c>
      <c r="M428" t="s">
        <v>1633</v>
      </c>
      <c r="N428">
        <v>0</v>
      </c>
      <c r="O428" t="s">
        <v>56</v>
      </c>
      <c r="P428" t="s">
        <v>57</v>
      </c>
      <c r="Q428" t="s">
        <v>59</v>
      </c>
      <c r="R428" t="s">
        <v>58</v>
      </c>
      <c r="S428" t="s">
        <v>1634</v>
      </c>
      <c r="T428" t="s">
        <v>61</v>
      </c>
      <c r="U428">
        <v>1.5954999999999999</v>
      </c>
      <c r="V428" t="s">
        <v>62</v>
      </c>
      <c r="W428">
        <v>0</v>
      </c>
      <c r="X428">
        <v>31.954999999999998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73</v>
      </c>
      <c r="AT428" t="s">
        <v>71</v>
      </c>
      <c r="AU428">
        <v>0</v>
      </c>
      <c r="AV428">
        <v>0</v>
      </c>
    </row>
    <row r="429" spans="1:48" x14ac:dyDescent="0.25">
      <c r="A429" t="s">
        <v>1635</v>
      </c>
      <c r="B429" t="s">
        <v>73</v>
      </c>
      <c r="C429" t="s">
        <v>50</v>
      </c>
      <c r="D429">
        <v>440044.22450000001</v>
      </c>
      <c r="E429">
        <v>1827781.0604999999</v>
      </c>
      <c r="F429">
        <v>33.555999999999997</v>
      </c>
      <c r="G429" t="s">
        <v>1636</v>
      </c>
      <c r="H429" t="s">
        <v>52</v>
      </c>
      <c r="I429">
        <v>33.555999999999997</v>
      </c>
      <c r="J429" t="s">
        <v>53</v>
      </c>
      <c r="K429">
        <v>0</v>
      </c>
      <c r="L429" t="s">
        <v>390</v>
      </c>
      <c r="M429" t="s">
        <v>1637</v>
      </c>
      <c r="N429">
        <v>0</v>
      </c>
      <c r="O429" t="s">
        <v>56</v>
      </c>
      <c r="P429" t="s">
        <v>57</v>
      </c>
      <c r="Q429" t="s">
        <v>59</v>
      </c>
      <c r="R429" t="s">
        <v>58</v>
      </c>
      <c r="S429" t="s">
        <v>1638</v>
      </c>
      <c r="T429" t="s">
        <v>61</v>
      </c>
      <c r="U429">
        <v>1.6212</v>
      </c>
      <c r="V429" t="s">
        <v>62</v>
      </c>
      <c r="W429">
        <v>0</v>
      </c>
      <c r="X429">
        <v>31.934999999999999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68</v>
      </c>
      <c r="AG429" t="s">
        <v>65</v>
      </c>
      <c r="AH429" t="s">
        <v>65</v>
      </c>
      <c r="AI429" t="s">
        <v>67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73</v>
      </c>
      <c r="AT429" t="s">
        <v>71</v>
      </c>
      <c r="AU429">
        <v>0</v>
      </c>
      <c r="AV429">
        <v>0</v>
      </c>
    </row>
    <row r="430" spans="1:48" x14ac:dyDescent="0.25">
      <c r="A430" t="s">
        <v>1639</v>
      </c>
      <c r="B430" t="s">
        <v>73</v>
      </c>
      <c r="C430" t="s">
        <v>50</v>
      </c>
      <c r="D430">
        <v>440044.22450000001</v>
      </c>
      <c r="E430">
        <v>1827761.0604999999</v>
      </c>
      <c r="F430">
        <v>33.539000000000001</v>
      </c>
      <c r="G430" t="s">
        <v>1640</v>
      </c>
      <c r="H430" t="s">
        <v>52</v>
      </c>
      <c r="I430">
        <v>33.539000000000001</v>
      </c>
      <c r="J430" t="s">
        <v>53</v>
      </c>
      <c r="K430">
        <v>0</v>
      </c>
      <c r="L430" t="s">
        <v>390</v>
      </c>
      <c r="M430" t="s">
        <v>1641</v>
      </c>
      <c r="N430">
        <v>0</v>
      </c>
      <c r="O430" t="s">
        <v>56</v>
      </c>
      <c r="P430" t="s">
        <v>57</v>
      </c>
      <c r="Q430" t="s">
        <v>59</v>
      </c>
      <c r="R430" t="s">
        <v>58</v>
      </c>
      <c r="S430" t="s">
        <v>1642</v>
      </c>
      <c r="T430" t="s">
        <v>61</v>
      </c>
      <c r="U430">
        <v>1.6241000000000001</v>
      </c>
      <c r="V430" t="s">
        <v>62</v>
      </c>
      <c r="W430">
        <v>0</v>
      </c>
      <c r="X430">
        <v>31.914999999999999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73</v>
      </c>
      <c r="AT430" t="s">
        <v>71</v>
      </c>
      <c r="AU430">
        <v>0</v>
      </c>
      <c r="AV430">
        <v>0</v>
      </c>
    </row>
    <row r="431" spans="1:48" x14ac:dyDescent="0.25">
      <c r="A431" t="s">
        <v>1643</v>
      </c>
      <c r="B431" t="s">
        <v>73</v>
      </c>
      <c r="C431" t="s">
        <v>50</v>
      </c>
      <c r="D431">
        <v>440044.22450000001</v>
      </c>
      <c r="E431">
        <v>1827739.3221</v>
      </c>
      <c r="F431">
        <v>33.494999999999997</v>
      </c>
      <c r="G431" t="s">
        <v>1644</v>
      </c>
      <c r="H431" t="s">
        <v>52</v>
      </c>
      <c r="I431">
        <v>33.494999999999997</v>
      </c>
      <c r="J431" t="s">
        <v>53</v>
      </c>
      <c r="K431">
        <v>0</v>
      </c>
      <c r="L431" t="s">
        <v>390</v>
      </c>
      <c r="M431" s="1" t="s">
        <v>1645</v>
      </c>
      <c r="N431">
        <v>0</v>
      </c>
      <c r="O431" t="s">
        <v>56</v>
      </c>
      <c r="P431" t="s">
        <v>57</v>
      </c>
      <c r="Q431" t="s">
        <v>59</v>
      </c>
      <c r="R431" t="s">
        <v>58</v>
      </c>
      <c r="S431" t="s">
        <v>1646</v>
      </c>
      <c r="T431" t="s">
        <v>61</v>
      </c>
      <c r="U431">
        <v>1.6015999999999999</v>
      </c>
      <c r="V431" t="s">
        <v>62</v>
      </c>
      <c r="W431">
        <v>0</v>
      </c>
      <c r="X431">
        <v>31.893000000000001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68</v>
      </c>
      <c r="AG431" t="s">
        <v>65</v>
      </c>
      <c r="AH431" t="s">
        <v>65</v>
      </c>
      <c r="AI431" t="s">
        <v>67</v>
      </c>
      <c r="AK431" t="s">
        <v>66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73</v>
      </c>
      <c r="AT431" t="s">
        <v>71</v>
      </c>
      <c r="AU431">
        <v>0</v>
      </c>
      <c r="AV431">
        <v>0</v>
      </c>
    </row>
    <row r="432" spans="1:48" x14ac:dyDescent="0.25">
      <c r="A432" t="s">
        <v>1647</v>
      </c>
      <c r="B432" t="s">
        <v>73</v>
      </c>
      <c r="C432" t="s">
        <v>50</v>
      </c>
      <c r="D432">
        <v>440044.22450000001</v>
      </c>
      <c r="E432">
        <v>1827719.1455000001</v>
      </c>
      <c r="F432">
        <v>33.429000000000002</v>
      </c>
      <c r="G432" t="s">
        <v>1648</v>
      </c>
      <c r="H432" t="s">
        <v>52</v>
      </c>
      <c r="I432">
        <v>33.429000000000002</v>
      </c>
      <c r="J432" t="s">
        <v>53</v>
      </c>
      <c r="K432">
        <v>0</v>
      </c>
      <c r="L432" t="s">
        <v>390</v>
      </c>
      <c r="M432" t="s">
        <v>1649</v>
      </c>
      <c r="N432">
        <v>0</v>
      </c>
      <c r="O432" t="s">
        <v>56</v>
      </c>
      <c r="P432" t="s">
        <v>57</v>
      </c>
      <c r="Q432" t="s">
        <v>59</v>
      </c>
      <c r="R432" t="s">
        <v>58</v>
      </c>
      <c r="S432" t="s">
        <v>1650</v>
      </c>
      <c r="T432" t="s">
        <v>61</v>
      </c>
      <c r="U432">
        <v>1.5562</v>
      </c>
      <c r="V432" t="s">
        <v>62</v>
      </c>
      <c r="W432">
        <v>0</v>
      </c>
      <c r="X432">
        <v>31.873000000000001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68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73</v>
      </c>
      <c r="AT432" t="s">
        <v>71</v>
      </c>
      <c r="AU432">
        <v>0</v>
      </c>
      <c r="AV432">
        <v>0</v>
      </c>
    </row>
    <row r="433" spans="1:48" x14ac:dyDescent="0.25">
      <c r="A433" t="s">
        <v>1651</v>
      </c>
      <c r="B433" t="s">
        <v>73</v>
      </c>
      <c r="C433" t="s">
        <v>50</v>
      </c>
      <c r="D433">
        <v>440044.22450000001</v>
      </c>
      <c r="E433">
        <v>1827699.5734000001</v>
      </c>
      <c r="F433">
        <v>33.344000000000001</v>
      </c>
      <c r="G433" t="s">
        <v>1652</v>
      </c>
      <c r="H433" t="s">
        <v>52</v>
      </c>
      <c r="I433">
        <v>33.344000000000001</v>
      </c>
      <c r="J433" t="s">
        <v>53</v>
      </c>
      <c r="K433">
        <v>0</v>
      </c>
      <c r="L433" t="s">
        <v>390</v>
      </c>
      <c r="M433" t="s">
        <v>1653</v>
      </c>
      <c r="N433">
        <v>0</v>
      </c>
      <c r="O433" t="s">
        <v>56</v>
      </c>
      <c r="P433" t="s">
        <v>57</v>
      </c>
      <c r="Q433" t="s">
        <v>59</v>
      </c>
      <c r="R433" t="s">
        <v>58</v>
      </c>
      <c r="S433" t="s">
        <v>1654</v>
      </c>
      <c r="T433" t="s">
        <v>61</v>
      </c>
      <c r="U433">
        <v>1.5096000000000001</v>
      </c>
      <c r="V433" t="s">
        <v>62</v>
      </c>
      <c r="W433">
        <v>0</v>
      </c>
      <c r="X433">
        <v>31.834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68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73</v>
      </c>
      <c r="AT433" t="s">
        <v>71</v>
      </c>
      <c r="AU433">
        <v>0</v>
      </c>
      <c r="AV433">
        <v>0</v>
      </c>
    </row>
    <row r="434" spans="1:48" x14ac:dyDescent="0.25">
      <c r="A434" t="s">
        <v>1655</v>
      </c>
      <c r="B434" t="s">
        <v>73</v>
      </c>
      <c r="C434" t="s">
        <v>50</v>
      </c>
      <c r="D434">
        <v>440044.22450000001</v>
      </c>
      <c r="E434">
        <v>1827680.5245000001</v>
      </c>
      <c r="F434">
        <v>33.241999999999997</v>
      </c>
      <c r="G434" t="s">
        <v>1656</v>
      </c>
      <c r="H434" t="s">
        <v>52</v>
      </c>
      <c r="I434">
        <v>33.241999999999997</v>
      </c>
      <c r="J434" t="s">
        <v>53</v>
      </c>
      <c r="K434">
        <v>0</v>
      </c>
      <c r="L434" t="s">
        <v>390</v>
      </c>
      <c r="M434" t="s">
        <v>1657</v>
      </c>
      <c r="N434">
        <v>0</v>
      </c>
      <c r="O434" t="s">
        <v>56</v>
      </c>
      <c r="P434" t="s">
        <v>57</v>
      </c>
      <c r="Q434" t="s">
        <v>59</v>
      </c>
      <c r="R434" t="s">
        <v>58</v>
      </c>
      <c r="S434" t="s">
        <v>1658</v>
      </c>
      <c r="T434" t="s">
        <v>61</v>
      </c>
      <c r="U434">
        <v>1.5125</v>
      </c>
      <c r="V434" t="s">
        <v>62</v>
      </c>
      <c r="W434">
        <v>0</v>
      </c>
      <c r="X434">
        <v>31.73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73</v>
      </c>
      <c r="AT434" t="s">
        <v>71</v>
      </c>
      <c r="AU434">
        <v>0</v>
      </c>
      <c r="AV434">
        <v>0</v>
      </c>
    </row>
    <row r="435" spans="1:48" x14ac:dyDescent="0.25">
      <c r="A435" t="s">
        <v>1659</v>
      </c>
      <c r="B435" t="s">
        <v>73</v>
      </c>
      <c r="C435" t="s">
        <v>50</v>
      </c>
      <c r="D435">
        <v>440044.22450000001</v>
      </c>
      <c r="E435">
        <v>1827661.0604999999</v>
      </c>
      <c r="F435">
        <v>33.137</v>
      </c>
      <c r="G435" t="s">
        <v>1660</v>
      </c>
      <c r="H435" t="s">
        <v>52</v>
      </c>
      <c r="I435">
        <v>33.137</v>
      </c>
      <c r="J435" t="s">
        <v>53</v>
      </c>
      <c r="K435">
        <v>0</v>
      </c>
      <c r="L435" t="s">
        <v>390</v>
      </c>
      <c r="M435" t="s">
        <v>1661</v>
      </c>
      <c r="N435">
        <v>0</v>
      </c>
      <c r="O435" t="s">
        <v>56</v>
      </c>
      <c r="P435" t="s">
        <v>57</v>
      </c>
      <c r="Q435" t="s">
        <v>59</v>
      </c>
      <c r="R435" t="s">
        <v>58</v>
      </c>
      <c r="S435" t="s">
        <v>1662</v>
      </c>
      <c r="T435" t="s">
        <v>61</v>
      </c>
      <c r="U435">
        <v>1.5141</v>
      </c>
      <c r="V435" t="s">
        <v>62</v>
      </c>
      <c r="W435">
        <v>0</v>
      </c>
      <c r="X435">
        <v>31.623000000000001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73</v>
      </c>
      <c r="AT435" t="s">
        <v>71</v>
      </c>
      <c r="AU435">
        <v>0</v>
      </c>
      <c r="AV435">
        <v>0</v>
      </c>
    </row>
    <row r="436" spans="1:48" x14ac:dyDescent="0.25">
      <c r="A436" t="s">
        <v>1663</v>
      </c>
      <c r="B436" t="s">
        <v>73</v>
      </c>
      <c r="C436" t="s">
        <v>50</v>
      </c>
      <c r="D436">
        <v>440044.22450000001</v>
      </c>
      <c r="E436">
        <v>1827641.0604999999</v>
      </c>
      <c r="F436">
        <v>33.029000000000003</v>
      </c>
      <c r="G436" t="s">
        <v>1664</v>
      </c>
      <c r="H436" t="s">
        <v>52</v>
      </c>
      <c r="I436">
        <v>33.029000000000003</v>
      </c>
      <c r="J436" t="s">
        <v>53</v>
      </c>
      <c r="K436">
        <v>0</v>
      </c>
      <c r="L436" t="s">
        <v>390</v>
      </c>
      <c r="M436" t="s">
        <v>1665</v>
      </c>
      <c r="N436">
        <v>0</v>
      </c>
      <c r="O436" t="s">
        <v>56</v>
      </c>
      <c r="P436" t="s">
        <v>57</v>
      </c>
      <c r="Q436" t="s">
        <v>59</v>
      </c>
      <c r="R436" t="s">
        <v>58</v>
      </c>
      <c r="S436" t="s">
        <v>1666</v>
      </c>
      <c r="T436" t="s">
        <v>61</v>
      </c>
      <c r="U436">
        <v>1.5138</v>
      </c>
      <c r="V436" t="s">
        <v>62</v>
      </c>
      <c r="W436">
        <v>0</v>
      </c>
      <c r="X436">
        <v>31.515000000000001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73</v>
      </c>
      <c r="AT436" t="s">
        <v>71</v>
      </c>
      <c r="AU436">
        <v>0</v>
      </c>
      <c r="AV436">
        <v>0</v>
      </c>
    </row>
    <row r="437" spans="1:48" x14ac:dyDescent="0.25">
      <c r="A437" t="s">
        <v>1667</v>
      </c>
      <c r="B437" t="s">
        <v>73</v>
      </c>
      <c r="C437" t="s">
        <v>50</v>
      </c>
      <c r="D437">
        <v>440044.22450000001</v>
      </c>
      <c r="E437">
        <v>1827621.0604999999</v>
      </c>
      <c r="F437">
        <v>32.920999999999999</v>
      </c>
      <c r="G437" t="s">
        <v>1668</v>
      </c>
      <c r="H437" t="s">
        <v>52</v>
      </c>
      <c r="I437">
        <v>32.920999999999999</v>
      </c>
      <c r="J437" t="s">
        <v>53</v>
      </c>
      <c r="K437">
        <v>0</v>
      </c>
      <c r="L437" t="s">
        <v>390</v>
      </c>
      <c r="M437" t="s">
        <v>1669</v>
      </c>
      <c r="N437">
        <v>0</v>
      </c>
      <c r="O437" t="s">
        <v>56</v>
      </c>
      <c r="P437" t="s">
        <v>57</v>
      </c>
      <c r="Q437" t="s">
        <v>59</v>
      </c>
      <c r="R437" t="s">
        <v>58</v>
      </c>
      <c r="S437" t="s">
        <v>1670</v>
      </c>
      <c r="T437" t="s">
        <v>61</v>
      </c>
      <c r="U437">
        <v>1.5135000000000001</v>
      </c>
      <c r="V437" t="s">
        <v>62</v>
      </c>
      <c r="W437">
        <v>0</v>
      </c>
      <c r="X437">
        <v>31.407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73</v>
      </c>
      <c r="AT437" t="s">
        <v>71</v>
      </c>
      <c r="AU437">
        <v>0</v>
      </c>
      <c r="AV437">
        <v>0</v>
      </c>
    </row>
    <row r="438" spans="1:48" x14ac:dyDescent="0.25">
      <c r="A438" t="s">
        <v>1671</v>
      </c>
      <c r="B438" t="s">
        <v>73</v>
      </c>
      <c r="C438" t="s">
        <v>50</v>
      </c>
      <c r="D438">
        <v>440044.22450000001</v>
      </c>
      <c r="E438">
        <v>1827601.0604999999</v>
      </c>
      <c r="F438">
        <v>32.811999999999998</v>
      </c>
      <c r="G438" t="s">
        <v>1672</v>
      </c>
      <c r="H438" t="s">
        <v>52</v>
      </c>
      <c r="I438">
        <v>32.811999999999998</v>
      </c>
      <c r="J438" t="s">
        <v>53</v>
      </c>
      <c r="K438">
        <v>0</v>
      </c>
      <c r="L438" t="s">
        <v>390</v>
      </c>
      <c r="M438" t="s">
        <v>1673</v>
      </c>
      <c r="N438">
        <v>0</v>
      </c>
      <c r="O438" t="s">
        <v>56</v>
      </c>
      <c r="P438" t="s">
        <v>57</v>
      </c>
      <c r="Q438" t="s">
        <v>59</v>
      </c>
      <c r="R438" t="s">
        <v>58</v>
      </c>
      <c r="S438" t="s">
        <v>1674</v>
      </c>
      <c r="T438" t="s">
        <v>61</v>
      </c>
      <c r="U438">
        <v>1.5142</v>
      </c>
      <c r="V438" t="s">
        <v>62</v>
      </c>
      <c r="W438">
        <v>0</v>
      </c>
      <c r="X438">
        <v>31.297999999999998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73</v>
      </c>
      <c r="AT438" t="s">
        <v>71</v>
      </c>
      <c r="AU438">
        <v>0</v>
      </c>
      <c r="AV438">
        <v>0</v>
      </c>
    </row>
    <row r="439" spans="1:48" x14ac:dyDescent="0.25">
      <c r="A439" t="s">
        <v>1675</v>
      </c>
      <c r="B439" t="s">
        <v>73</v>
      </c>
      <c r="C439" t="s">
        <v>50</v>
      </c>
      <c r="D439">
        <v>440044.22450000001</v>
      </c>
      <c r="E439">
        <v>1827581.0604999999</v>
      </c>
      <c r="F439">
        <v>32.704000000000001</v>
      </c>
      <c r="G439" t="s">
        <v>1676</v>
      </c>
      <c r="H439" t="s">
        <v>52</v>
      </c>
      <c r="I439">
        <v>32.704000000000001</v>
      </c>
      <c r="J439" t="s">
        <v>53</v>
      </c>
      <c r="K439">
        <v>0</v>
      </c>
      <c r="L439" t="s">
        <v>390</v>
      </c>
      <c r="M439" t="s">
        <v>1677</v>
      </c>
      <c r="N439">
        <v>0</v>
      </c>
      <c r="O439" t="s">
        <v>56</v>
      </c>
      <c r="P439" t="s">
        <v>57</v>
      </c>
      <c r="Q439" t="s">
        <v>59</v>
      </c>
      <c r="R439" t="s">
        <v>58</v>
      </c>
      <c r="S439" t="s">
        <v>1678</v>
      </c>
      <c r="T439" t="s">
        <v>61</v>
      </c>
      <c r="U439">
        <v>1.514</v>
      </c>
      <c r="V439" t="s">
        <v>62</v>
      </c>
      <c r="W439">
        <v>0</v>
      </c>
      <c r="X439">
        <v>31.19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68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73</v>
      </c>
      <c r="AT439" t="s">
        <v>71</v>
      </c>
      <c r="AU439">
        <v>0</v>
      </c>
      <c r="AV439">
        <v>0</v>
      </c>
    </row>
    <row r="440" spans="1:48" x14ac:dyDescent="0.25">
      <c r="A440" t="s">
        <v>1679</v>
      </c>
      <c r="B440" t="s">
        <v>73</v>
      </c>
      <c r="C440" t="s">
        <v>50</v>
      </c>
      <c r="D440">
        <v>440044.22450000001</v>
      </c>
      <c r="E440">
        <v>1827561.0521</v>
      </c>
      <c r="F440">
        <v>32.595999999999997</v>
      </c>
      <c r="G440" t="s">
        <v>1680</v>
      </c>
      <c r="H440" t="s">
        <v>52</v>
      </c>
      <c r="I440">
        <v>32.595999999999997</v>
      </c>
      <c r="J440" t="s">
        <v>53</v>
      </c>
      <c r="K440">
        <v>0</v>
      </c>
      <c r="L440" t="s">
        <v>390</v>
      </c>
      <c r="M440" t="s">
        <v>1681</v>
      </c>
      <c r="N440">
        <v>0</v>
      </c>
      <c r="O440" t="s">
        <v>56</v>
      </c>
      <c r="P440" t="s">
        <v>57</v>
      </c>
      <c r="Q440" t="s">
        <v>59</v>
      </c>
      <c r="R440" t="s">
        <v>58</v>
      </c>
      <c r="S440" t="s">
        <v>1682</v>
      </c>
      <c r="T440" t="s">
        <v>61</v>
      </c>
      <c r="U440">
        <v>1.6186</v>
      </c>
      <c r="V440" t="s">
        <v>62</v>
      </c>
      <c r="W440">
        <v>0</v>
      </c>
      <c r="X440">
        <v>30.977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73</v>
      </c>
      <c r="AT440" t="s">
        <v>71</v>
      </c>
      <c r="AU440">
        <v>0</v>
      </c>
      <c r="AV440">
        <v>0</v>
      </c>
    </row>
    <row r="441" spans="1:48" x14ac:dyDescent="0.25">
      <c r="A441" t="s">
        <v>1683</v>
      </c>
      <c r="B441" t="s">
        <v>125</v>
      </c>
      <c r="C441" t="s">
        <v>50</v>
      </c>
      <c r="D441">
        <v>440044.1495</v>
      </c>
      <c r="E441">
        <v>1827550.3088</v>
      </c>
      <c r="F441">
        <v>32.395000000000003</v>
      </c>
      <c r="G441" t="s">
        <v>1684</v>
      </c>
      <c r="H441" t="s">
        <v>52</v>
      </c>
      <c r="I441">
        <v>32.395000000000003</v>
      </c>
      <c r="J441" t="s">
        <v>53</v>
      </c>
      <c r="K441">
        <v>0</v>
      </c>
      <c r="L441" t="s">
        <v>132</v>
      </c>
      <c r="M441" t="s">
        <v>1685</v>
      </c>
      <c r="N441">
        <v>0</v>
      </c>
      <c r="O441" t="s">
        <v>56</v>
      </c>
      <c r="P441" t="s">
        <v>57</v>
      </c>
      <c r="Q441" t="s">
        <v>109</v>
      </c>
      <c r="R441" t="s">
        <v>59</v>
      </c>
      <c r="S441" t="s">
        <v>1686</v>
      </c>
      <c r="T441" t="s">
        <v>61</v>
      </c>
      <c r="U441">
        <v>2.4942000000000002</v>
      </c>
      <c r="V441" t="s">
        <v>62</v>
      </c>
      <c r="W441">
        <v>0</v>
      </c>
      <c r="X441">
        <v>29.901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111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125</v>
      </c>
      <c r="AT441" t="s">
        <v>71</v>
      </c>
      <c r="AU441">
        <v>0</v>
      </c>
      <c r="AV441">
        <v>0</v>
      </c>
    </row>
    <row r="442" spans="1:48" x14ac:dyDescent="0.25">
      <c r="A442" t="s">
        <v>1687</v>
      </c>
      <c r="B442" t="s">
        <v>125</v>
      </c>
      <c r="C442" t="s">
        <v>50</v>
      </c>
      <c r="D442">
        <v>440053.69949999999</v>
      </c>
      <c r="E442">
        <v>1827550.3088</v>
      </c>
      <c r="F442">
        <v>32.395000000000003</v>
      </c>
      <c r="G442" t="s">
        <v>1688</v>
      </c>
      <c r="H442" t="s">
        <v>52</v>
      </c>
      <c r="I442">
        <v>32.395000000000003</v>
      </c>
      <c r="J442" t="s">
        <v>53</v>
      </c>
      <c r="K442">
        <v>0</v>
      </c>
      <c r="L442" t="s">
        <v>132</v>
      </c>
      <c r="M442" t="s">
        <v>1689</v>
      </c>
      <c r="N442">
        <v>0</v>
      </c>
      <c r="O442" t="s">
        <v>56</v>
      </c>
      <c r="P442" t="s">
        <v>57</v>
      </c>
      <c r="Q442" t="s">
        <v>109</v>
      </c>
      <c r="R442" t="s">
        <v>59</v>
      </c>
      <c r="S442" t="s">
        <v>1690</v>
      </c>
      <c r="T442" t="s">
        <v>61</v>
      </c>
      <c r="U442">
        <v>2.5472000000000001</v>
      </c>
      <c r="V442" t="s">
        <v>62</v>
      </c>
      <c r="W442">
        <v>0</v>
      </c>
      <c r="X442">
        <v>29.847999999999999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111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125</v>
      </c>
      <c r="AT442" t="s">
        <v>71</v>
      </c>
      <c r="AU442">
        <v>0</v>
      </c>
      <c r="AV442">
        <v>0</v>
      </c>
    </row>
    <row r="443" spans="1:48" x14ac:dyDescent="0.25">
      <c r="A443" t="s">
        <v>1691</v>
      </c>
      <c r="B443" t="s">
        <v>125</v>
      </c>
      <c r="C443" t="s">
        <v>50</v>
      </c>
      <c r="D443">
        <v>440073.78950000001</v>
      </c>
      <c r="E443">
        <v>1827550.3088</v>
      </c>
      <c r="F443">
        <v>32.29</v>
      </c>
      <c r="G443" t="s">
        <v>1692</v>
      </c>
      <c r="H443" t="s">
        <v>52</v>
      </c>
      <c r="I443">
        <v>32.29</v>
      </c>
      <c r="J443" t="s">
        <v>53</v>
      </c>
      <c r="K443">
        <v>0</v>
      </c>
      <c r="L443" t="s">
        <v>132</v>
      </c>
      <c r="M443" t="s">
        <v>1693</v>
      </c>
      <c r="N443">
        <v>0</v>
      </c>
      <c r="O443" t="s">
        <v>56</v>
      </c>
      <c r="P443" t="s">
        <v>57</v>
      </c>
      <c r="Q443" t="s">
        <v>109</v>
      </c>
      <c r="R443" t="s">
        <v>59</v>
      </c>
      <c r="S443" t="s">
        <v>1694</v>
      </c>
      <c r="T443" t="s">
        <v>61</v>
      </c>
      <c r="U443">
        <v>2.5565000000000002</v>
      </c>
      <c r="V443" t="s">
        <v>62</v>
      </c>
      <c r="W443">
        <v>0</v>
      </c>
      <c r="X443">
        <v>29.733000000000001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111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125</v>
      </c>
      <c r="AT443" t="s">
        <v>71</v>
      </c>
      <c r="AU443">
        <v>0</v>
      </c>
      <c r="AV443">
        <v>0</v>
      </c>
    </row>
    <row r="444" spans="1:48" x14ac:dyDescent="0.25">
      <c r="A444" t="s">
        <v>1695</v>
      </c>
      <c r="B444" t="s">
        <v>125</v>
      </c>
      <c r="C444" t="s">
        <v>50</v>
      </c>
      <c r="D444">
        <v>440093.88890000002</v>
      </c>
      <c r="E444">
        <v>1827550.3088</v>
      </c>
      <c r="F444">
        <v>32.174999999999997</v>
      </c>
      <c r="G444" t="s">
        <v>1696</v>
      </c>
      <c r="H444" t="s">
        <v>52</v>
      </c>
      <c r="I444">
        <v>32.174999999999997</v>
      </c>
      <c r="J444" t="s">
        <v>53</v>
      </c>
      <c r="K444">
        <v>0</v>
      </c>
      <c r="L444" t="s">
        <v>132</v>
      </c>
      <c r="M444" t="s">
        <v>1697</v>
      </c>
      <c r="N444">
        <v>0</v>
      </c>
      <c r="O444" t="s">
        <v>56</v>
      </c>
      <c r="P444" t="s">
        <v>57</v>
      </c>
      <c r="Q444" t="s">
        <v>109</v>
      </c>
      <c r="R444" t="s">
        <v>59</v>
      </c>
      <c r="S444" t="s">
        <v>1698</v>
      </c>
      <c r="T444" t="s">
        <v>61</v>
      </c>
      <c r="U444">
        <v>2.5550999999999999</v>
      </c>
      <c r="V444" t="s">
        <v>62</v>
      </c>
      <c r="W444">
        <v>0</v>
      </c>
      <c r="X444">
        <v>29.62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111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125</v>
      </c>
      <c r="AT444" t="s">
        <v>71</v>
      </c>
      <c r="AU444">
        <v>0</v>
      </c>
      <c r="AV444">
        <v>0</v>
      </c>
    </row>
    <row r="445" spans="1:48" x14ac:dyDescent="0.25">
      <c r="A445" t="s">
        <v>1699</v>
      </c>
      <c r="B445" t="s">
        <v>125</v>
      </c>
      <c r="C445" t="s">
        <v>50</v>
      </c>
      <c r="D445">
        <v>440113.3921</v>
      </c>
      <c r="E445">
        <v>1827550.3088</v>
      </c>
      <c r="F445">
        <v>32.064</v>
      </c>
      <c r="G445" t="s">
        <v>1700</v>
      </c>
      <c r="H445" t="s">
        <v>52</v>
      </c>
      <c r="I445">
        <v>32.064</v>
      </c>
      <c r="J445" t="s">
        <v>53</v>
      </c>
      <c r="K445">
        <v>0</v>
      </c>
      <c r="L445" t="s">
        <v>132</v>
      </c>
      <c r="M445" t="s">
        <v>1701</v>
      </c>
      <c r="N445">
        <v>0</v>
      </c>
      <c r="O445" t="s">
        <v>56</v>
      </c>
      <c r="P445" t="s">
        <v>57</v>
      </c>
      <c r="Q445" t="s">
        <v>109</v>
      </c>
      <c r="R445" t="s">
        <v>59</v>
      </c>
      <c r="S445" t="s">
        <v>1702</v>
      </c>
      <c r="T445" t="s">
        <v>61</v>
      </c>
      <c r="U445">
        <v>2.5352000000000001</v>
      </c>
      <c r="V445" t="s">
        <v>62</v>
      </c>
      <c r="W445">
        <v>0</v>
      </c>
      <c r="X445">
        <v>29.529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111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125</v>
      </c>
      <c r="AT445" t="s">
        <v>71</v>
      </c>
      <c r="AU445">
        <v>0</v>
      </c>
      <c r="AV445">
        <v>0</v>
      </c>
    </row>
    <row r="446" spans="1:48" x14ac:dyDescent="0.25">
      <c r="A446" t="s">
        <v>1703</v>
      </c>
      <c r="B446" t="s">
        <v>73</v>
      </c>
      <c r="C446" t="s">
        <v>50</v>
      </c>
      <c r="D446">
        <v>440044.22450000001</v>
      </c>
      <c r="E446">
        <v>1827942.8171000001</v>
      </c>
      <c r="F446">
        <v>33.411999999999999</v>
      </c>
      <c r="G446" t="s">
        <v>1704</v>
      </c>
      <c r="H446" t="s">
        <v>52</v>
      </c>
      <c r="I446">
        <v>33.411999999999999</v>
      </c>
      <c r="J446" t="s">
        <v>53</v>
      </c>
      <c r="K446">
        <v>0</v>
      </c>
      <c r="L446" t="s">
        <v>489</v>
      </c>
      <c r="M446" t="s">
        <v>1444</v>
      </c>
      <c r="N446">
        <v>0</v>
      </c>
      <c r="O446" t="s">
        <v>56</v>
      </c>
      <c r="P446" t="s">
        <v>57</v>
      </c>
      <c r="Q446" t="s">
        <v>59</v>
      </c>
      <c r="R446" t="s">
        <v>58</v>
      </c>
      <c r="S446" t="s">
        <v>1705</v>
      </c>
      <c r="T446" t="s">
        <v>61</v>
      </c>
      <c r="U446">
        <v>1.4721</v>
      </c>
      <c r="V446" t="s">
        <v>62</v>
      </c>
      <c r="W446">
        <v>0</v>
      </c>
      <c r="X446">
        <v>31.94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73</v>
      </c>
      <c r="AT446" t="s">
        <v>71</v>
      </c>
      <c r="AU446">
        <v>0</v>
      </c>
      <c r="AV446">
        <v>0</v>
      </c>
    </row>
    <row r="447" spans="1:48" x14ac:dyDescent="0.25">
      <c r="A447" t="s">
        <v>1706</v>
      </c>
      <c r="B447" t="s">
        <v>73</v>
      </c>
      <c r="C447" t="s">
        <v>50</v>
      </c>
      <c r="D447">
        <v>440044.22450000001</v>
      </c>
      <c r="E447">
        <v>1827962.8171000001</v>
      </c>
      <c r="F447">
        <v>33.652000000000001</v>
      </c>
      <c r="G447" t="s">
        <v>1707</v>
      </c>
      <c r="H447" t="s">
        <v>52</v>
      </c>
      <c r="I447">
        <v>33.652000000000001</v>
      </c>
      <c r="J447" t="s">
        <v>53</v>
      </c>
      <c r="K447">
        <v>0</v>
      </c>
      <c r="L447" t="s">
        <v>489</v>
      </c>
      <c r="M447" t="s">
        <v>525</v>
      </c>
      <c r="N447">
        <v>0</v>
      </c>
      <c r="O447" t="s">
        <v>56</v>
      </c>
      <c r="P447" t="s">
        <v>57</v>
      </c>
      <c r="Q447" t="s">
        <v>59</v>
      </c>
      <c r="R447" t="s">
        <v>58</v>
      </c>
      <c r="S447" t="s">
        <v>1708</v>
      </c>
      <c r="T447" t="s">
        <v>61</v>
      </c>
      <c r="U447">
        <v>1.7271000000000001</v>
      </c>
      <c r="V447" t="s">
        <v>62</v>
      </c>
      <c r="W447">
        <v>0</v>
      </c>
      <c r="X447">
        <v>31.925000000000001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68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73</v>
      </c>
      <c r="AT447" t="s">
        <v>71</v>
      </c>
      <c r="AU447">
        <v>0</v>
      </c>
      <c r="AV447">
        <v>0</v>
      </c>
    </row>
    <row r="448" spans="1:48" x14ac:dyDescent="0.25">
      <c r="A448" t="s">
        <v>1709</v>
      </c>
      <c r="B448" t="s">
        <v>73</v>
      </c>
      <c r="C448" t="s">
        <v>50</v>
      </c>
      <c r="D448">
        <v>440044.22450000001</v>
      </c>
      <c r="E448">
        <v>1827982.8171000001</v>
      </c>
      <c r="F448">
        <v>33.892000000000003</v>
      </c>
      <c r="G448" t="s">
        <v>1710</v>
      </c>
      <c r="H448" t="s">
        <v>52</v>
      </c>
      <c r="I448">
        <v>33.892000000000003</v>
      </c>
      <c r="J448" t="s">
        <v>53</v>
      </c>
      <c r="K448">
        <v>0</v>
      </c>
      <c r="L448" t="s">
        <v>489</v>
      </c>
      <c r="M448" t="s">
        <v>529</v>
      </c>
      <c r="N448">
        <v>0</v>
      </c>
      <c r="O448" t="s">
        <v>56</v>
      </c>
      <c r="P448" t="s">
        <v>57</v>
      </c>
      <c r="Q448" t="s">
        <v>59</v>
      </c>
      <c r="R448" t="s">
        <v>58</v>
      </c>
      <c r="S448" t="s">
        <v>1711</v>
      </c>
      <c r="T448" t="s">
        <v>61</v>
      </c>
      <c r="U448">
        <v>1.9872000000000001</v>
      </c>
      <c r="V448" t="s">
        <v>62</v>
      </c>
      <c r="W448">
        <v>0</v>
      </c>
      <c r="X448">
        <v>31.905000000000001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73</v>
      </c>
      <c r="AT448" t="s">
        <v>71</v>
      </c>
      <c r="AU448">
        <v>0</v>
      </c>
      <c r="AV448">
        <v>0</v>
      </c>
    </row>
    <row r="449" spans="1:48" x14ac:dyDescent="0.25">
      <c r="A449" t="s">
        <v>1712</v>
      </c>
      <c r="B449" t="s">
        <v>73</v>
      </c>
      <c r="C449" t="s">
        <v>50</v>
      </c>
      <c r="D449">
        <v>440044.22450000001</v>
      </c>
      <c r="E449">
        <v>1828002.8171000001</v>
      </c>
      <c r="F449">
        <v>34.131999999999998</v>
      </c>
      <c r="G449" t="s">
        <v>1713</v>
      </c>
      <c r="H449" t="s">
        <v>52</v>
      </c>
      <c r="I449">
        <v>34.131999999999998</v>
      </c>
      <c r="J449" t="s">
        <v>53</v>
      </c>
      <c r="K449">
        <v>0</v>
      </c>
      <c r="L449" t="s">
        <v>489</v>
      </c>
      <c r="M449" t="s">
        <v>416</v>
      </c>
      <c r="N449">
        <v>0</v>
      </c>
      <c r="O449" t="s">
        <v>56</v>
      </c>
      <c r="P449" t="s">
        <v>57</v>
      </c>
      <c r="Q449" t="s">
        <v>59</v>
      </c>
      <c r="R449" t="s">
        <v>58</v>
      </c>
      <c r="S449" t="s">
        <v>1714</v>
      </c>
      <c r="T449" t="s">
        <v>61</v>
      </c>
      <c r="U449">
        <v>2.2471999999999999</v>
      </c>
      <c r="V449" t="s">
        <v>62</v>
      </c>
      <c r="W449">
        <v>0</v>
      </c>
      <c r="X449">
        <v>31.885000000000002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73</v>
      </c>
      <c r="AT449" t="s">
        <v>71</v>
      </c>
      <c r="AU449">
        <v>0</v>
      </c>
      <c r="AV449">
        <v>0</v>
      </c>
    </row>
    <row r="450" spans="1:48" x14ac:dyDescent="0.25">
      <c r="A450" t="s">
        <v>1715</v>
      </c>
      <c r="B450" t="s">
        <v>73</v>
      </c>
      <c r="C450" t="s">
        <v>50</v>
      </c>
      <c r="D450">
        <v>440044.22450000001</v>
      </c>
      <c r="E450">
        <v>1828022.8171000001</v>
      </c>
      <c r="F450">
        <v>34.372</v>
      </c>
      <c r="G450" t="s">
        <v>1716</v>
      </c>
      <c r="H450" t="s">
        <v>52</v>
      </c>
      <c r="I450">
        <v>34.372</v>
      </c>
      <c r="J450" t="s">
        <v>53</v>
      </c>
      <c r="K450">
        <v>0</v>
      </c>
      <c r="L450" t="s">
        <v>489</v>
      </c>
      <c r="M450" t="s">
        <v>420</v>
      </c>
      <c r="N450">
        <v>0</v>
      </c>
      <c r="O450" t="s">
        <v>56</v>
      </c>
      <c r="P450" t="s">
        <v>57</v>
      </c>
      <c r="Q450" t="s">
        <v>59</v>
      </c>
      <c r="R450" t="s">
        <v>58</v>
      </c>
      <c r="S450" t="s">
        <v>1717</v>
      </c>
      <c r="T450" t="s">
        <v>61</v>
      </c>
      <c r="U450">
        <v>2.5072000000000001</v>
      </c>
      <c r="V450" t="s">
        <v>62</v>
      </c>
      <c r="W450">
        <v>0</v>
      </c>
      <c r="X450">
        <v>31.864999999999998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73</v>
      </c>
      <c r="AT450" t="s">
        <v>71</v>
      </c>
      <c r="AU450">
        <v>0</v>
      </c>
      <c r="AV450">
        <v>0</v>
      </c>
    </row>
    <row r="451" spans="1:48" x14ac:dyDescent="0.25">
      <c r="A451" t="s">
        <v>1718</v>
      </c>
      <c r="B451" t="s">
        <v>73</v>
      </c>
      <c r="C451" t="s">
        <v>50</v>
      </c>
      <c r="D451">
        <v>440044.22450000001</v>
      </c>
      <c r="E451">
        <v>1828042.8171000001</v>
      </c>
      <c r="F451">
        <v>34.612000000000002</v>
      </c>
      <c r="G451" t="s">
        <v>1719</v>
      </c>
      <c r="H451" t="s">
        <v>52</v>
      </c>
      <c r="I451">
        <v>34.612000000000002</v>
      </c>
      <c r="J451" t="s">
        <v>53</v>
      </c>
      <c r="K451">
        <v>0</v>
      </c>
      <c r="L451" t="s">
        <v>489</v>
      </c>
      <c r="M451" t="s">
        <v>424</v>
      </c>
      <c r="N451">
        <v>0</v>
      </c>
      <c r="O451" t="s">
        <v>56</v>
      </c>
      <c r="P451" t="s">
        <v>57</v>
      </c>
      <c r="Q451" t="s">
        <v>59</v>
      </c>
      <c r="R451" t="s">
        <v>58</v>
      </c>
      <c r="S451" t="s">
        <v>1720</v>
      </c>
      <c r="T451" t="s">
        <v>61</v>
      </c>
      <c r="U451">
        <v>2.7673000000000001</v>
      </c>
      <c r="V451" t="s">
        <v>62</v>
      </c>
      <c r="W451">
        <v>0</v>
      </c>
      <c r="X451">
        <v>31.844999999999999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73</v>
      </c>
      <c r="AT451" t="s">
        <v>71</v>
      </c>
      <c r="AU451">
        <v>0</v>
      </c>
      <c r="AV451">
        <v>0</v>
      </c>
    </row>
    <row r="452" spans="1:48" x14ac:dyDescent="0.25">
      <c r="A452" t="s">
        <v>1721</v>
      </c>
      <c r="B452" t="s">
        <v>73</v>
      </c>
      <c r="C452" t="s">
        <v>50</v>
      </c>
      <c r="D452">
        <v>440044.22450000001</v>
      </c>
      <c r="E452">
        <v>1828062.8171000001</v>
      </c>
      <c r="F452">
        <v>34.790999999999997</v>
      </c>
      <c r="G452" t="s">
        <v>1722</v>
      </c>
      <c r="H452" t="s">
        <v>52</v>
      </c>
      <c r="I452">
        <v>34.790999999999997</v>
      </c>
      <c r="J452" t="s">
        <v>53</v>
      </c>
      <c r="K452">
        <v>0</v>
      </c>
      <c r="L452" t="s">
        <v>489</v>
      </c>
      <c r="M452" t="s">
        <v>428</v>
      </c>
      <c r="N452">
        <v>0</v>
      </c>
      <c r="O452" t="s">
        <v>56</v>
      </c>
      <c r="P452" t="s">
        <v>57</v>
      </c>
      <c r="Q452" t="s">
        <v>59</v>
      </c>
      <c r="R452" t="s">
        <v>58</v>
      </c>
      <c r="S452" t="s">
        <v>1723</v>
      </c>
      <c r="T452" t="s">
        <v>61</v>
      </c>
      <c r="U452">
        <v>2.9658000000000002</v>
      </c>
      <c r="V452" t="s">
        <v>62</v>
      </c>
      <c r="W452">
        <v>0</v>
      </c>
      <c r="X452">
        <v>31.824999999999999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73</v>
      </c>
      <c r="AT452" t="s">
        <v>71</v>
      </c>
      <c r="AU452">
        <v>0</v>
      </c>
      <c r="AV452">
        <v>0</v>
      </c>
    </row>
    <row r="453" spans="1:48" x14ac:dyDescent="0.25">
      <c r="A453" t="s">
        <v>1724</v>
      </c>
      <c r="B453" t="s">
        <v>73</v>
      </c>
      <c r="C453" t="s">
        <v>50</v>
      </c>
      <c r="D453">
        <v>440044.22450000001</v>
      </c>
      <c r="E453">
        <v>1828082.8171000001</v>
      </c>
      <c r="F453">
        <v>34.848999999999997</v>
      </c>
      <c r="G453" t="s">
        <v>1725</v>
      </c>
      <c r="H453" t="s">
        <v>52</v>
      </c>
      <c r="I453">
        <v>34.848999999999997</v>
      </c>
      <c r="J453" t="s">
        <v>53</v>
      </c>
      <c r="K453">
        <v>0</v>
      </c>
      <c r="L453" t="s">
        <v>489</v>
      </c>
      <c r="M453" t="s">
        <v>432</v>
      </c>
      <c r="N453">
        <v>0</v>
      </c>
      <c r="O453" t="s">
        <v>56</v>
      </c>
      <c r="P453" t="s">
        <v>57</v>
      </c>
      <c r="Q453" t="s">
        <v>59</v>
      </c>
      <c r="R453" t="s">
        <v>58</v>
      </c>
      <c r="S453" t="s">
        <v>1726</v>
      </c>
      <c r="T453" t="s">
        <v>61</v>
      </c>
      <c r="U453">
        <v>3.0444</v>
      </c>
      <c r="V453" t="s">
        <v>62</v>
      </c>
      <c r="W453">
        <v>0</v>
      </c>
      <c r="X453">
        <v>31.805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73</v>
      </c>
      <c r="AT453" t="s">
        <v>71</v>
      </c>
      <c r="AU453">
        <v>0</v>
      </c>
      <c r="AV453">
        <v>0</v>
      </c>
    </row>
    <row r="454" spans="1:48" x14ac:dyDescent="0.25">
      <c r="A454" t="s">
        <v>1727</v>
      </c>
      <c r="B454" t="s">
        <v>125</v>
      </c>
      <c r="C454" t="s">
        <v>50</v>
      </c>
      <c r="D454">
        <v>440044.5245</v>
      </c>
      <c r="E454">
        <v>1828091.8588</v>
      </c>
      <c r="F454">
        <v>34.831000000000003</v>
      </c>
      <c r="G454" t="s">
        <v>1728</v>
      </c>
      <c r="H454" t="s">
        <v>52</v>
      </c>
      <c r="I454">
        <v>34.831000000000003</v>
      </c>
      <c r="J454" t="s">
        <v>53</v>
      </c>
      <c r="K454">
        <v>0</v>
      </c>
      <c r="L454" t="s">
        <v>1234</v>
      </c>
      <c r="M454" t="s">
        <v>1729</v>
      </c>
      <c r="N454">
        <v>0.22500000000000001</v>
      </c>
      <c r="O454" t="s">
        <v>56</v>
      </c>
      <c r="P454" t="s">
        <v>57</v>
      </c>
      <c r="Q454" t="s">
        <v>109</v>
      </c>
      <c r="R454" t="s">
        <v>59</v>
      </c>
      <c r="S454" t="s">
        <v>1730</v>
      </c>
      <c r="T454" t="s">
        <v>61</v>
      </c>
      <c r="U454">
        <v>3.0347</v>
      </c>
      <c r="V454" t="s">
        <v>62</v>
      </c>
      <c r="W454">
        <v>0</v>
      </c>
      <c r="X454">
        <v>31.795999999999999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111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125</v>
      </c>
      <c r="AT454" t="s">
        <v>71</v>
      </c>
      <c r="AU454">
        <v>0</v>
      </c>
      <c r="AV454">
        <v>0</v>
      </c>
    </row>
    <row r="455" spans="1:48" x14ac:dyDescent="0.25">
      <c r="A455" t="s">
        <v>1731</v>
      </c>
      <c r="B455" t="s">
        <v>73</v>
      </c>
      <c r="C455" t="s">
        <v>50</v>
      </c>
      <c r="D455">
        <v>440053.62449999998</v>
      </c>
      <c r="E455">
        <v>1827942.8171000001</v>
      </c>
      <c r="F455">
        <v>33.411999999999999</v>
      </c>
      <c r="G455" t="s">
        <v>1732</v>
      </c>
      <c r="H455" t="s">
        <v>52</v>
      </c>
      <c r="I455">
        <v>33.411999999999999</v>
      </c>
      <c r="J455" t="s">
        <v>53</v>
      </c>
      <c r="K455">
        <v>0</v>
      </c>
      <c r="L455" t="s">
        <v>502</v>
      </c>
      <c r="M455" t="s">
        <v>1444</v>
      </c>
      <c r="N455">
        <v>0.1615</v>
      </c>
      <c r="O455" t="s">
        <v>56</v>
      </c>
      <c r="P455" t="s">
        <v>57</v>
      </c>
      <c r="Q455" t="s">
        <v>59</v>
      </c>
      <c r="R455" t="s">
        <v>58</v>
      </c>
      <c r="S455" t="s">
        <v>1733</v>
      </c>
      <c r="T455" t="s">
        <v>61</v>
      </c>
      <c r="U455">
        <v>1.4821</v>
      </c>
      <c r="V455" t="s">
        <v>62</v>
      </c>
      <c r="W455">
        <v>0</v>
      </c>
      <c r="X455">
        <v>31.93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73</v>
      </c>
      <c r="AT455" t="s">
        <v>71</v>
      </c>
      <c r="AU455">
        <v>0</v>
      </c>
      <c r="AV455">
        <v>0</v>
      </c>
    </row>
    <row r="456" spans="1:48" x14ac:dyDescent="0.25">
      <c r="A456" t="s">
        <v>1734</v>
      </c>
      <c r="B456" t="s">
        <v>73</v>
      </c>
      <c r="C456" t="s">
        <v>50</v>
      </c>
      <c r="D456">
        <v>440053.62449999998</v>
      </c>
      <c r="E456">
        <v>1827962.8171000001</v>
      </c>
      <c r="F456">
        <v>33.652000000000001</v>
      </c>
      <c r="G456" t="s">
        <v>1735</v>
      </c>
      <c r="H456" t="s">
        <v>52</v>
      </c>
      <c r="I456">
        <v>33.652000000000001</v>
      </c>
      <c r="J456" t="s">
        <v>53</v>
      </c>
      <c r="K456">
        <v>0</v>
      </c>
      <c r="L456" t="s">
        <v>502</v>
      </c>
      <c r="M456" t="s">
        <v>525</v>
      </c>
      <c r="N456">
        <v>0.1615</v>
      </c>
      <c r="O456" t="s">
        <v>56</v>
      </c>
      <c r="P456" t="s">
        <v>57</v>
      </c>
      <c r="Q456" t="s">
        <v>59</v>
      </c>
      <c r="R456" t="s">
        <v>58</v>
      </c>
      <c r="S456" t="s">
        <v>1736</v>
      </c>
      <c r="T456" t="s">
        <v>61</v>
      </c>
      <c r="U456">
        <v>1.7401</v>
      </c>
      <c r="V456" t="s">
        <v>62</v>
      </c>
      <c r="W456">
        <v>0</v>
      </c>
      <c r="X456">
        <v>31.911999999999999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73</v>
      </c>
      <c r="AT456" t="s">
        <v>71</v>
      </c>
      <c r="AU456">
        <v>0</v>
      </c>
      <c r="AV456">
        <v>0</v>
      </c>
    </row>
    <row r="457" spans="1:48" x14ac:dyDescent="0.25">
      <c r="A457" t="s">
        <v>1737</v>
      </c>
      <c r="B457" t="s">
        <v>73</v>
      </c>
      <c r="C457" t="s">
        <v>50</v>
      </c>
      <c r="D457">
        <v>440053.62449999998</v>
      </c>
      <c r="E457">
        <v>1827982.8171000001</v>
      </c>
      <c r="F457">
        <v>33.892000000000003</v>
      </c>
      <c r="G457" t="s">
        <v>1738</v>
      </c>
      <c r="H457" t="s">
        <v>52</v>
      </c>
      <c r="I457">
        <v>33.892000000000003</v>
      </c>
      <c r="J457" t="s">
        <v>53</v>
      </c>
      <c r="K457">
        <v>0</v>
      </c>
      <c r="L457" t="s">
        <v>502</v>
      </c>
      <c r="M457" t="s">
        <v>529</v>
      </c>
      <c r="N457">
        <v>0.1615</v>
      </c>
      <c r="O457" t="s">
        <v>56</v>
      </c>
      <c r="P457" t="s">
        <v>57</v>
      </c>
      <c r="Q457" t="s">
        <v>59</v>
      </c>
      <c r="R457" t="s">
        <v>58</v>
      </c>
      <c r="S457" t="s">
        <v>1739</v>
      </c>
      <c r="T457" t="s">
        <v>61</v>
      </c>
      <c r="U457">
        <v>2.0002</v>
      </c>
      <c r="V457" t="s">
        <v>62</v>
      </c>
      <c r="W457">
        <v>0</v>
      </c>
      <c r="X457">
        <v>31.891999999999999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73</v>
      </c>
      <c r="AT457" t="s">
        <v>71</v>
      </c>
      <c r="AU457">
        <v>0</v>
      </c>
      <c r="AV457">
        <v>0</v>
      </c>
    </row>
    <row r="458" spans="1:48" x14ac:dyDescent="0.25">
      <c r="A458" t="s">
        <v>1740</v>
      </c>
      <c r="B458" t="s">
        <v>73</v>
      </c>
      <c r="C458" t="s">
        <v>50</v>
      </c>
      <c r="D458">
        <v>440053.62449999998</v>
      </c>
      <c r="E458">
        <v>1828002.8171000001</v>
      </c>
      <c r="F458">
        <v>34.131999999999998</v>
      </c>
      <c r="G458" t="s">
        <v>1741</v>
      </c>
      <c r="H458" t="s">
        <v>52</v>
      </c>
      <c r="I458">
        <v>34.131999999999998</v>
      </c>
      <c r="J458" t="s">
        <v>53</v>
      </c>
      <c r="K458">
        <v>0</v>
      </c>
      <c r="L458" t="s">
        <v>502</v>
      </c>
      <c r="M458" t="s">
        <v>416</v>
      </c>
      <c r="N458">
        <v>0.1615</v>
      </c>
      <c r="O458" t="s">
        <v>56</v>
      </c>
      <c r="P458" t="s">
        <v>57</v>
      </c>
      <c r="Q458" t="s">
        <v>59</v>
      </c>
      <c r="R458" t="s">
        <v>58</v>
      </c>
      <c r="S458" t="s">
        <v>1742</v>
      </c>
      <c r="T458" t="s">
        <v>61</v>
      </c>
      <c r="U458">
        <v>2.2602000000000002</v>
      </c>
      <c r="V458" t="s">
        <v>62</v>
      </c>
      <c r="W458">
        <v>0</v>
      </c>
      <c r="X458">
        <v>31.872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73</v>
      </c>
      <c r="AT458" t="s">
        <v>71</v>
      </c>
      <c r="AU458">
        <v>0</v>
      </c>
      <c r="AV458">
        <v>0</v>
      </c>
    </row>
    <row r="459" spans="1:48" x14ac:dyDescent="0.25">
      <c r="A459" t="s">
        <v>1743</v>
      </c>
      <c r="B459" t="s">
        <v>73</v>
      </c>
      <c r="C459" t="s">
        <v>50</v>
      </c>
      <c r="D459">
        <v>440053.62449999998</v>
      </c>
      <c r="E459">
        <v>1828022.8171000001</v>
      </c>
      <c r="F459">
        <v>34.372</v>
      </c>
      <c r="G459" t="s">
        <v>1744</v>
      </c>
      <c r="H459" t="s">
        <v>52</v>
      </c>
      <c r="I459">
        <v>34.372</v>
      </c>
      <c r="J459" t="s">
        <v>53</v>
      </c>
      <c r="K459">
        <v>0</v>
      </c>
      <c r="L459" t="s">
        <v>502</v>
      </c>
      <c r="M459" t="s">
        <v>420</v>
      </c>
      <c r="N459">
        <v>0.1615</v>
      </c>
      <c r="O459" t="s">
        <v>56</v>
      </c>
      <c r="P459" t="s">
        <v>57</v>
      </c>
      <c r="Q459" t="s">
        <v>59</v>
      </c>
      <c r="R459" t="s">
        <v>58</v>
      </c>
      <c r="S459" t="s">
        <v>1745</v>
      </c>
      <c r="T459" t="s">
        <v>61</v>
      </c>
      <c r="U459">
        <v>2.5202</v>
      </c>
      <c r="V459" t="s">
        <v>62</v>
      </c>
      <c r="W459">
        <v>0</v>
      </c>
      <c r="X459">
        <v>31.852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68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73</v>
      </c>
      <c r="AT459" t="s">
        <v>71</v>
      </c>
      <c r="AU459">
        <v>0</v>
      </c>
      <c r="AV459">
        <v>0</v>
      </c>
    </row>
    <row r="460" spans="1:48" x14ac:dyDescent="0.25">
      <c r="A460" t="s">
        <v>1746</v>
      </c>
      <c r="B460" t="s">
        <v>73</v>
      </c>
      <c r="C460" t="s">
        <v>50</v>
      </c>
      <c r="D460">
        <v>440053.62449999998</v>
      </c>
      <c r="E460">
        <v>1828042.8171000001</v>
      </c>
      <c r="F460">
        <v>34.612000000000002</v>
      </c>
      <c r="G460" t="s">
        <v>1747</v>
      </c>
      <c r="H460" t="s">
        <v>52</v>
      </c>
      <c r="I460">
        <v>34.612000000000002</v>
      </c>
      <c r="J460" t="s">
        <v>53</v>
      </c>
      <c r="K460">
        <v>0</v>
      </c>
      <c r="L460" t="s">
        <v>502</v>
      </c>
      <c r="M460" t="s">
        <v>424</v>
      </c>
      <c r="N460">
        <v>0.1615</v>
      </c>
      <c r="O460" t="s">
        <v>56</v>
      </c>
      <c r="P460" t="s">
        <v>57</v>
      </c>
      <c r="Q460" t="s">
        <v>59</v>
      </c>
      <c r="R460" t="s">
        <v>58</v>
      </c>
      <c r="S460" t="s">
        <v>1748</v>
      </c>
      <c r="T460" t="s">
        <v>61</v>
      </c>
      <c r="U460">
        <v>2.7803</v>
      </c>
      <c r="V460" t="s">
        <v>62</v>
      </c>
      <c r="W460">
        <v>0</v>
      </c>
      <c r="X460">
        <v>31.832000000000001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73</v>
      </c>
      <c r="AT460" t="s">
        <v>71</v>
      </c>
      <c r="AU460">
        <v>0</v>
      </c>
      <c r="AV460">
        <v>0</v>
      </c>
    </row>
    <row r="461" spans="1:48" x14ac:dyDescent="0.25">
      <c r="A461" t="s">
        <v>1749</v>
      </c>
      <c r="B461" t="s">
        <v>73</v>
      </c>
      <c r="C461" t="s">
        <v>50</v>
      </c>
      <c r="D461">
        <v>440053.62449999998</v>
      </c>
      <c r="E461">
        <v>1828062.8171000001</v>
      </c>
      <c r="F461">
        <v>34.790999999999997</v>
      </c>
      <c r="G461" t="s">
        <v>1750</v>
      </c>
      <c r="H461" t="s">
        <v>52</v>
      </c>
      <c r="I461">
        <v>34.790999999999997</v>
      </c>
      <c r="J461" t="s">
        <v>53</v>
      </c>
      <c r="K461">
        <v>0</v>
      </c>
      <c r="L461" t="s">
        <v>502</v>
      </c>
      <c r="M461" t="s">
        <v>428</v>
      </c>
      <c r="N461">
        <v>0.1615</v>
      </c>
      <c r="O461" t="s">
        <v>56</v>
      </c>
      <c r="P461" t="s">
        <v>57</v>
      </c>
      <c r="Q461" t="s">
        <v>59</v>
      </c>
      <c r="R461" t="s">
        <v>58</v>
      </c>
      <c r="S461" t="s">
        <v>1751</v>
      </c>
      <c r="T461" t="s">
        <v>61</v>
      </c>
      <c r="U461">
        <v>2.9788000000000001</v>
      </c>
      <c r="V461" t="s">
        <v>62</v>
      </c>
      <c r="W461">
        <v>0</v>
      </c>
      <c r="X461">
        <v>31.812000000000001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73</v>
      </c>
      <c r="AT461" t="s">
        <v>71</v>
      </c>
      <c r="AU461">
        <v>0</v>
      </c>
      <c r="AV461">
        <v>0</v>
      </c>
    </row>
    <row r="462" spans="1:48" x14ac:dyDescent="0.25">
      <c r="A462" t="s">
        <v>1752</v>
      </c>
      <c r="B462" t="s">
        <v>73</v>
      </c>
      <c r="C462" t="s">
        <v>50</v>
      </c>
      <c r="D462">
        <v>440053.62449999998</v>
      </c>
      <c r="E462">
        <v>1828082.8171000001</v>
      </c>
      <c r="F462">
        <v>34.848999999999997</v>
      </c>
      <c r="G462" t="s">
        <v>1753</v>
      </c>
      <c r="H462" t="s">
        <v>52</v>
      </c>
      <c r="I462">
        <v>34.848999999999997</v>
      </c>
      <c r="J462" t="s">
        <v>53</v>
      </c>
      <c r="K462">
        <v>0</v>
      </c>
      <c r="L462" t="s">
        <v>502</v>
      </c>
      <c r="M462" t="s">
        <v>432</v>
      </c>
      <c r="N462">
        <v>0.1615</v>
      </c>
      <c r="O462" t="s">
        <v>56</v>
      </c>
      <c r="P462" t="s">
        <v>57</v>
      </c>
      <c r="Q462" t="s">
        <v>59</v>
      </c>
      <c r="R462" t="s">
        <v>58</v>
      </c>
      <c r="S462" t="s">
        <v>1754</v>
      </c>
      <c r="T462" t="s">
        <v>61</v>
      </c>
      <c r="U462">
        <v>3.0573999999999999</v>
      </c>
      <c r="V462" t="s">
        <v>62</v>
      </c>
      <c r="W462">
        <v>0</v>
      </c>
      <c r="X462">
        <v>31.792000000000002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73</v>
      </c>
      <c r="AT462" t="s">
        <v>71</v>
      </c>
      <c r="AU462">
        <v>0</v>
      </c>
      <c r="AV462">
        <v>0</v>
      </c>
    </row>
    <row r="463" spans="1:48" x14ac:dyDescent="0.25">
      <c r="A463" t="s">
        <v>1755</v>
      </c>
      <c r="B463" t="s">
        <v>125</v>
      </c>
      <c r="C463" t="s">
        <v>50</v>
      </c>
      <c r="D463">
        <v>440053.51400000002</v>
      </c>
      <c r="E463">
        <v>1828091.8588</v>
      </c>
      <c r="F463">
        <v>34.618000000000002</v>
      </c>
      <c r="G463" t="s">
        <v>1756</v>
      </c>
      <c r="H463" t="s">
        <v>52</v>
      </c>
      <c r="I463">
        <v>34.618000000000002</v>
      </c>
      <c r="J463" t="s">
        <v>53</v>
      </c>
      <c r="K463">
        <v>0</v>
      </c>
      <c r="L463" t="s">
        <v>1234</v>
      </c>
      <c r="M463" t="s">
        <v>1757</v>
      </c>
      <c r="N463">
        <v>0.22500000000000001</v>
      </c>
      <c r="O463" t="s">
        <v>56</v>
      </c>
      <c r="P463" t="s">
        <v>57</v>
      </c>
      <c r="Q463" t="s">
        <v>109</v>
      </c>
      <c r="R463" t="s">
        <v>59</v>
      </c>
      <c r="S463" t="s">
        <v>1758</v>
      </c>
      <c r="T463" t="s">
        <v>61</v>
      </c>
      <c r="U463">
        <v>2.9861</v>
      </c>
      <c r="V463" t="s">
        <v>62</v>
      </c>
      <c r="W463">
        <v>0</v>
      </c>
      <c r="X463">
        <v>31.632000000000001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67</v>
      </c>
      <c r="AK463" t="s">
        <v>111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125</v>
      </c>
      <c r="AT463" t="s">
        <v>71</v>
      </c>
      <c r="AU463">
        <v>0</v>
      </c>
      <c r="AV463">
        <v>0</v>
      </c>
    </row>
    <row r="464" spans="1:48" x14ac:dyDescent="0.25">
      <c r="A464" t="s">
        <v>1759</v>
      </c>
      <c r="B464" t="s">
        <v>125</v>
      </c>
      <c r="C464" t="s">
        <v>50</v>
      </c>
      <c r="D464">
        <v>440068.22489999997</v>
      </c>
      <c r="E464">
        <v>1828091.8588</v>
      </c>
      <c r="F464">
        <v>34.712000000000003</v>
      </c>
      <c r="G464" t="s">
        <v>1760</v>
      </c>
      <c r="H464" t="s">
        <v>52</v>
      </c>
      <c r="I464">
        <v>34.712000000000003</v>
      </c>
      <c r="J464" t="s">
        <v>53</v>
      </c>
      <c r="K464">
        <v>0</v>
      </c>
      <c r="L464" t="s">
        <v>1234</v>
      </c>
      <c r="M464" s="1" t="s">
        <v>428</v>
      </c>
      <c r="N464">
        <v>0.22500000000000001</v>
      </c>
      <c r="O464" t="s">
        <v>56</v>
      </c>
      <c r="P464" t="s">
        <v>57</v>
      </c>
      <c r="Q464" t="s">
        <v>109</v>
      </c>
      <c r="R464" t="s">
        <v>59</v>
      </c>
      <c r="S464" t="s">
        <v>1761</v>
      </c>
      <c r="T464" t="s">
        <v>61</v>
      </c>
      <c r="U464">
        <v>3.0935999999999999</v>
      </c>
      <c r="V464" t="s">
        <v>62</v>
      </c>
      <c r="W464">
        <v>0</v>
      </c>
      <c r="X464">
        <v>31.617999999999999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67</v>
      </c>
      <c r="AK464" t="s">
        <v>111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125</v>
      </c>
      <c r="AT464" t="s">
        <v>71</v>
      </c>
      <c r="AU464">
        <v>0</v>
      </c>
      <c r="AV464">
        <v>0</v>
      </c>
    </row>
    <row r="465" spans="1:48" x14ac:dyDescent="0.25">
      <c r="A465" t="s">
        <v>1762</v>
      </c>
      <c r="B465" t="s">
        <v>125</v>
      </c>
      <c r="C465" t="s">
        <v>50</v>
      </c>
      <c r="D465">
        <v>440088.22489999997</v>
      </c>
      <c r="E465">
        <v>1828091.8588</v>
      </c>
      <c r="F465">
        <v>34.575000000000003</v>
      </c>
      <c r="G465" t="s">
        <v>1763</v>
      </c>
      <c r="H465" t="s">
        <v>52</v>
      </c>
      <c r="I465">
        <v>34.575000000000003</v>
      </c>
      <c r="J465" t="s">
        <v>53</v>
      </c>
      <c r="K465">
        <v>0</v>
      </c>
      <c r="L465" t="s">
        <v>1234</v>
      </c>
      <c r="M465" t="s">
        <v>432</v>
      </c>
      <c r="N465">
        <v>0.22500000000000001</v>
      </c>
      <c r="O465" t="s">
        <v>56</v>
      </c>
      <c r="P465" t="s">
        <v>57</v>
      </c>
      <c r="Q465" t="s">
        <v>109</v>
      </c>
      <c r="R465" t="s">
        <v>59</v>
      </c>
      <c r="S465" t="s">
        <v>1764</v>
      </c>
      <c r="T465" t="s">
        <v>61</v>
      </c>
      <c r="U465">
        <v>2.9773000000000001</v>
      </c>
      <c r="V465" t="s">
        <v>62</v>
      </c>
      <c r="W465">
        <v>0</v>
      </c>
      <c r="X465">
        <v>31.597999999999999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67</v>
      </c>
      <c r="AK465" t="s">
        <v>111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125</v>
      </c>
      <c r="AT465" t="s">
        <v>71</v>
      </c>
      <c r="AU465">
        <v>0</v>
      </c>
      <c r="AV465">
        <v>0</v>
      </c>
    </row>
    <row r="466" spans="1:48" x14ac:dyDescent="0.25">
      <c r="A466" t="s">
        <v>1765</v>
      </c>
      <c r="B466" t="s">
        <v>125</v>
      </c>
      <c r="C466" t="s">
        <v>50</v>
      </c>
      <c r="D466">
        <v>440108.22489999997</v>
      </c>
      <c r="E466">
        <v>1828091.8588</v>
      </c>
      <c r="F466">
        <v>34.439</v>
      </c>
      <c r="G466" t="s">
        <v>1766</v>
      </c>
      <c r="H466" t="s">
        <v>52</v>
      </c>
      <c r="I466">
        <v>34.439</v>
      </c>
      <c r="J466" t="s">
        <v>53</v>
      </c>
      <c r="K466">
        <v>0</v>
      </c>
      <c r="L466" t="s">
        <v>1234</v>
      </c>
      <c r="M466" t="s">
        <v>597</v>
      </c>
      <c r="N466">
        <v>0.22500000000000001</v>
      </c>
      <c r="O466" t="s">
        <v>56</v>
      </c>
      <c r="P466" t="s">
        <v>57</v>
      </c>
      <c r="Q466" t="s">
        <v>109</v>
      </c>
      <c r="R466" t="s">
        <v>59</v>
      </c>
      <c r="S466" t="s">
        <v>1767</v>
      </c>
      <c r="T466" t="s">
        <v>61</v>
      </c>
      <c r="U466">
        <v>2.8610000000000002</v>
      </c>
      <c r="V466" t="s">
        <v>62</v>
      </c>
      <c r="W466">
        <v>0</v>
      </c>
      <c r="X466">
        <v>31.577999999999999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66</v>
      </c>
      <c r="AG466" t="s">
        <v>65</v>
      </c>
      <c r="AH466" t="s">
        <v>65</v>
      </c>
      <c r="AI466" t="s">
        <v>67</v>
      </c>
      <c r="AK466" t="s">
        <v>111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125</v>
      </c>
      <c r="AT466" t="s">
        <v>71</v>
      </c>
      <c r="AU466">
        <v>0</v>
      </c>
      <c r="AV466">
        <v>0</v>
      </c>
    </row>
    <row r="467" spans="1:48" x14ac:dyDescent="0.25">
      <c r="A467" t="s">
        <v>1768</v>
      </c>
      <c r="B467" t="s">
        <v>105</v>
      </c>
      <c r="C467" t="s">
        <v>50</v>
      </c>
      <c r="D467">
        <v>440121.8995</v>
      </c>
      <c r="E467">
        <v>1828202.8171000001</v>
      </c>
      <c r="F467">
        <v>34.951000000000001</v>
      </c>
      <c r="G467" t="s">
        <v>1769</v>
      </c>
      <c r="H467" t="s">
        <v>52</v>
      </c>
      <c r="I467">
        <v>34.951000000000001</v>
      </c>
      <c r="J467" t="s">
        <v>53</v>
      </c>
      <c r="K467">
        <v>0</v>
      </c>
      <c r="L467" t="s">
        <v>395</v>
      </c>
      <c r="M467" t="s">
        <v>774</v>
      </c>
      <c r="N467">
        <v>-0.14710000000000001</v>
      </c>
      <c r="O467" t="s">
        <v>56</v>
      </c>
      <c r="P467" t="s">
        <v>57</v>
      </c>
      <c r="Q467" t="s">
        <v>59</v>
      </c>
      <c r="R467" t="s">
        <v>109</v>
      </c>
      <c r="S467" t="s">
        <v>1770</v>
      </c>
      <c r="T467" t="s">
        <v>61</v>
      </c>
      <c r="U467">
        <v>1.5138</v>
      </c>
      <c r="V467" t="s">
        <v>62</v>
      </c>
      <c r="W467">
        <v>0</v>
      </c>
      <c r="X467">
        <v>33.436999999999998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111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105</v>
      </c>
      <c r="AT467" t="s">
        <v>71</v>
      </c>
      <c r="AU467">
        <v>0</v>
      </c>
      <c r="AV467">
        <v>0</v>
      </c>
    </row>
    <row r="468" spans="1:48" x14ac:dyDescent="0.25">
      <c r="A468" t="s">
        <v>1771</v>
      </c>
      <c r="B468" t="s">
        <v>105</v>
      </c>
      <c r="C468" t="s">
        <v>50</v>
      </c>
      <c r="D468">
        <v>440121.8995</v>
      </c>
      <c r="E468">
        <v>1828182.8171999999</v>
      </c>
      <c r="F468">
        <v>34.829000000000001</v>
      </c>
      <c r="G468" t="s">
        <v>1772</v>
      </c>
      <c r="H468" t="s">
        <v>52</v>
      </c>
      <c r="I468">
        <v>34.829000000000001</v>
      </c>
      <c r="J468" t="s">
        <v>53</v>
      </c>
      <c r="K468">
        <v>0</v>
      </c>
      <c r="L468" t="s">
        <v>395</v>
      </c>
      <c r="M468" t="s">
        <v>452</v>
      </c>
      <c r="N468">
        <v>-0.14710000000000001</v>
      </c>
      <c r="O468" t="s">
        <v>56</v>
      </c>
      <c r="P468" t="s">
        <v>57</v>
      </c>
      <c r="Q468" t="s">
        <v>59</v>
      </c>
      <c r="R468" t="s">
        <v>109</v>
      </c>
      <c r="S468" t="s">
        <v>1773</v>
      </c>
      <c r="T468" t="s">
        <v>61</v>
      </c>
      <c r="U468">
        <v>1.5143</v>
      </c>
      <c r="V468" t="s">
        <v>62</v>
      </c>
      <c r="W468">
        <v>0</v>
      </c>
      <c r="X468">
        <v>33.314999999999998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111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105</v>
      </c>
      <c r="AT468" t="s">
        <v>71</v>
      </c>
      <c r="AU468">
        <v>0</v>
      </c>
      <c r="AV468">
        <v>0</v>
      </c>
    </row>
    <row r="469" spans="1:48" x14ac:dyDescent="0.25">
      <c r="A469" t="s">
        <v>1774</v>
      </c>
      <c r="B469" t="s">
        <v>105</v>
      </c>
      <c r="C469" t="s">
        <v>50</v>
      </c>
      <c r="D469">
        <v>440121.8995</v>
      </c>
      <c r="E469">
        <v>1828162.8171999999</v>
      </c>
      <c r="F469">
        <v>34.707999999999998</v>
      </c>
      <c r="G469" t="s">
        <v>1775</v>
      </c>
      <c r="H469" t="s">
        <v>52</v>
      </c>
      <c r="I469">
        <v>34.707999999999998</v>
      </c>
      <c r="J469" t="s">
        <v>53</v>
      </c>
      <c r="K469">
        <v>0</v>
      </c>
      <c r="L469" t="s">
        <v>395</v>
      </c>
      <c r="M469" t="s">
        <v>448</v>
      </c>
      <c r="N469">
        <v>-0.14710000000000001</v>
      </c>
      <c r="O469" t="s">
        <v>56</v>
      </c>
      <c r="P469" t="s">
        <v>57</v>
      </c>
      <c r="Q469" t="s">
        <v>59</v>
      </c>
      <c r="R469" t="s">
        <v>109</v>
      </c>
      <c r="S469" t="s">
        <v>1776</v>
      </c>
      <c r="T469" t="s">
        <v>61</v>
      </c>
      <c r="U469">
        <v>1.5138</v>
      </c>
      <c r="V469" t="s">
        <v>62</v>
      </c>
      <c r="W469">
        <v>0</v>
      </c>
      <c r="X469">
        <v>33.194000000000003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111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105</v>
      </c>
      <c r="AT469" t="s">
        <v>71</v>
      </c>
      <c r="AU469">
        <v>0</v>
      </c>
      <c r="AV469">
        <v>0</v>
      </c>
    </row>
    <row r="470" spans="1:48" x14ac:dyDescent="0.25">
      <c r="A470" t="s">
        <v>1777</v>
      </c>
      <c r="B470" t="s">
        <v>105</v>
      </c>
      <c r="C470" t="s">
        <v>50</v>
      </c>
      <c r="D470">
        <v>440121.8995</v>
      </c>
      <c r="E470">
        <v>1828142.8171999999</v>
      </c>
      <c r="F470">
        <v>34.585999999999999</v>
      </c>
      <c r="G470" t="s">
        <v>1778</v>
      </c>
      <c r="H470" t="s">
        <v>52</v>
      </c>
      <c r="I470">
        <v>34.585999999999999</v>
      </c>
      <c r="J470" t="s">
        <v>53</v>
      </c>
      <c r="K470">
        <v>0</v>
      </c>
      <c r="L470" t="s">
        <v>395</v>
      </c>
      <c r="M470" t="s">
        <v>444</v>
      </c>
      <c r="N470">
        <v>-0.14710000000000001</v>
      </c>
      <c r="O470" t="s">
        <v>56</v>
      </c>
      <c r="P470" t="s">
        <v>57</v>
      </c>
      <c r="Q470" t="s">
        <v>59</v>
      </c>
      <c r="R470" t="s">
        <v>109</v>
      </c>
      <c r="S470" t="s">
        <v>1779</v>
      </c>
      <c r="T470" t="s">
        <v>61</v>
      </c>
      <c r="U470">
        <v>1.5143</v>
      </c>
      <c r="V470" t="s">
        <v>62</v>
      </c>
      <c r="W470">
        <v>0</v>
      </c>
      <c r="X470">
        <v>33.072000000000003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111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105</v>
      </c>
      <c r="AT470" t="s">
        <v>71</v>
      </c>
      <c r="AU470">
        <v>0</v>
      </c>
      <c r="AV470">
        <v>0</v>
      </c>
    </row>
    <row r="471" spans="1:48" x14ac:dyDescent="0.25">
      <c r="A471" t="s">
        <v>1780</v>
      </c>
      <c r="B471" t="s">
        <v>105</v>
      </c>
      <c r="C471" t="s">
        <v>50</v>
      </c>
      <c r="D471">
        <v>440121.8995</v>
      </c>
      <c r="E471">
        <v>1828122.8171999999</v>
      </c>
      <c r="F471">
        <v>34.465000000000003</v>
      </c>
      <c r="G471" t="s">
        <v>1781</v>
      </c>
      <c r="H471" t="s">
        <v>52</v>
      </c>
      <c r="I471">
        <v>34.465000000000003</v>
      </c>
      <c r="J471" t="s">
        <v>53</v>
      </c>
      <c r="K471">
        <v>0</v>
      </c>
      <c r="L471" t="s">
        <v>395</v>
      </c>
      <c r="M471" s="1" t="s">
        <v>440</v>
      </c>
      <c r="N471">
        <v>-0.14710000000000001</v>
      </c>
      <c r="O471" t="s">
        <v>56</v>
      </c>
      <c r="P471" t="s">
        <v>57</v>
      </c>
      <c r="Q471" t="s">
        <v>59</v>
      </c>
      <c r="R471" t="s">
        <v>109</v>
      </c>
      <c r="S471" t="s">
        <v>1782</v>
      </c>
      <c r="T471" t="s">
        <v>61</v>
      </c>
      <c r="U471">
        <v>1.6729000000000001</v>
      </c>
      <c r="V471" t="s">
        <v>62</v>
      </c>
      <c r="W471">
        <v>0</v>
      </c>
      <c r="X471">
        <v>32.792000000000002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111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105</v>
      </c>
      <c r="AT471" t="s">
        <v>71</v>
      </c>
      <c r="AU471">
        <v>0</v>
      </c>
      <c r="AV471">
        <v>0</v>
      </c>
    </row>
    <row r="472" spans="1:48" x14ac:dyDescent="0.25">
      <c r="A472" t="s">
        <v>1783</v>
      </c>
      <c r="B472" t="s">
        <v>73</v>
      </c>
      <c r="C472" t="s">
        <v>50</v>
      </c>
      <c r="D472">
        <v>440044.22450000001</v>
      </c>
      <c r="E472">
        <v>1828202.8171000001</v>
      </c>
      <c r="F472">
        <v>34.506999999999998</v>
      </c>
      <c r="G472" t="s">
        <v>1784</v>
      </c>
      <c r="H472" t="s">
        <v>52</v>
      </c>
      <c r="I472">
        <v>34.506999999999998</v>
      </c>
      <c r="J472" t="s">
        <v>53</v>
      </c>
      <c r="K472">
        <v>0</v>
      </c>
      <c r="L472" t="s">
        <v>489</v>
      </c>
      <c r="M472" t="s">
        <v>774</v>
      </c>
      <c r="N472">
        <v>0</v>
      </c>
      <c r="O472" t="s">
        <v>56</v>
      </c>
      <c r="P472" t="s">
        <v>57</v>
      </c>
      <c r="Q472" t="s">
        <v>59</v>
      </c>
      <c r="R472" t="s">
        <v>58</v>
      </c>
      <c r="S472" t="s">
        <v>1785</v>
      </c>
      <c r="T472" t="s">
        <v>61</v>
      </c>
      <c r="U472">
        <v>1.454</v>
      </c>
      <c r="V472" t="s">
        <v>62</v>
      </c>
      <c r="W472">
        <v>0</v>
      </c>
      <c r="X472">
        <v>33.052999999999997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73</v>
      </c>
      <c r="AT472" t="s">
        <v>71</v>
      </c>
      <c r="AU472">
        <v>0</v>
      </c>
      <c r="AV472">
        <v>0</v>
      </c>
    </row>
    <row r="473" spans="1:48" x14ac:dyDescent="0.25">
      <c r="A473" t="s">
        <v>1786</v>
      </c>
      <c r="B473" t="s">
        <v>73</v>
      </c>
      <c r="C473" t="s">
        <v>50</v>
      </c>
      <c r="D473">
        <v>440044.22450000001</v>
      </c>
      <c r="E473">
        <v>1828182.8171000001</v>
      </c>
      <c r="F473">
        <v>34.566000000000003</v>
      </c>
      <c r="G473" t="s">
        <v>1787</v>
      </c>
      <c r="H473" t="s">
        <v>52</v>
      </c>
      <c r="I473">
        <v>34.566000000000003</v>
      </c>
      <c r="J473" t="s">
        <v>53</v>
      </c>
      <c r="K473">
        <v>0</v>
      </c>
      <c r="L473" t="s">
        <v>489</v>
      </c>
      <c r="M473" t="s">
        <v>452</v>
      </c>
      <c r="N473">
        <v>0</v>
      </c>
      <c r="O473" t="s">
        <v>56</v>
      </c>
      <c r="P473" t="s">
        <v>57</v>
      </c>
      <c r="Q473" t="s">
        <v>59</v>
      </c>
      <c r="R473" t="s">
        <v>58</v>
      </c>
      <c r="S473" t="s">
        <v>1788</v>
      </c>
      <c r="T473" t="s">
        <v>61</v>
      </c>
      <c r="U473">
        <v>1.5605</v>
      </c>
      <c r="V473" t="s">
        <v>62</v>
      </c>
      <c r="W473">
        <v>0</v>
      </c>
      <c r="X473">
        <v>33.006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68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73</v>
      </c>
      <c r="AT473" t="s">
        <v>71</v>
      </c>
      <c r="AU473">
        <v>0</v>
      </c>
      <c r="AV473">
        <v>0</v>
      </c>
    </row>
    <row r="474" spans="1:48" x14ac:dyDescent="0.25">
      <c r="A474" t="s">
        <v>1789</v>
      </c>
      <c r="B474" t="s">
        <v>73</v>
      </c>
      <c r="C474" t="s">
        <v>50</v>
      </c>
      <c r="D474">
        <v>440044.22450000001</v>
      </c>
      <c r="E474">
        <v>1828162.8171000001</v>
      </c>
      <c r="F474">
        <v>34.625999999999998</v>
      </c>
      <c r="G474" t="s">
        <v>1790</v>
      </c>
      <c r="H474" t="s">
        <v>52</v>
      </c>
      <c r="I474">
        <v>34.625999999999998</v>
      </c>
      <c r="J474" t="s">
        <v>53</v>
      </c>
      <c r="K474">
        <v>0</v>
      </c>
      <c r="L474" t="s">
        <v>489</v>
      </c>
      <c r="M474" t="s">
        <v>448</v>
      </c>
      <c r="N474">
        <v>0</v>
      </c>
      <c r="O474" t="s">
        <v>56</v>
      </c>
      <c r="P474" t="s">
        <v>57</v>
      </c>
      <c r="Q474" t="s">
        <v>59</v>
      </c>
      <c r="R474" t="s">
        <v>58</v>
      </c>
      <c r="S474" t="s">
        <v>1791</v>
      </c>
      <c r="T474" t="s">
        <v>61</v>
      </c>
      <c r="U474">
        <v>1.6429</v>
      </c>
      <c r="V474" t="s">
        <v>62</v>
      </c>
      <c r="W474">
        <v>0</v>
      </c>
      <c r="X474">
        <v>32.982999999999997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68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73</v>
      </c>
      <c r="AT474" t="s">
        <v>71</v>
      </c>
      <c r="AU474">
        <v>0</v>
      </c>
      <c r="AV474">
        <v>0</v>
      </c>
    </row>
    <row r="475" spans="1:48" x14ac:dyDescent="0.25">
      <c r="A475" t="s">
        <v>1792</v>
      </c>
      <c r="B475" t="s">
        <v>73</v>
      </c>
      <c r="C475" t="s">
        <v>50</v>
      </c>
      <c r="D475">
        <v>440044.22450000001</v>
      </c>
      <c r="E475">
        <v>1828142.8171000001</v>
      </c>
      <c r="F475">
        <v>34.685000000000002</v>
      </c>
      <c r="G475" t="s">
        <v>1793</v>
      </c>
      <c r="H475" t="s">
        <v>52</v>
      </c>
      <c r="I475">
        <v>34.685000000000002</v>
      </c>
      <c r="J475" t="s">
        <v>53</v>
      </c>
      <c r="K475">
        <v>0</v>
      </c>
      <c r="L475" t="s">
        <v>489</v>
      </c>
      <c r="M475" t="s">
        <v>444</v>
      </c>
      <c r="N475">
        <v>0</v>
      </c>
      <c r="O475" t="s">
        <v>56</v>
      </c>
      <c r="P475" t="s">
        <v>57</v>
      </c>
      <c r="Q475" t="s">
        <v>59</v>
      </c>
      <c r="R475" t="s">
        <v>58</v>
      </c>
      <c r="S475" t="s">
        <v>1794</v>
      </c>
      <c r="T475" t="s">
        <v>61</v>
      </c>
      <c r="U475">
        <v>1.7222999999999999</v>
      </c>
      <c r="V475" t="s">
        <v>62</v>
      </c>
      <c r="W475">
        <v>0</v>
      </c>
      <c r="X475">
        <v>32.963000000000001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73</v>
      </c>
      <c r="AT475" t="s">
        <v>71</v>
      </c>
      <c r="AU475">
        <v>0</v>
      </c>
      <c r="AV475">
        <v>0</v>
      </c>
    </row>
    <row r="476" spans="1:48" x14ac:dyDescent="0.25">
      <c r="A476" t="s">
        <v>1795</v>
      </c>
      <c r="B476" t="s">
        <v>73</v>
      </c>
      <c r="C476" t="s">
        <v>50</v>
      </c>
      <c r="D476">
        <v>440044.22450000001</v>
      </c>
      <c r="E476">
        <v>1828122.8171000001</v>
      </c>
      <c r="F476">
        <v>34.744999999999997</v>
      </c>
      <c r="G476" t="s">
        <v>1796</v>
      </c>
      <c r="H476" t="s">
        <v>52</v>
      </c>
      <c r="I476">
        <v>34.744999999999997</v>
      </c>
      <c r="J476" t="s">
        <v>53</v>
      </c>
      <c r="K476">
        <v>0</v>
      </c>
      <c r="L476" t="s">
        <v>489</v>
      </c>
      <c r="M476" t="s">
        <v>440</v>
      </c>
      <c r="N476">
        <v>0</v>
      </c>
      <c r="O476" t="s">
        <v>56</v>
      </c>
      <c r="P476" t="s">
        <v>57</v>
      </c>
      <c r="Q476" t="s">
        <v>59</v>
      </c>
      <c r="R476" t="s">
        <v>58</v>
      </c>
      <c r="S476" t="s">
        <v>1797</v>
      </c>
      <c r="T476" t="s">
        <v>61</v>
      </c>
      <c r="U476">
        <v>1.8017000000000001</v>
      </c>
      <c r="V476" t="s">
        <v>62</v>
      </c>
      <c r="W476">
        <v>0</v>
      </c>
      <c r="X476">
        <v>32.942999999999998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73</v>
      </c>
      <c r="AT476" t="s">
        <v>71</v>
      </c>
      <c r="AU476">
        <v>0</v>
      </c>
      <c r="AV476">
        <v>0</v>
      </c>
    </row>
    <row r="477" spans="1:48" x14ac:dyDescent="0.25">
      <c r="A477" t="s">
        <v>1798</v>
      </c>
      <c r="B477" t="s">
        <v>125</v>
      </c>
      <c r="C477" t="s">
        <v>50</v>
      </c>
      <c r="D477">
        <v>440044.5245</v>
      </c>
      <c r="E477">
        <v>1828102.5088</v>
      </c>
      <c r="F477">
        <v>34.798999999999999</v>
      </c>
      <c r="G477" t="s">
        <v>1799</v>
      </c>
      <c r="H477" t="s">
        <v>52</v>
      </c>
      <c r="I477">
        <v>34.798999999999999</v>
      </c>
      <c r="J477" t="s">
        <v>53</v>
      </c>
      <c r="K477">
        <v>0</v>
      </c>
      <c r="L477" t="s">
        <v>1220</v>
      </c>
      <c r="M477" t="s">
        <v>1729</v>
      </c>
      <c r="N477">
        <v>-0.22500000000000001</v>
      </c>
      <c r="O477" t="s">
        <v>56</v>
      </c>
      <c r="P477" t="s">
        <v>57</v>
      </c>
      <c r="Q477" t="s">
        <v>109</v>
      </c>
      <c r="R477" t="s">
        <v>59</v>
      </c>
      <c r="S477" t="s">
        <v>1800</v>
      </c>
      <c r="T477" t="s">
        <v>61</v>
      </c>
      <c r="U477">
        <v>1.8771</v>
      </c>
      <c r="V477" t="s">
        <v>62</v>
      </c>
      <c r="W477">
        <v>0</v>
      </c>
      <c r="X477">
        <v>32.921999999999997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67</v>
      </c>
      <c r="AK477" t="s">
        <v>111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125</v>
      </c>
      <c r="AT477" t="s">
        <v>71</v>
      </c>
      <c r="AU477">
        <v>0</v>
      </c>
      <c r="AV477">
        <v>0</v>
      </c>
    </row>
    <row r="478" spans="1:48" x14ac:dyDescent="0.25">
      <c r="A478" t="s">
        <v>1801</v>
      </c>
      <c r="B478" t="s">
        <v>73</v>
      </c>
      <c r="C478" t="s">
        <v>50</v>
      </c>
      <c r="D478">
        <v>440053.62449999998</v>
      </c>
      <c r="E478">
        <v>1828202.8171000001</v>
      </c>
      <c r="F478">
        <v>34.506999999999998</v>
      </c>
      <c r="G478" t="s">
        <v>1802</v>
      </c>
      <c r="H478" t="s">
        <v>52</v>
      </c>
      <c r="I478">
        <v>34.506999999999998</v>
      </c>
      <c r="J478" t="s">
        <v>53</v>
      </c>
      <c r="K478">
        <v>0</v>
      </c>
      <c r="L478" t="s">
        <v>502</v>
      </c>
      <c r="M478" t="s">
        <v>774</v>
      </c>
      <c r="N478">
        <v>0.1615</v>
      </c>
      <c r="O478" t="s">
        <v>56</v>
      </c>
      <c r="P478" t="s">
        <v>57</v>
      </c>
      <c r="Q478" t="s">
        <v>59</v>
      </c>
      <c r="R478" t="s">
        <v>58</v>
      </c>
      <c r="S478" t="s">
        <v>1785</v>
      </c>
      <c r="T478" t="s">
        <v>61</v>
      </c>
      <c r="U478">
        <v>1.454</v>
      </c>
      <c r="V478" t="s">
        <v>62</v>
      </c>
      <c r="W478">
        <v>0</v>
      </c>
      <c r="X478">
        <v>33.052999999999997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68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73</v>
      </c>
      <c r="AT478" t="s">
        <v>71</v>
      </c>
      <c r="AU478">
        <v>0</v>
      </c>
      <c r="AV478">
        <v>0</v>
      </c>
    </row>
    <row r="479" spans="1:48" x14ac:dyDescent="0.25">
      <c r="A479" t="s">
        <v>1803</v>
      </c>
      <c r="B479" t="s">
        <v>73</v>
      </c>
      <c r="C479" t="s">
        <v>50</v>
      </c>
      <c r="D479">
        <v>440053.62449999998</v>
      </c>
      <c r="E479">
        <v>1828182.8171000001</v>
      </c>
      <c r="F479">
        <v>34.566000000000003</v>
      </c>
      <c r="G479" t="s">
        <v>1804</v>
      </c>
      <c r="H479" t="s">
        <v>52</v>
      </c>
      <c r="I479">
        <v>34.566000000000003</v>
      </c>
      <c r="J479" t="s">
        <v>53</v>
      </c>
      <c r="K479">
        <v>0</v>
      </c>
      <c r="L479" t="s">
        <v>502</v>
      </c>
      <c r="M479" t="s">
        <v>452</v>
      </c>
      <c r="N479">
        <v>0.1615</v>
      </c>
      <c r="O479" t="s">
        <v>56</v>
      </c>
      <c r="P479" t="s">
        <v>57</v>
      </c>
      <c r="Q479" t="s">
        <v>59</v>
      </c>
      <c r="R479" t="s">
        <v>58</v>
      </c>
      <c r="S479" t="s">
        <v>1788</v>
      </c>
      <c r="T479" t="s">
        <v>61</v>
      </c>
      <c r="U479">
        <v>1.5605</v>
      </c>
      <c r="V479" t="s">
        <v>62</v>
      </c>
      <c r="W479">
        <v>0</v>
      </c>
      <c r="X479">
        <v>33.006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73</v>
      </c>
      <c r="AT479" t="s">
        <v>71</v>
      </c>
      <c r="AU479">
        <v>0</v>
      </c>
      <c r="AV479">
        <v>0</v>
      </c>
    </row>
    <row r="480" spans="1:48" x14ac:dyDescent="0.25">
      <c r="A480" t="s">
        <v>1805</v>
      </c>
      <c r="B480" t="s">
        <v>73</v>
      </c>
      <c r="C480" t="s">
        <v>50</v>
      </c>
      <c r="D480">
        <v>440053.62449999998</v>
      </c>
      <c r="E480">
        <v>1828162.8171000001</v>
      </c>
      <c r="F480">
        <v>34.625999999999998</v>
      </c>
      <c r="G480" t="s">
        <v>1806</v>
      </c>
      <c r="H480" t="s">
        <v>52</v>
      </c>
      <c r="I480">
        <v>34.625999999999998</v>
      </c>
      <c r="J480" t="s">
        <v>53</v>
      </c>
      <c r="K480">
        <v>0</v>
      </c>
      <c r="L480" t="s">
        <v>502</v>
      </c>
      <c r="M480" t="s">
        <v>448</v>
      </c>
      <c r="N480">
        <v>0.1615</v>
      </c>
      <c r="O480" t="s">
        <v>56</v>
      </c>
      <c r="P480" t="s">
        <v>57</v>
      </c>
      <c r="Q480" t="s">
        <v>59</v>
      </c>
      <c r="R480" t="s">
        <v>58</v>
      </c>
      <c r="S480" t="s">
        <v>1791</v>
      </c>
      <c r="T480" t="s">
        <v>61</v>
      </c>
      <c r="U480">
        <v>1.6429</v>
      </c>
      <c r="V480" t="s">
        <v>62</v>
      </c>
      <c r="W480">
        <v>0</v>
      </c>
      <c r="X480">
        <v>32.982999999999997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73</v>
      </c>
      <c r="AT480" t="s">
        <v>71</v>
      </c>
      <c r="AU480">
        <v>0</v>
      </c>
      <c r="AV480">
        <v>0</v>
      </c>
    </row>
    <row r="481" spans="1:48" x14ac:dyDescent="0.25">
      <c r="A481" t="s">
        <v>1807</v>
      </c>
      <c r="B481" t="s">
        <v>73</v>
      </c>
      <c r="C481" t="s">
        <v>50</v>
      </c>
      <c r="D481">
        <v>440053.62449999998</v>
      </c>
      <c r="E481">
        <v>1828142.8171000001</v>
      </c>
      <c r="F481">
        <v>34.685000000000002</v>
      </c>
      <c r="G481" t="s">
        <v>1808</v>
      </c>
      <c r="H481" t="s">
        <v>52</v>
      </c>
      <c r="I481">
        <v>34.685000000000002</v>
      </c>
      <c r="J481" t="s">
        <v>53</v>
      </c>
      <c r="K481">
        <v>0</v>
      </c>
      <c r="L481" t="s">
        <v>502</v>
      </c>
      <c r="M481" t="s">
        <v>444</v>
      </c>
      <c r="N481">
        <v>0.1615</v>
      </c>
      <c r="O481" t="s">
        <v>56</v>
      </c>
      <c r="P481" t="s">
        <v>57</v>
      </c>
      <c r="Q481" t="s">
        <v>59</v>
      </c>
      <c r="R481" t="s">
        <v>58</v>
      </c>
      <c r="S481" t="s">
        <v>1794</v>
      </c>
      <c r="T481" t="s">
        <v>61</v>
      </c>
      <c r="U481">
        <v>1.7222999999999999</v>
      </c>
      <c r="V481" t="s">
        <v>62</v>
      </c>
      <c r="W481">
        <v>0</v>
      </c>
      <c r="X481">
        <v>32.963000000000001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68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73</v>
      </c>
      <c r="AT481" t="s">
        <v>71</v>
      </c>
      <c r="AU481">
        <v>0</v>
      </c>
      <c r="AV481">
        <v>0</v>
      </c>
    </row>
    <row r="482" spans="1:48" x14ac:dyDescent="0.25">
      <c r="A482" t="s">
        <v>1809</v>
      </c>
      <c r="B482" t="s">
        <v>73</v>
      </c>
      <c r="C482" t="s">
        <v>50</v>
      </c>
      <c r="D482">
        <v>440053.62449999998</v>
      </c>
      <c r="E482">
        <v>1828122.8171000001</v>
      </c>
      <c r="F482">
        <v>34.744999999999997</v>
      </c>
      <c r="G482" t="s">
        <v>1810</v>
      </c>
      <c r="H482" t="s">
        <v>52</v>
      </c>
      <c r="I482">
        <v>34.744999999999997</v>
      </c>
      <c r="J482" t="s">
        <v>53</v>
      </c>
      <c r="K482">
        <v>0</v>
      </c>
      <c r="L482" t="s">
        <v>502</v>
      </c>
      <c r="M482" t="s">
        <v>440</v>
      </c>
      <c r="N482">
        <v>0.1615</v>
      </c>
      <c r="O482" t="s">
        <v>56</v>
      </c>
      <c r="P482" t="s">
        <v>57</v>
      </c>
      <c r="Q482" t="s">
        <v>59</v>
      </c>
      <c r="R482" t="s">
        <v>58</v>
      </c>
      <c r="S482" t="s">
        <v>1797</v>
      </c>
      <c r="T482" t="s">
        <v>61</v>
      </c>
      <c r="U482">
        <v>1.8017000000000001</v>
      </c>
      <c r="V482" t="s">
        <v>62</v>
      </c>
      <c r="W482">
        <v>0</v>
      </c>
      <c r="X482">
        <v>32.942999999999998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68</v>
      </c>
      <c r="AG482" t="s">
        <v>65</v>
      </c>
      <c r="AH482" t="s">
        <v>65</v>
      </c>
      <c r="AI482" t="s">
        <v>67</v>
      </c>
      <c r="AK482" t="s">
        <v>66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73</v>
      </c>
      <c r="AT482" t="s">
        <v>71</v>
      </c>
      <c r="AU482">
        <v>0</v>
      </c>
      <c r="AV482">
        <v>0</v>
      </c>
    </row>
    <row r="483" spans="1:48" x14ac:dyDescent="0.25">
      <c r="A483" t="s">
        <v>1811</v>
      </c>
      <c r="B483" t="s">
        <v>125</v>
      </c>
      <c r="C483" t="s">
        <v>50</v>
      </c>
      <c r="D483">
        <v>440053.48830000003</v>
      </c>
      <c r="E483">
        <v>1828102.5088</v>
      </c>
      <c r="F483">
        <v>34.616999999999997</v>
      </c>
      <c r="G483" t="s">
        <v>1812</v>
      </c>
      <c r="H483" t="s">
        <v>52</v>
      </c>
      <c r="I483">
        <v>34.616999999999997</v>
      </c>
      <c r="J483" t="s">
        <v>53</v>
      </c>
      <c r="K483">
        <v>0</v>
      </c>
      <c r="L483" t="s">
        <v>1220</v>
      </c>
      <c r="M483" t="s">
        <v>1813</v>
      </c>
      <c r="N483">
        <v>-0.22500000000000001</v>
      </c>
      <c r="O483" t="s">
        <v>56</v>
      </c>
      <c r="P483" t="s">
        <v>57</v>
      </c>
      <c r="Q483" t="s">
        <v>109</v>
      </c>
      <c r="R483" t="s">
        <v>59</v>
      </c>
      <c r="S483" t="s">
        <v>1814</v>
      </c>
      <c r="T483" t="s">
        <v>61</v>
      </c>
      <c r="U483">
        <v>1.8545</v>
      </c>
      <c r="V483" t="s">
        <v>62</v>
      </c>
      <c r="W483">
        <v>0</v>
      </c>
      <c r="X483">
        <v>32.762999999999998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111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125</v>
      </c>
      <c r="AT483" t="s">
        <v>71</v>
      </c>
      <c r="AU483">
        <v>0</v>
      </c>
      <c r="AV483">
        <v>0</v>
      </c>
    </row>
    <row r="484" spans="1:48" x14ac:dyDescent="0.25">
      <c r="A484" t="s">
        <v>1815</v>
      </c>
      <c r="B484" t="s">
        <v>125</v>
      </c>
      <c r="C484" t="s">
        <v>50</v>
      </c>
      <c r="D484">
        <v>440068.22489999997</v>
      </c>
      <c r="E484">
        <v>1828102.6088</v>
      </c>
      <c r="F484">
        <v>34.713999999999999</v>
      </c>
      <c r="G484" t="s">
        <v>1816</v>
      </c>
      <c r="H484" t="s">
        <v>52</v>
      </c>
      <c r="I484">
        <v>34.713999999999999</v>
      </c>
      <c r="J484" t="s">
        <v>53</v>
      </c>
      <c r="K484">
        <v>0</v>
      </c>
      <c r="L484" t="s">
        <v>1220</v>
      </c>
      <c r="M484" t="s">
        <v>428</v>
      </c>
      <c r="N484">
        <v>-0.125</v>
      </c>
      <c r="O484" t="s">
        <v>56</v>
      </c>
      <c r="P484" t="s">
        <v>57</v>
      </c>
      <c r="Q484" t="s">
        <v>109</v>
      </c>
      <c r="R484" t="s">
        <v>59</v>
      </c>
      <c r="S484" t="s">
        <v>1817</v>
      </c>
      <c r="T484" t="s">
        <v>61</v>
      </c>
      <c r="U484">
        <v>1.9645999999999999</v>
      </c>
      <c r="V484" t="s">
        <v>62</v>
      </c>
      <c r="W484">
        <v>0</v>
      </c>
      <c r="X484">
        <v>32.749000000000002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111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125</v>
      </c>
      <c r="AT484" t="s">
        <v>71</v>
      </c>
      <c r="AU484">
        <v>0</v>
      </c>
      <c r="AV484">
        <v>0</v>
      </c>
    </row>
    <row r="485" spans="1:48" x14ac:dyDescent="0.25">
      <c r="A485" t="s">
        <v>1818</v>
      </c>
      <c r="B485" t="s">
        <v>125</v>
      </c>
      <c r="C485" t="s">
        <v>50</v>
      </c>
      <c r="D485">
        <v>440088.22489999997</v>
      </c>
      <c r="E485">
        <v>1828102.5088</v>
      </c>
      <c r="F485">
        <v>34.575000000000003</v>
      </c>
      <c r="G485" t="s">
        <v>1819</v>
      </c>
      <c r="H485" t="s">
        <v>52</v>
      </c>
      <c r="I485">
        <v>34.575000000000003</v>
      </c>
      <c r="J485" t="s">
        <v>53</v>
      </c>
      <c r="K485">
        <v>0</v>
      </c>
      <c r="L485" t="s">
        <v>1220</v>
      </c>
      <c r="M485" t="s">
        <v>432</v>
      </c>
      <c r="N485">
        <v>-0.22500000000000001</v>
      </c>
      <c r="O485" t="s">
        <v>56</v>
      </c>
      <c r="P485" t="s">
        <v>57</v>
      </c>
      <c r="Q485" t="s">
        <v>109</v>
      </c>
      <c r="R485" t="s">
        <v>59</v>
      </c>
      <c r="S485" t="s">
        <v>1820</v>
      </c>
      <c r="T485" t="s">
        <v>61</v>
      </c>
      <c r="U485">
        <v>1.8463000000000001</v>
      </c>
      <c r="V485" t="s">
        <v>62</v>
      </c>
      <c r="W485">
        <v>0</v>
      </c>
      <c r="X485">
        <v>32.728999999999999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111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125</v>
      </c>
      <c r="AT485" t="s">
        <v>71</v>
      </c>
      <c r="AU485">
        <v>0</v>
      </c>
      <c r="AV485">
        <v>0</v>
      </c>
    </row>
    <row r="486" spans="1:48" x14ac:dyDescent="0.25">
      <c r="A486" t="s">
        <v>1821</v>
      </c>
      <c r="B486" t="s">
        <v>125</v>
      </c>
      <c r="C486" t="s">
        <v>50</v>
      </c>
      <c r="D486">
        <v>440108.22489999997</v>
      </c>
      <c r="E486">
        <v>1828102.5088</v>
      </c>
      <c r="F486">
        <v>34.439</v>
      </c>
      <c r="G486" t="s">
        <v>1822</v>
      </c>
      <c r="H486" t="s">
        <v>52</v>
      </c>
      <c r="I486">
        <v>34.439</v>
      </c>
      <c r="J486" t="s">
        <v>53</v>
      </c>
      <c r="K486">
        <v>0</v>
      </c>
      <c r="L486" t="s">
        <v>1220</v>
      </c>
      <c r="M486" t="s">
        <v>597</v>
      </c>
      <c r="N486">
        <v>-0.22500000000000001</v>
      </c>
      <c r="O486" t="s">
        <v>56</v>
      </c>
      <c r="P486" t="s">
        <v>57</v>
      </c>
      <c r="Q486" t="s">
        <v>109</v>
      </c>
      <c r="R486" t="s">
        <v>59</v>
      </c>
      <c r="S486" t="s">
        <v>1823</v>
      </c>
      <c r="T486" t="s">
        <v>61</v>
      </c>
      <c r="U486">
        <v>1.8169999999999999</v>
      </c>
      <c r="V486" t="s">
        <v>62</v>
      </c>
      <c r="W486">
        <v>0</v>
      </c>
      <c r="X486">
        <v>32.622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111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125</v>
      </c>
      <c r="AT486" t="s">
        <v>71</v>
      </c>
      <c r="AU486">
        <v>0</v>
      </c>
      <c r="AV486">
        <v>0</v>
      </c>
    </row>
    <row r="487" spans="1:48" x14ac:dyDescent="0.25">
      <c r="A487" t="s">
        <v>1824</v>
      </c>
      <c r="B487" t="s">
        <v>105</v>
      </c>
      <c r="C487" t="s">
        <v>50</v>
      </c>
      <c r="D487">
        <v>440121.8995</v>
      </c>
      <c r="E487">
        <v>1828102.4571</v>
      </c>
      <c r="F487">
        <v>34.17</v>
      </c>
      <c r="G487" t="s">
        <v>1825</v>
      </c>
      <c r="H487" t="s">
        <v>52</v>
      </c>
      <c r="I487">
        <v>34.17</v>
      </c>
      <c r="J487" t="s">
        <v>53</v>
      </c>
      <c r="K487">
        <v>0</v>
      </c>
      <c r="L487" t="s">
        <v>1220</v>
      </c>
      <c r="M487" t="s">
        <v>1826</v>
      </c>
      <c r="N487">
        <v>-0.2767</v>
      </c>
      <c r="O487" t="s">
        <v>56</v>
      </c>
      <c r="P487" t="s">
        <v>57</v>
      </c>
      <c r="Q487" t="s">
        <v>59</v>
      </c>
      <c r="R487" t="s">
        <v>109</v>
      </c>
      <c r="S487" t="s">
        <v>1827</v>
      </c>
      <c r="T487" t="s">
        <v>61</v>
      </c>
      <c r="U487">
        <v>1.6400999999999999</v>
      </c>
      <c r="V487" t="s">
        <v>62</v>
      </c>
      <c r="W487">
        <v>0</v>
      </c>
      <c r="X487">
        <v>32.53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111</v>
      </c>
      <c r="AG487" t="s">
        <v>65</v>
      </c>
      <c r="AH487" t="s">
        <v>65</v>
      </c>
      <c r="AI487" t="s">
        <v>67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105</v>
      </c>
      <c r="AT487" t="s">
        <v>71</v>
      </c>
      <c r="AU487">
        <v>0</v>
      </c>
      <c r="AV487">
        <v>0</v>
      </c>
    </row>
    <row r="488" spans="1:48" x14ac:dyDescent="0.25">
      <c r="A488" t="s">
        <v>1828</v>
      </c>
      <c r="B488" t="s">
        <v>105</v>
      </c>
      <c r="C488" t="s">
        <v>50</v>
      </c>
      <c r="D488">
        <v>440121.8995</v>
      </c>
      <c r="E488">
        <v>1828091.9088000001</v>
      </c>
      <c r="F488">
        <v>34.087000000000003</v>
      </c>
      <c r="G488" t="s">
        <v>1829</v>
      </c>
      <c r="H488" t="s">
        <v>52</v>
      </c>
      <c r="I488">
        <v>34.087000000000003</v>
      </c>
      <c r="J488" t="s">
        <v>53</v>
      </c>
      <c r="K488">
        <v>0</v>
      </c>
      <c r="L488" t="s">
        <v>1234</v>
      </c>
      <c r="M488" t="s">
        <v>1826</v>
      </c>
      <c r="N488">
        <v>0.27500000000000002</v>
      </c>
      <c r="O488" t="s">
        <v>56</v>
      </c>
      <c r="P488" t="s">
        <v>57</v>
      </c>
      <c r="Q488" t="s">
        <v>59</v>
      </c>
      <c r="R488" t="s">
        <v>109</v>
      </c>
      <c r="S488" t="s">
        <v>1830</v>
      </c>
      <c r="T488" t="s">
        <v>61</v>
      </c>
      <c r="U488">
        <v>2.5232000000000001</v>
      </c>
      <c r="V488" t="s">
        <v>1033</v>
      </c>
      <c r="W488">
        <v>0</v>
      </c>
      <c r="X488">
        <v>31.564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111</v>
      </c>
      <c r="AG488" t="s">
        <v>65</v>
      </c>
      <c r="AH488" t="s">
        <v>65</v>
      </c>
      <c r="AI488" t="s">
        <v>67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105</v>
      </c>
      <c r="AT488" t="s">
        <v>71</v>
      </c>
      <c r="AU488">
        <v>0</v>
      </c>
      <c r="AV488">
        <v>0</v>
      </c>
    </row>
    <row r="489" spans="1:48" x14ac:dyDescent="0.25">
      <c r="A489" t="s">
        <v>1831</v>
      </c>
      <c r="B489" t="s">
        <v>105</v>
      </c>
      <c r="C489" t="s">
        <v>50</v>
      </c>
      <c r="D489">
        <v>440121.8995</v>
      </c>
      <c r="E489">
        <v>1828082.8171999999</v>
      </c>
      <c r="F489">
        <v>34.222000000000001</v>
      </c>
      <c r="G489" t="s">
        <v>1832</v>
      </c>
      <c r="H489" t="s">
        <v>52</v>
      </c>
      <c r="I489">
        <v>34.222000000000001</v>
      </c>
      <c r="J489" t="s">
        <v>53</v>
      </c>
      <c r="K489">
        <v>0</v>
      </c>
      <c r="L489" t="s">
        <v>395</v>
      </c>
      <c r="M489" t="s">
        <v>432</v>
      </c>
      <c r="N489">
        <v>-0.14710000000000001</v>
      </c>
      <c r="O489" t="s">
        <v>56</v>
      </c>
      <c r="P489" t="s">
        <v>57</v>
      </c>
      <c r="Q489" t="s">
        <v>59</v>
      </c>
      <c r="R489" t="s">
        <v>109</v>
      </c>
      <c r="S489" t="s">
        <v>1833</v>
      </c>
      <c r="T489" t="s">
        <v>61</v>
      </c>
      <c r="U489">
        <v>2.8169</v>
      </c>
      <c r="V489" t="s">
        <v>62</v>
      </c>
      <c r="W489">
        <v>0</v>
      </c>
      <c r="X489">
        <v>31.405000000000001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111</v>
      </c>
      <c r="AG489" t="s">
        <v>65</v>
      </c>
      <c r="AH489" t="s">
        <v>65</v>
      </c>
      <c r="AI489" t="s">
        <v>67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105</v>
      </c>
      <c r="AT489" t="s">
        <v>71</v>
      </c>
      <c r="AU489">
        <v>0</v>
      </c>
      <c r="AV489">
        <v>0</v>
      </c>
    </row>
    <row r="490" spans="1:48" x14ac:dyDescent="0.25">
      <c r="A490" t="s">
        <v>1834</v>
      </c>
      <c r="B490" t="s">
        <v>105</v>
      </c>
      <c r="C490" t="s">
        <v>50</v>
      </c>
      <c r="D490">
        <v>440121.8995</v>
      </c>
      <c r="E490">
        <v>1828062.8171999999</v>
      </c>
      <c r="F490">
        <v>34.1</v>
      </c>
      <c r="G490" t="s">
        <v>1835</v>
      </c>
      <c r="H490" t="s">
        <v>52</v>
      </c>
      <c r="I490">
        <v>34.1</v>
      </c>
      <c r="J490" t="s">
        <v>53</v>
      </c>
      <c r="K490">
        <v>0</v>
      </c>
      <c r="L490" t="s">
        <v>395</v>
      </c>
      <c r="M490" t="s">
        <v>428</v>
      </c>
      <c r="N490">
        <v>-0.14710000000000001</v>
      </c>
      <c r="O490" t="s">
        <v>56</v>
      </c>
      <c r="P490" t="s">
        <v>57</v>
      </c>
      <c r="Q490" t="s">
        <v>59</v>
      </c>
      <c r="R490" t="s">
        <v>109</v>
      </c>
      <c r="S490" t="s">
        <v>1836</v>
      </c>
      <c r="T490" t="s">
        <v>61</v>
      </c>
      <c r="U490">
        <v>2.7153999999999998</v>
      </c>
      <c r="V490" t="s">
        <v>62</v>
      </c>
      <c r="W490">
        <v>0</v>
      </c>
      <c r="X490">
        <v>31.385000000000002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111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105</v>
      </c>
      <c r="AT490" t="s">
        <v>71</v>
      </c>
      <c r="AU490">
        <v>0</v>
      </c>
      <c r="AV490">
        <v>0</v>
      </c>
    </row>
    <row r="491" spans="1:48" x14ac:dyDescent="0.25">
      <c r="A491" t="s">
        <v>1837</v>
      </c>
      <c r="B491" t="s">
        <v>105</v>
      </c>
      <c r="C491" t="s">
        <v>50</v>
      </c>
      <c r="D491">
        <v>440121.8995</v>
      </c>
      <c r="E491">
        <v>1828042.8171999999</v>
      </c>
      <c r="F491">
        <v>33.978999999999999</v>
      </c>
      <c r="G491" t="s">
        <v>1838</v>
      </c>
      <c r="H491" t="s">
        <v>52</v>
      </c>
      <c r="I491">
        <v>33.978999999999999</v>
      </c>
      <c r="J491" t="s">
        <v>53</v>
      </c>
      <c r="K491">
        <v>0</v>
      </c>
      <c r="L491" t="s">
        <v>395</v>
      </c>
      <c r="M491" t="s">
        <v>424</v>
      </c>
      <c r="N491">
        <v>-0.14710000000000001</v>
      </c>
      <c r="O491" t="s">
        <v>56</v>
      </c>
      <c r="P491" t="s">
        <v>57</v>
      </c>
      <c r="Q491" t="s">
        <v>59</v>
      </c>
      <c r="R491" t="s">
        <v>109</v>
      </c>
      <c r="S491" t="s">
        <v>1839</v>
      </c>
      <c r="T491" t="s">
        <v>61</v>
      </c>
      <c r="U491">
        <v>2.6139000000000001</v>
      </c>
      <c r="V491" t="s">
        <v>62</v>
      </c>
      <c r="W491">
        <v>0</v>
      </c>
      <c r="X491">
        <v>31.364999999999998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111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105</v>
      </c>
      <c r="AT491" t="s">
        <v>71</v>
      </c>
      <c r="AU491">
        <v>0</v>
      </c>
      <c r="AV491">
        <v>0</v>
      </c>
    </row>
    <row r="492" spans="1:48" x14ac:dyDescent="0.25">
      <c r="A492" t="s">
        <v>1840</v>
      </c>
      <c r="B492" t="s">
        <v>105</v>
      </c>
      <c r="C492" t="s">
        <v>50</v>
      </c>
      <c r="D492">
        <v>440121.8995</v>
      </c>
      <c r="E492">
        <v>1828022.8171999999</v>
      </c>
      <c r="F492">
        <v>33.856999999999999</v>
      </c>
      <c r="G492" t="s">
        <v>1841</v>
      </c>
      <c r="H492" t="s">
        <v>52</v>
      </c>
      <c r="I492">
        <v>33.856999999999999</v>
      </c>
      <c r="J492" t="s">
        <v>53</v>
      </c>
      <c r="K492">
        <v>0</v>
      </c>
      <c r="L492" t="s">
        <v>395</v>
      </c>
      <c r="M492" t="s">
        <v>420</v>
      </c>
      <c r="N492">
        <v>-0.14710000000000001</v>
      </c>
      <c r="O492" t="s">
        <v>56</v>
      </c>
      <c r="P492" t="s">
        <v>57</v>
      </c>
      <c r="Q492" t="s">
        <v>59</v>
      </c>
      <c r="R492" t="s">
        <v>109</v>
      </c>
      <c r="S492" t="s">
        <v>1842</v>
      </c>
      <c r="T492" t="s">
        <v>61</v>
      </c>
      <c r="U492">
        <v>2.5124</v>
      </c>
      <c r="V492" t="s">
        <v>62</v>
      </c>
      <c r="W492">
        <v>0</v>
      </c>
      <c r="X492">
        <v>31.344999999999999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111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105</v>
      </c>
      <c r="AT492" t="s">
        <v>71</v>
      </c>
      <c r="AU492">
        <v>0</v>
      </c>
      <c r="AV492">
        <v>0</v>
      </c>
    </row>
    <row r="493" spans="1:48" x14ac:dyDescent="0.25">
      <c r="A493" t="s">
        <v>1843</v>
      </c>
      <c r="B493" t="s">
        <v>105</v>
      </c>
      <c r="C493" t="s">
        <v>50</v>
      </c>
      <c r="D493">
        <v>440121.8995</v>
      </c>
      <c r="E493">
        <v>1828002.8171999999</v>
      </c>
      <c r="F493">
        <v>33.735999999999997</v>
      </c>
      <c r="G493" t="s">
        <v>1844</v>
      </c>
      <c r="H493" t="s">
        <v>52</v>
      </c>
      <c r="I493">
        <v>33.735999999999997</v>
      </c>
      <c r="J493" t="s">
        <v>53</v>
      </c>
      <c r="K493">
        <v>0</v>
      </c>
      <c r="L493" t="s">
        <v>395</v>
      </c>
      <c r="M493" t="s">
        <v>416</v>
      </c>
      <c r="N493">
        <v>-0.14710000000000001</v>
      </c>
      <c r="O493" t="s">
        <v>56</v>
      </c>
      <c r="P493" t="s">
        <v>57</v>
      </c>
      <c r="Q493" t="s">
        <v>59</v>
      </c>
      <c r="R493" t="s">
        <v>109</v>
      </c>
      <c r="S493" t="s">
        <v>1845</v>
      </c>
      <c r="T493" t="s">
        <v>61</v>
      </c>
      <c r="U493">
        <v>2.411</v>
      </c>
      <c r="V493" t="s">
        <v>62</v>
      </c>
      <c r="W493">
        <v>0</v>
      </c>
      <c r="X493">
        <v>31.324999999999999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111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105</v>
      </c>
      <c r="AT493" t="s">
        <v>71</v>
      </c>
      <c r="AU493">
        <v>0</v>
      </c>
      <c r="AV493">
        <v>0</v>
      </c>
    </row>
    <row r="494" spans="1:48" x14ac:dyDescent="0.25">
      <c r="A494" t="s">
        <v>1846</v>
      </c>
      <c r="B494" t="s">
        <v>105</v>
      </c>
      <c r="C494" t="s">
        <v>50</v>
      </c>
      <c r="D494">
        <v>440121.8995</v>
      </c>
      <c r="E494">
        <v>1827982.8171999999</v>
      </c>
      <c r="F494">
        <v>33.613999999999997</v>
      </c>
      <c r="G494" t="s">
        <v>1847</v>
      </c>
      <c r="H494" t="s">
        <v>52</v>
      </c>
      <c r="I494">
        <v>33.613999999999997</v>
      </c>
      <c r="J494" t="s">
        <v>53</v>
      </c>
      <c r="K494">
        <v>0</v>
      </c>
      <c r="L494" t="s">
        <v>395</v>
      </c>
      <c r="M494" t="s">
        <v>529</v>
      </c>
      <c r="N494">
        <v>-0.14710000000000001</v>
      </c>
      <c r="O494" t="s">
        <v>56</v>
      </c>
      <c r="P494" t="s">
        <v>57</v>
      </c>
      <c r="Q494" t="s">
        <v>59</v>
      </c>
      <c r="R494" t="s">
        <v>109</v>
      </c>
      <c r="S494" t="s">
        <v>1848</v>
      </c>
      <c r="T494" t="s">
        <v>61</v>
      </c>
      <c r="U494">
        <v>2.3094999999999999</v>
      </c>
      <c r="V494" t="s">
        <v>62</v>
      </c>
      <c r="W494">
        <v>0</v>
      </c>
      <c r="X494">
        <v>31.305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111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105</v>
      </c>
      <c r="AT494" t="s">
        <v>71</v>
      </c>
      <c r="AU494">
        <v>0</v>
      </c>
      <c r="AV494">
        <v>0</v>
      </c>
    </row>
    <row r="495" spans="1:48" x14ac:dyDescent="0.25">
      <c r="A495" t="s">
        <v>1849</v>
      </c>
      <c r="B495" t="s">
        <v>105</v>
      </c>
      <c r="C495" t="s">
        <v>50</v>
      </c>
      <c r="D495">
        <v>440121.8995</v>
      </c>
      <c r="E495">
        <v>1827962.8171999999</v>
      </c>
      <c r="F495">
        <v>33.493000000000002</v>
      </c>
      <c r="G495" t="s">
        <v>1850</v>
      </c>
      <c r="H495" t="s">
        <v>52</v>
      </c>
      <c r="I495">
        <v>33.493000000000002</v>
      </c>
      <c r="J495" t="s">
        <v>53</v>
      </c>
      <c r="K495">
        <v>0</v>
      </c>
      <c r="L495" t="s">
        <v>395</v>
      </c>
      <c r="M495" t="s">
        <v>525</v>
      </c>
      <c r="N495">
        <v>-0.14710000000000001</v>
      </c>
      <c r="O495" t="s">
        <v>56</v>
      </c>
      <c r="P495" t="s">
        <v>57</v>
      </c>
      <c r="Q495" t="s">
        <v>59</v>
      </c>
      <c r="R495" t="s">
        <v>109</v>
      </c>
      <c r="S495" t="s">
        <v>1851</v>
      </c>
      <c r="T495" t="s">
        <v>61</v>
      </c>
      <c r="U495">
        <v>2.2080000000000002</v>
      </c>
      <c r="V495" t="s">
        <v>62</v>
      </c>
      <c r="W495">
        <v>0</v>
      </c>
      <c r="X495">
        <v>31.285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111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105</v>
      </c>
      <c r="AT495" t="s">
        <v>71</v>
      </c>
      <c r="AU495">
        <v>0</v>
      </c>
      <c r="AV495">
        <v>0</v>
      </c>
    </row>
    <row r="496" spans="1:48" x14ac:dyDescent="0.25">
      <c r="A496" t="s">
        <v>1852</v>
      </c>
      <c r="B496" t="s">
        <v>105</v>
      </c>
      <c r="C496" t="s">
        <v>50</v>
      </c>
      <c r="D496">
        <v>440121.8995</v>
      </c>
      <c r="E496">
        <v>1827942.8171999999</v>
      </c>
      <c r="F496">
        <v>33.375999999999998</v>
      </c>
      <c r="G496" t="s">
        <v>1853</v>
      </c>
      <c r="H496" t="s">
        <v>52</v>
      </c>
      <c r="I496">
        <v>33.375999999999998</v>
      </c>
      <c r="J496" t="s">
        <v>53</v>
      </c>
      <c r="K496">
        <v>0</v>
      </c>
      <c r="L496" t="s">
        <v>395</v>
      </c>
      <c r="M496" t="s">
        <v>1444</v>
      </c>
      <c r="N496">
        <v>-0.14710000000000001</v>
      </c>
      <c r="O496" t="s">
        <v>56</v>
      </c>
      <c r="P496" t="s">
        <v>57</v>
      </c>
      <c r="Q496" t="s">
        <v>59</v>
      </c>
      <c r="R496" t="s">
        <v>109</v>
      </c>
      <c r="S496" t="s">
        <v>1854</v>
      </c>
      <c r="T496" t="s">
        <v>61</v>
      </c>
      <c r="U496">
        <v>2.1112000000000002</v>
      </c>
      <c r="V496" t="s">
        <v>62</v>
      </c>
      <c r="W496">
        <v>0</v>
      </c>
      <c r="X496">
        <v>31.265000000000001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111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105</v>
      </c>
      <c r="AT496" t="s">
        <v>71</v>
      </c>
      <c r="AU496">
        <v>0</v>
      </c>
      <c r="AV496">
        <v>0</v>
      </c>
    </row>
    <row r="497" spans="1:48" x14ac:dyDescent="0.25">
      <c r="A497" t="s">
        <v>1855</v>
      </c>
      <c r="B497" t="s">
        <v>105</v>
      </c>
      <c r="C497" t="s">
        <v>50</v>
      </c>
      <c r="D497">
        <v>440121.8995</v>
      </c>
      <c r="E497">
        <v>1827922.8171999999</v>
      </c>
      <c r="F497">
        <v>33.274000000000001</v>
      </c>
      <c r="G497" t="s">
        <v>1856</v>
      </c>
      <c r="H497" t="s">
        <v>52</v>
      </c>
      <c r="I497">
        <v>33.274000000000001</v>
      </c>
      <c r="J497" t="s">
        <v>53</v>
      </c>
      <c r="K497">
        <v>0</v>
      </c>
      <c r="L497" t="s">
        <v>395</v>
      </c>
      <c r="M497" t="s">
        <v>1057</v>
      </c>
      <c r="N497">
        <v>-0.14710000000000001</v>
      </c>
      <c r="O497" t="s">
        <v>56</v>
      </c>
      <c r="P497" t="s">
        <v>57</v>
      </c>
      <c r="Q497" t="s">
        <v>59</v>
      </c>
      <c r="R497" t="s">
        <v>109</v>
      </c>
      <c r="S497" t="s">
        <v>1857</v>
      </c>
      <c r="T497" t="s">
        <v>61</v>
      </c>
      <c r="U497">
        <v>2.0289999999999999</v>
      </c>
      <c r="V497" t="s">
        <v>62</v>
      </c>
      <c r="W497">
        <v>0</v>
      </c>
      <c r="X497">
        <v>31.245000000000001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111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105</v>
      </c>
      <c r="AT497" t="s">
        <v>71</v>
      </c>
      <c r="AU497">
        <v>0</v>
      </c>
      <c r="AV497">
        <v>0</v>
      </c>
    </row>
    <row r="498" spans="1:48" x14ac:dyDescent="0.25">
      <c r="A498" t="s">
        <v>1858</v>
      </c>
      <c r="B498" t="s">
        <v>105</v>
      </c>
      <c r="C498" t="s">
        <v>50</v>
      </c>
      <c r="D498">
        <v>440121.8995</v>
      </c>
      <c r="E498">
        <v>1827902.8171999999</v>
      </c>
      <c r="F498">
        <v>33.186999999999998</v>
      </c>
      <c r="G498" t="s">
        <v>1859</v>
      </c>
      <c r="H498" t="s">
        <v>52</v>
      </c>
      <c r="I498">
        <v>33.186999999999998</v>
      </c>
      <c r="J498" t="s">
        <v>53</v>
      </c>
      <c r="K498">
        <v>0</v>
      </c>
      <c r="L498" t="s">
        <v>395</v>
      </c>
      <c r="M498" t="s">
        <v>1061</v>
      </c>
      <c r="N498">
        <v>-0.14710000000000001</v>
      </c>
      <c r="O498" t="s">
        <v>56</v>
      </c>
      <c r="P498" t="s">
        <v>57</v>
      </c>
      <c r="Q498" t="s">
        <v>59</v>
      </c>
      <c r="R498" t="s">
        <v>109</v>
      </c>
      <c r="S498" t="s">
        <v>1860</v>
      </c>
      <c r="T498" t="s">
        <v>61</v>
      </c>
      <c r="U498">
        <v>1.9617</v>
      </c>
      <c r="V498" t="s">
        <v>62</v>
      </c>
      <c r="W498">
        <v>0</v>
      </c>
      <c r="X498">
        <v>31.225000000000001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111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105</v>
      </c>
      <c r="AT498" t="s">
        <v>71</v>
      </c>
      <c r="AU498">
        <v>0</v>
      </c>
      <c r="AV498">
        <v>0</v>
      </c>
    </row>
    <row r="499" spans="1:48" x14ac:dyDescent="0.25">
      <c r="A499" t="s">
        <v>1861</v>
      </c>
      <c r="B499" t="s">
        <v>105</v>
      </c>
      <c r="C499" t="s">
        <v>50</v>
      </c>
      <c r="D499">
        <v>440121.8995</v>
      </c>
      <c r="E499">
        <v>1827882.8171999999</v>
      </c>
      <c r="F499">
        <v>33.113999999999997</v>
      </c>
      <c r="G499" t="s">
        <v>1862</v>
      </c>
      <c r="H499" t="s">
        <v>52</v>
      </c>
      <c r="I499">
        <v>33.113999999999997</v>
      </c>
      <c r="J499" t="s">
        <v>53</v>
      </c>
      <c r="K499">
        <v>0</v>
      </c>
      <c r="L499" t="s">
        <v>395</v>
      </c>
      <c r="M499" t="s">
        <v>1065</v>
      </c>
      <c r="N499">
        <v>-0.14710000000000001</v>
      </c>
      <c r="O499" t="s">
        <v>56</v>
      </c>
      <c r="P499" t="s">
        <v>57</v>
      </c>
      <c r="Q499" t="s">
        <v>59</v>
      </c>
      <c r="R499" t="s">
        <v>109</v>
      </c>
      <c r="S499" t="s">
        <v>1863</v>
      </c>
      <c r="T499" t="s">
        <v>61</v>
      </c>
      <c r="U499">
        <v>1.9164000000000001</v>
      </c>
      <c r="V499" t="s">
        <v>62</v>
      </c>
      <c r="W499">
        <v>0</v>
      </c>
      <c r="X499">
        <v>31.198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111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105</v>
      </c>
      <c r="AT499" t="s">
        <v>71</v>
      </c>
      <c r="AU499">
        <v>0</v>
      </c>
      <c r="AV499">
        <v>0</v>
      </c>
    </row>
    <row r="500" spans="1:48" x14ac:dyDescent="0.25">
      <c r="A500" t="s">
        <v>1864</v>
      </c>
      <c r="B500" t="s">
        <v>125</v>
      </c>
      <c r="C500" t="s">
        <v>50</v>
      </c>
      <c r="D500">
        <v>439968.22489999997</v>
      </c>
      <c r="E500">
        <v>1827864.2490999999</v>
      </c>
      <c r="F500">
        <v>34.237000000000002</v>
      </c>
      <c r="G500" t="s">
        <v>1865</v>
      </c>
      <c r="H500" t="s">
        <v>52</v>
      </c>
      <c r="I500">
        <v>34.237000000000002</v>
      </c>
      <c r="J500" t="s">
        <v>53</v>
      </c>
      <c r="K500">
        <v>0</v>
      </c>
      <c r="L500" t="s">
        <v>1289</v>
      </c>
      <c r="M500" t="s">
        <v>525</v>
      </c>
      <c r="N500">
        <v>-0.2266</v>
      </c>
      <c r="O500" t="s">
        <v>56</v>
      </c>
      <c r="P500" t="s">
        <v>57</v>
      </c>
      <c r="Q500" t="s">
        <v>109</v>
      </c>
      <c r="R500" t="s">
        <v>59</v>
      </c>
      <c r="S500" t="s">
        <v>1866</v>
      </c>
      <c r="T500" t="s">
        <v>61</v>
      </c>
      <c r="U500">
        <v>1.7291000000000001</v>
      </c>
      <c r="V500" t="s">
        <v>62</v>
      </c>
      <c r="W500">
        <v>0</v>
      </c>
      <c r="X500">
        <v>32.508000000000003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111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125</v>
      </c>
      <c r="AT500" t="s">
        <v>71</v>
      </c>
      <c r="AU500">
        <v>0</v>
      </c>
      <c r="AV500">
        <v>0</v>
      </c>
    </row>
    <row r="501" spans="1:48" x14ac:dyDescent="0.25">
      <c r="A501" t="s">
        <v>1867</v>
      </c>
      <c r="B501" t="s">
        <v>125</v>
      </c>
      <c r="C501" t="s">
        <v>50</v>
      </c>
      <c r="D501">
        <v>439988.22489999997</v>
      </c>
      <c r="E501">
        <v>1827864.2490999999</v>
      </c>
      <c r="F501">
        <v>33.9</v>
      </c>
      <c r="G501" t="s">
        <v>1868</v>
      </c>
      <c r="H501" t="s">
        <v>52</v>
      </c>
      <c r="I501">
        <v>33.9</v>
      </c>
      <c r="J501" t="s">
        <v>53</v>
      </c>
      <c r="K501">
        <v>0</v>
      </c>
      <c r="L501" t="s">
        <v>1289</v>
      </c>
      <c r="M501" t="s">
        <v>529</v>
      </c>
      <c r="N501">
        <v>-0.2266</v>
      </c>
      <c r="O501" t="s">
        <v>56</v>
      </c>
      <c r="P501" t="s">
        <v>57</v>
      </c>
      <c r="Q501" t="s">
        <v>109</v>
      </c>
      <c r="R501" t="s">
        <v>59</v>
      </c>
      <c r="S501" t="s">
        <v>1869</v>
      </c>
      <c r="T501" t="s">
        <v>61</v>
      </c>
      <c r="U501">
        <v>1.5662</v>
      </c>
      <c r="V501" t="s">
        <v>62</v>
      </c>
      <c r="W501">
        <v>0</v>
      </c>
      <c r="X501">
        <v>32.334000000000003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67</v>
      </c>
      <c r="AK501" t="s">
        <v>111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125</v>
      </c>
      <c r="AT501" t="s">
        <v>71</v>
      </c>
      <c r="AU501">
        <v>0</v>
      </c>
      <c r="AV501">
        <v>0</v>
      </c>
    </row>
    <row r="502" spans="1:48" x14ac:dyDescent="0.25">
      <c r="A502" t="s">
        <v>1870</v>
      </c>
      <c r="B502" t="s">
        <v>125</v>
      </c>
      <c r="C502" t="s">
        <v>50</v>
      </c>
      <c r="D502">
        <v>440008.1482</v>
      </c>
      <c r="E502">
        <v>1827864.2490999999</v>
      </c>
      <c r="F502">
        <v>33.726999999999997</v>
      </c>
      <c r="G502" t="s">
        <v>1871</v>
      </c>
      <c r="H502" t="s">
        <v>52</v>
      </c>
      <c r="I502">
        <v>33.726999999999997</v>
      </c>
      <c r="J502" t="s">
        <v>53</v>
      </c>
      <c r="K502">
        <v>0</v>
      </c>
      <c r="L502" t="s">
        <v>1289</v>
      </c>
      <c r="M502" t="s">
        <v>1872</v>
      </c>
      <c r="N502">
        <v>-0.2266</v>
      </c>
      <c r="O502" t="s">
        <v>56</v>
      </c>
      <c r="P502" t="s">
        <v>57</v>
      </c>
      <c r="Q502" t="s">
        <v>109</v>
      </c>
      <c r="R502" t="s">
        <v>59</v>
      </c>
      <c r="S502" t="s">
        <v>1873</v>
      </c>
      <c r="T502" t="s">
        <v>61</v>
      </c>
      <c r="U502">
        <v>1.534</v>
      </c>
      <c r="V502" t="s">
        <v>62</v>
      </c>
      <c r="W502">
        <v>0</v>
      </c>
      <c r="X502">
        <v>32.192999999999998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111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125</v>
      </c>
      <c r="AT502" t="s">
        <v>71</v>
      </c>
      <c r="AU502">
        <v>0</v>
      </c>
      <c r="AV502">
        <v>0</v>
      </c>
    </row>
    <row r="503" spans="1:48" x14ac:dyDescent="0.25">
      <c r="A503" t="s">
        <v>1874</v>
      </c>
      <c r="B503" t="s">
        <v>125</v>
      </c>
      <c r="C503" t="s">
        <v>50</v>
      </c>
      <c r="D503">
        <v>440028.22489999997</v>
      </c>
      <c r="E503">
        <v>1827864.2490999999</v>
      </c>
      <c r="F503">
        <v>33.585999999999999</v>
      </c>
      <c r="G503" t="s">
        <v>1875</v>
      </c>
      <c r="H503" t="s">
        <v>52</v>
      </c>
      <c r="I503">
        <v>33.585999999999999</v>
      </c>
      <c r="J503" t="s">
        <v>53</v>
      </c>
      <c r="K503">
        <v>0</v>
      </c>
      <c r="L503" t="s">
        <v>1289</v>
      </c>
      <c r="M503" t="s">
        <v>420</v>
      </c>
      <c r="N503">
        <v>-0.2266</v>
      </c>
      <c r="O503" t="s">
        <v>56</v>
      </c>
      <c r="P503" t="s">
        <v>57</v>
      </c>
      <c r="Q503" t="s">
        <v>109</v>
      </c>
      <c r="R503" t="s">
        <v>59</v>
      </c>
      <c r="S503" t="s">
        <v>1876</v>
      </c>
      <c r="T503" t="s">
        <v>61</v>
      </c>
      <c r="U503">
        <v>1.5047999999999999</v>
      </c>
      <c r="V503" t="s">
        <v>62</v>
      </c>
      <c r="W503">
        <v>0</v>
      </c>
      <c r="X503">
        <v>32.081000000000003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67</v>
      </c>
      <c r="AK503" t="s">
        <v>111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125</v>
      </c>
      <c r="AT503" t="s">
        <v>71</v>
      </c>
      <c r="AU503">
        <v>0</v>
      </c>
      <c r="AV503">
        <v>0</v>
      </c>
    </row>
    <row r="504" spans="1:48" x14ac:dyDescent="0.25">
      <c r="A504" t="s">
        <v>1877</v>
      </c>
      <c r="B504" t="s">
        <v>125</v>
      </c>
      <c r="C504" t="s">
        <v>50</v>
      </c>
      <c r="D504">
        <v>440048.22489999997</v>
      </c>
      <c r="E504">
        <v>1827864.2490999999</v>
      </c>
      <c r="F504">
        <v>33.473999999999997</v>
      </c>
      <c r="G504" t="s">
        <v>1878</v>
      </c>
      <c r="H504" t="s">
        <v>52</v>
      </c>
      <c r="I504">
        <v>33.473999999999997</v>
      </c>
      <c r="J504" t="s">
        <v>53</v>
      </c>
      <c r="K504">
        <v>0</v>
      </c>
      <c r="L504" t="s">
        <v>1289</v>
      </c>
      <c r="M504" t="s">
        <v>424</v>
      </c>
      <c r="N504">
        <v>-0.2266</v>
      </c>
      <c r="O504" t="s">
        <v>56</v>
      </c>
      <c r="P504" t="s">
        <v>57</v>
      </c>
      <c r="Q504" t="s">
        <v>109</v>
      </c>
      <c r="R504" t="s">
        <v>59</v>
      </c>
      <c r="S504" t="s">
        <v>1879</v>
      </c>
      <c r="T504" t="s">
        <v>61</v>
      </c>
      <c r="U504">
        <v>1.5007999999999999</v>
      </c>
      <c r="V504" t="s">
        <v>62</v>
      </c>
      <c r="W504">
        <v>0</v>
      </c>
      <c r="X504">
        <v>31.972999999999999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111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125</v>
      </c>
      <c r="AT504" t="s">
        <v>71</v>
      </c>
      <c r="AU504">
        <v>0</v>
      </c>
      <c r="AV504">
        <v>0</v>
      </c>
    </row>
    <row r="505" spans="1:48" x14ac:dyDescent="0.25">
      <c r="A505" t="s">
        <v>1880</v>
      </c>
      <c r="B505" t="s">
        <v>125</v>
      </c>
      <c r="C505" t="s">
        <v>50</v>
      </c>
      <c r="D505">
        <v>440068.22489999997</v>
      </c>
      <c r="E505">
        <v>1827864.2490999999</v>
      </c>
      <c r="F505">
        <v>33.365000000000002</v>
      </c>
      <c r="G505" t="s">
        <v>1881</v>
      </c>
      <c r="H505" t="s">
        <v>52</v>
      </c>
      <c r="I505">
        <v>33.365000000000002</v>
      </c>
      <c r="J505" t="s">
        <v>53</v>
      </c>
      <c r="K505">
        <v>0</v>
      </c>
      <c r="L505" t="s">
        <v>1289</v>
      </c>
      <c r="M505" t="s">
        <v>428</v>
      </c>
      <c r="N505">
        <v>-0.2266</v>
      </c>
      <c r="O505" t="s">
        <v>56</v>
      </c>
      <c r="P505" t="s">
        <v>57</v>
      </c>
      <c r="Q505" t="s">
        <v>109</v>
      </c>
      <c r="R505" t="s">
        <v>59</v>
      </c>
      <c r="S505" t="s">
        <v>1882</v>
      </c>
      <c r="T505" t="s">
        <v>61</v>
      </c>
      <c r="U505">
        <v>1.5004999999999999</v>
      </c>
      <c r="V505" t="s">
        <v>62</v>
      </c>
      <c r="W505">
        <v>0</v>
      </c>
      <c r="X505">
        <v>31.864999999999998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111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125</v>
      </c>
      <c r="AT505" t="s">
        <v>71</v>
      </c>
      <c r="AU505">
        <v>0</v>
      </c>
      <c r="AV505">
        <v>0</v>
      </c>
    </row>
    <row r="506" spans="1:48" x14ac:dyDescent="0.25">
      <c r="A506" t="s">
        <v>1883</v>
      </c>
      <c r="B506" t="s">
        <v>125</v>
      </c>
      <c r="C506" t="s">
        <v>50</v>
      </c>
      <c r="D506">
        <v>440088.22489999997</v>
      </c>
      <c r="E506">
        <v>1827864.2490999999</v>
      </c>
      <c r="F506">
        <v>33.256999999999998</v>
      </c>
      <c r="G506" t="s">
        <v>1884</v>
      </c>
      <c r="H506" t="s">
        <v>52</v>
      </c>
      <c r="I506">
        <v>33.256999999999998</v>
      </c>
      <c r="J506" t="s">
        <v>53</v>
      </c>
      <c r="K506">
        <v>0</v>
      </c>
      <c r="L506" t="s">
        <v>1289</v>
      </c>
      <c r="M506" t="s">
        <v>432</v>
      </c>
      <c r="N506">
        <v>-0.2266</v>
      </c>
      <c r="O506" t="s">
        <v>56</v>
      </c>
      <c r="P506" t="s">
        <v>57</v>
      </c>
      <c r="Q506" t="s">
        <v>109</v>
      </c>
      <c r="R506" t="s">
        <v>59</v>
      </c>
      <c r="S506" t="s">
        <v>1885</v>
      </c>
      <c r="T506" t="s">
        <v>61</v>
      </c>
      <c r="U506">
        <v>1.5012000000000001</v>
      </c>
      <c r="V506" t="s">
        <v>62</v>
      </c>
      <c r="W506">
        <v>0</v>
      </c>
      <c r="X506">
        <v>31.756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67</v>
      </c>
      <c r="AK506" t="s">
        <v>111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125</v>
      </c>
      <c r="AT506" t="s">
        <v>71</v>
      </c>
      <c r="AU506">
        <v>0</v>
      </c>
      <c r="AV506">
        <v>0</v>
      </c>
    </row>
    <row r="507" spans="1:48" x14ac:dyDescent="0.25">
      <c r="A507" t="s">
        <v>1886</v>
      </c>
      <c r="B507" t="s">
        <v>125</v>
      </c>
      <c r="C507" t="s">
        <v>50</v>
      </c>
      <c r="D507">
        <v>440108.22489999997</v>
      </c>
      <c r="E507">
        <v>1827864.2490999999</v>
      </c>
      <c r="F507">
        <v>33.149000000000001</v>
      </c>
      <c r="G507" t="s">
        <v>1887</v>
      </c>
      <c r="H507" t="s">
        <v>52</v>
      </c>
      <c r="I507">
        <v>33.149000000000001</v>
      </c>
      <c r="J507" t="s">
        <v>53</v>
      </c>
      <c r="K507">
        <v>0</v>
      </c>
      <c r="L507" t="s">
        <v>1289</v>
      </c>
      <c r="M507" t="s">
        <v>597</v>
      </c>
      <c r="N507">
        <v>-0.2266</v>
      </c>
      <c r="O507" t="s">
        <v>56</v>
      </c>
      <c r="P507" t="s">
        <v>57</v>
      </c>
      <c r="Q507" t="s">
        <v>109</v>
      </c>
      <c r="R507" t="s">
        <v>59</v>
      </c>
      <c r="S507" t="s">
        <v>1888</v>
      </c>
      <c r="T507" t="s">
        <v>61</v>
      </c>
      <c r="U507">
        <v>1.6658999999999999</v>
      </c>
      <c r="V507" t="s">
        <v>62</v>
      </c>
      <c r="W507">
        <v>0</v>
      </c>
      <c r="X507">
        <v>31.483000000000001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111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125</v>
      </c>
      <c r="AT507" t="s">
        <v>71</v>
      </c>
      <c r="AU507">
        <v>0</v>
      </c>
      <c r="AV507">
        <v>0</v>
      </c>
    </row>
    <row r="508" spans="1:48" x14ac:dyDescent="0.25">
      <c r="A508" t="s">
        <v>1889</v>
      </c>
      <c r="B508" t="s">
        <v>105</v>
      </c>
      <c r="C508" t="s">
        <v>50</v>
      </c>
      <c r="D508">
        <v>440121.90139999997</v>
      </c>
      <c r="E508">
        <v>1827864.2249</v>
      </c>
      <c r="F508">
        <v>32.887</v>
      </c>
      <c r="G508" t="s">
        <v>1890</v>
      </c>
      <c r="H508" t="s">
        <v>52</v>
      </c>
      <c r="I508">
        <v>32.887</v>
      </c>
      <c r="J508" t="s">
        <v>53</v>
      </c>
      <c r="K508">
        <v>0</v>
      </c>
      <c r="L508" t="s">
        <v>1289</v>
      </c>
      <c r="M508" t="s">
        <v>1891</v>
      </c>
      <c r="N508">
        <v>-0.25080000000000002</v>
      </c>
      <c r="O508" t="s">
        <v>56</v>
      </c>
      <c r="P508" t="s">
        <v>57</v>
      </c>
      <c r="Q508" t="s">
        <v>59</v>
      </c>
      <c r="R508" t="s">
        <v>109</v>
      </c>
      <c r="S508" t="s">
        <v>1892</v>
      </c>
      <c r="T508" t="s">
        <v>61</v>
      </c>
      <c r="U508">
        <v>1.7507999999999999</v>
      </c>
      <c r="V508" t="s">
        <v>62</v>
      </c>
      <c r="W508">
        <v>0</v>
      </c>
      <c r="X508">
        <v>31.135999999999999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111</v>
      </c>
      <c r="AG508" t="s">
        <v>65</v>
      </c>
      <c r="AH508" t="s">
        <v>65</v>
      </c>
      <c r="AI508" t="s">
        <v>67</v>
      </c>
      <c r="AK508" t="s">
        <v>66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105</v>
      </c>
      <c r="AT508" t="s">
        <v>71</v>
      </c>
      <c r="AU508">
        <v>0</v>
      </c>
      <c r="AV508">
        <v>0</v>
      </c>
    </row>
    <row r="509" spans="1:48" x14ac:dyDescent="0.25">
      <c r="A509" t="s">
        <v>1893</v>
      </c>
      <c r="B509" t="s">
        <v>125</v>
      </c>
      <c r="C509" t="s">
        <v>50</v>
      </c>
      <c r="D509">
        <v>439968.22489999997</v>
      </c>
      <c r="E509">
        <v>1827853.5991</v>
      </c>
      <c r="F509">
        <v>34.198999999999998</v>
      </c>
      <c r="G509" t="s">
        <v>1894</v>
      </c>
      <c r="H509" t="s">
        <v>52</v>
      </c>
      <c r="I509">
        <v>34.198999999999998</v>
      </c>
      <c r="J509" t="s">
        <v>53</v>
      </c>
      <c r="K509">
        <v>0</v>
      </c>
      <c r="L509" t="s">
        <v>227</v>
      </c>
      <c r="M509" t="s">
        <v>1895</v>
      </c>
      <c r="N509">
        <v>0.22500000000000001</v>
      </c>
      <c r="O509" t="s">
        <v>56</v>
      </c>
      <c r="P509" t="s">
        <v>57</v>
      </c>
      <c r="Q509" t="s">
        <v>109</v>
      </c>
      <c r="R509" t="s">
        <v>59</v>
      </c>
      <c r="S509" t="s">
        <v>1896</v>
      </c>
      <c r="T509" t="s">
        <v>61</v>
      </c>
      <c r="U509">
        <v>1.6912</v>
      </c>
      <c r="V509" t="s">
        <v>62</v>
      </c>
      <c r="W509">
        <v>0</v>
      </c>
      <c r="X509">
        <v>32.508000000000003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111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125</v>
      </c>
      <c r="AT509" t="s">
        <v>71</v>
      </c>
      <c r="AU509">
        <v>0</v>
      </c>
      <c r="AV509">
        <v>0</v>
      </c>
    </row>
    <row r="510" spans="1:48" x14ac:dyDescent="0.25">
      <c r="A510" t="s">
        <v>1897</v>
      </c>
      <c r="B510" t="s">
        <v>125</v>
      </c>
      <c r="C510" t="s">
        <v>50</v>
      </c>
      <c r="D510">
        <v>439988.22489999997</v>
      </c>
      <c r="E510">
        <v>1827853.5991</v>
      </c>
      <c r="F510">
        <v>33.9</v>
      </c>
      <c r="G510" t="s">
        <v>1898</v>
      </c>
      <c r="H510" t="s">
        <v>52</v>
      </c>
      <c r="I510">
        <v>33.9</v>
      </c>
      <c r="J510" t="s">
        <v>53</v>
      </c>
      <c r="K510">
        <v>0</v>
      </c>
      <c r="L510" t="s">
        <v>227</v>
      </c>
      <c r="M510" t="s">
        <v>1899</v>
      </c>
      <c r="N510">
        <v>0.22500000000000001</v>
      </c>
      <c r="O510" t="s">
        <v>56</v>
      </c>
      <c r="P510" t="s">
        <v>57</v>
      </c>
      <c r="Q510" t="s">
        <v>109</v>
      </c>
      <c r="R510" t="s">
        <v>59</v>
      </c>
      <c r="S510" t="s">
        <v>1869</v>
      </c>
      <c r="T510" t="s">
        <v>61</v>
      </c>
      <c r="U510">
        <v>1.5662</v>
      </c>
      <c r="V510" t="s">
        <v>62</v>
      </c>
      <c r="W510">
        <v>0</v>
      </c>
      <c r="X510">
        <v>32.334000000000003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111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125</v>
      </c>
      <c r="AT510" t="s">
        <v>71</v>
      </c>
      <c r="AU510">
        <v>0</v>
      </c>
      <c r="AV510">
        <v>0</v>
      </c>
    </row>
    <row r="511" spans="1:48" x14ac:dyDescent="0.25">
      <c r="A511" t="s">
        <v>1900</v>
      </c>
      <c r="B511" t="s">
        <v>125</v>
      </c>
      <c r="C511" t="s">
        <v>50</v>
      </c>
      <c r="D511">
        <v>440008.22489999997</v>
      </c>
      <c r="E511">
        <v>1827853.5991</v>
      </c>
      <c r="F511">
        <v>33.725999999999999</v>
      </c>
      <c r="G511" t="s">
        <v>1901</v>
      </c>
      <c r="H511" t="s">
        <v>52</v>
      </c>
      <c r="I511">
        <v>33.725999999999999</v>
      </c>
      <c r="J511" t="s">
        <v>53</v>
      </c>
      <c r="K511">
        <v>0</v>
      </c>
      <c r="L511" t="s">
        <v>227</v>
      </c>
      <c r="M511" t="s">
        <v>329</v>
      </c>
      <c r="N511">
        <v>0.22500000000000001</v>
      </c>
      <c r="O511" t="s">
        <v>56</v>
      </c>
      <c r="P511" t="s">
        <v>57</v>
      </c>
      <c r="Q511" t="s">
        <v>109</v>
      </c>
      <c r="R511" t="s">
        <v>59</v>
      </c>
      <c r="S511" t="s">
        <v>1902</v>
      </c>
      <c r="T511" t="s">
        <v>61</v>
      </c>
      <c r="U511">
        <v>1.5254000000000001</v>
      </c>
      <c r="V511" t="s">
        <v>62</v>
      </c>
      <c r="W511">
        <v>0</v>
      </c>
      <c r="X511">
        <v>32.201000000000001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111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125</v>
      </c>
      <c r="AT511" t="s">
        <v>71</v>
      </c>
      <c r="AU511">
        <v>0</v>
      </c>
      <c r="AV511">
        <v>0</v>
      </c>
    </row>
    <row r="512" spans="1:48" x14ac:dyDescent="0.25">
      <c r="A512" t="s">
        <v>1903</v>
      </c>
      <c r="B512" t="s">
        <v>125</v>
      </c>
      <c r="C512" t="s">
        <v>50</v>
      </c>
      <c r="D512">
        <v>440032.88530000002</v>
      </c>
      <c r="E512">
        <v>1827853.5991</v>
      </c>
      <c r="F512">
        <v>33.558</v>
      </c>
      <c r="G512" t="s">
        <v>1904</v>
      </c>
      <c r="H512" t="s">
        <v>52</v>
      </c>
      <c r="I512">
        <v>33.558</v>
      </c>
      <c r="J512" t="s">
        <v>53</v>
      </c>
      <c r="K512">
        <v>0</v>
      </c>
      <c r="L512" t="s">
        <v>227</v>
      </c>
      <c r="M512" t="s">
        <v>1905</v>
      </c>
      <c r="N512">
        <v>0.22500000000000001</v>
      </c>
      <c r="O512" t="s">
        <v>56</v>
      </c>
      <c r="P512" t="s">
        <v>57</v>
      </c>
      <c r="Q512" t="s">
        <v>109</v>
      </c>
      <c r="R512" t="s">
        <v>59</v>
      </c>
      <c r="S512" t="s">
        <v>1906</v>
      </c>
      <c r="T512" t="s">
        <v>61</v>
      </c>
      <c r="U512">
        <v>1.6308</v>
      </c>
      <c r="V512" t="s">
        <v>62</v>
      </c>
      <c r="W512">
        <v>0</v>
      </c>
      <c r="X512">
        <v>31.927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111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125</v>
      </c>
      <c r="AT512" t="s">
        <v>71</v>
      </c>
      <c r="AU512">
        <v>0</v>
      </c>
      <c r="AV512">
        <v>0</v>
      </c>
    </row>
    <row r="513" spans="1:48" x14ac:dyDescent="0.25">
      <c r="A513" t="s">
        <v>1907</v>
      </c>
      <c r="B513" t="s">
        <v>125</v>
      </c>
      <c r="C513" t="s">
        <v>50</v>
      </c>
      <c r="D513">
        <v>440054.70250000001</v>
      </c>
      <c r="E513">
        <v>1827853.5991</v>
      </c>
      <c r="F513">
        <v>33.381999999999998</v>
      </c>
      <c r="G513" t="s">
        <v>1908</v>
      </c>
      <c r="H513" t="s">
        <v>52</v>
      </c>
      <c r="I513">
        <v>33.381999999999998</v>
      </c>
      <c r="J513" t="s">
        <v>53</v>
      </c>
      <c r="K513">
        <v>0</v>
      </c>
      <c r="L513" t="s">
        <v>227</v>
      </c>
      <c r="M513" t="s">
        <v>1909</v>
      </c>
      <c r="N513">
        <v>0.22500000000000001</v>
      </c>
      <c r="O513" t="s">
        <v>56</v>
      </c>
      <c r="P513" t="s">
        <v>57</v>
      </c>
      <c r="Q513" t="s">
        <v>109</v>
      </c>
      <c r="R513" t="s">
        <v>59</v>
      </c>
      <c r="S513" t="s">
        <v>1910</v>
      </c>
      <c r="T513" t="s">
        <v>61</v>
      </c>
      <c r="U513">
        <v>1.5111000000000001</v>
      </c>
      <c r="V513" t="s">
        <v>62</v>
      </c>
      <c r="W513">
        <v>0</v>
      </c>
      <c r="X513">
        <v>31.870999999999999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111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125</v>
      </c>
      <c r="AT513" t="s">
        <v>71</v>
      </c>
      <c r="AU513">
        <v>0</v>
      </c>
      <c r="AV513">
        <v>0</v>
      </c>
    </row>
    <row r="514" spans="1:48" x14ac:dyDescent="0.25">
      <c r="A514" t="s">
        <v>1911</v>
      </c>
      <c r="B514" t="s">
        <v>125</v>
      </c>
      <c r="C514" t="s">
        <v>50</v>
      </c>
      <c r="D514">
        <v>440088.22489999997</v>
      </c>
      <c r="E514">
        <v>1827853.5991</v>
      </c>
      <c r="F514">
        <v>33.256999999999998</v>
      </c>
      <c r="G514" t="s">
        <v>1912</v>
      </c>
      <c r="H514" t="s">
        <v>52</v>
      </c>
      <c r="I514">
        <v>33.256999999999998</v>
      </c>
      <c r="J514" t="s">
        <v>53</v>
      </c>
      <c r="K514">
        <v>0</v>
      </c>
      <c r="L514" t="s">
        <v>227</v>
      </c>
      <c r="M514" t="s">
        <v>1913</v>
      </c>
      <c r="N514">
        <v>0.22500000000000001</v>
      </c>
      <c r="O514" t="s">
        <v>56</v>
      </c>
      <c r="P514" t="s">
        <v>57</v>
      </c>
      <c r="Q514" t="s">
        <v>109</v>
      </c>
      <c r="R514" t="s">
        <v>59</v>
      </c>
      <c r="S514" t="s">
        <v>1914</v>
      </c>
      <c r="T514" t="s">
        <v>61</v>
      </c>
      <c r="U514">
        <v>1.4902</v>
      </c>
      <c r="V514" t="s">
        <v>62</v>
      </c>
      <c r="W514">
        <v>0</v>
      </c>
      <c r="X514">
        <v>31.766999999999999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111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125</v>
      </c>
      <c r="AT514" t="s">
        <v>71</v>
      </c>
      <c r="AU514">
        <v>0</v>
      </c>
      <c r="AV514">
        <v>0</v>
      </c>
    </row>
    <row r="515" spans="1:48" x14ac:dyDescent="0.25">
      <c r="A515" t="s">
        <v>1915</v>
      </c>
      <c r="B515" t="s">
        <v>125</v>
      </c>
      <c r="C515" t="s">
        <v>50</v>
      </c>
      <c r="D515">
        <v>440104.16090000002</v>
      </c>
      <c r="E515">
        <v>1827853.5991</v>
      </c>
      <c r="F515">
        <v>33.170999999999999</v>
      </c>
      <c r="G515" t="s">
        <v>1916</v>
      </c>
      <c r="H515" t="s">
        <v>52</v>
      </c>
      <c r="I515">
        <v>33.170999999999999</v>
      </c>
      <c r="J515" t="s">
        <v>53</v>
      </c>
      <c r="K515">
        <v>0</v>
      </c>
      <c r="L515" t="s">
        <v>227</v>
      </c>
      <c r="M515" t="s">
        <v>1917</v>
      </c>
      <c r="N515">
        <v>0.22500000000000001</v>
      </c>
      <c r="O515" t="s">
        <v>56</v>
      </c>
      <c r="P515" t="s">
        <v>57</v>
      </c>
      <c r="Q515" t="s">
        <v>109</v>
      </c>
      <c r="R515" t="s">
        <v>59</v>
      </c>
      <c r="S515" t="s">
        <v>1918</v>
      </c>
      <c r="T515" t="s">
        <v>61</v>
      </c>
      <c r="U515">
        <v>1.7129000000000001</v>
      </c>
      <c r="V515" t="s">
        <v>62</v>
      </c>
      <c r="W515">
        <v>0</v>
      </c>
      <c r="X515">
        <v>31.457999999999998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111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125</v>
      </c>
      <c r="AT515" t="s">
        <v>71</v>
      </c>
      <c r="AU515">
        <v>0</v>
      </c>
      <c r="AV515">
        <v>0</v>
      </c>
    </row>
    <row r="516" spans="1:48" x14ac:dyDescent="0.25">
      <c r="A516" t="s">
        <v>1919</v>
      </c>
      <c r="B516" t="s">
        <v>105</v>
      </c>
      <c r="C516" t="s">
        <v>50</v>
      </c>
      <c r="D516">
        <v>440121.8995</v>
      </c>
      <c r="E516">
        <v>1827853.6935000001</v>
      </c>
      <c r="F516">
        <v>32.847000000000001</v>
      </c>
      <c r="G516" t="s">
        <v>1920</v>
      </c>
      <c r="H516" t="s">
        <v>52</v>
      </c>
      <c r="I516">
        <v>32.847000000000001</v>
      </c>
      <c r="J516" t="s">
        <v>53</v>
      </c>
      <c r="K516">
        <v>0</v>
      </c>
      <c r="L516" t="s">
        <v>227</v>
      </c>
      <c r="M516" t="s">
        <v>1921</v>
      </c>
      <c r="N516">
        <v>0.31940000000000002</v>
      </c>
      <c r="O516" t="s">
        <v>56</v>
      </c>
      <c r="P516" t="s">
        <v>57</v>
      </c>
      <c r="Q516" t="s">
        <v>59</v>
      </c>
      <c r="R516" t="s">
        <v>109</v>
      </c>
      <c r="S516" t="s">
        <v>1922</v>
      </c>
      <c r="T516" t="s">
        <v>61</v>
      </c>
      <c r="U516">
        <v>1.8918999999999999</v>
      </c>
      <c r="V516" t="s">
        <v>62</v>
      </c>
      <c r="W516">
        <v>0</v>
      </c>
      <c r="X516">
        <v>30.954999999999998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111</v>
      </c>
      <c r="AG516" t="s">
        <v>65</v>
      </c>
      <c r="AH516" t="s">
        <v>65</v>
      </c>
      <c r="AI516" t="s">
        <v>67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105</v>
      </c>
      <c r="AT516" t="s">
        <v>71</v>
      </c>
      <c r="AU516">
        <v>0</v>
      </c>
      <c r="AV516">
        <v>0</v>
      </c>
    </row>
    <row r="517" spans="1:48" x14ac:dyDescent="0.25">
      <c r="A517" t="s">
        <v>1923</v>
      </c>
      <c r="B517" t="s">
        <v>105</v>
      </c>
      <c r="C517" t="s">
        <v>50</v>
      </c>
      <c r="D517">
        <v>440121.8995</v>
      </c>
      <c r="E517">
        <v>1827842.8171999999</v>
      </c>
      <c r="F517">
        <v>33.002000000000002</v>
      </c>
      <c r="G517" t="s">
        <v>1924</v>
      </c>
      <c r="H517" t="s">
        <v>52</v>
      </c>
      <c r="I517">
        <v>33.002000000000002</v>
      </c>
      <c r="J517" t="s">
        <v>53</v>
      </c>
      <c r="K517">
        <v>0</v>
      </c>
      <c r="L517" t="s">
        <v>395</v>
      </c>
      <c r="M517" t="s">
        <v>853</v>
      </c>
      <c r="N517">
        <v>-0.14710000000000001</v>
      </c>
      <c r="O517" t="s">
        <v>56</v>
      </c>
      <c r="P517" t="s">
        <v>57</v>
      </c>
      <c r="Q517" t="s">
        <v>59</v>
      </c>
      <c r="R517" t="s">
        <v>109</v>
      </c>
      <c r="S517" t="s">
        <v>1925</v>
      </c>
      <c r="T517" t="s">
        <v>61</v>
      </c>
      <c r="U517">
        <v>2.0579999999999998</v>
      </c>
      <c r="V517" t="s">
        <v>62</v>
      </c>
      <c r="W517">
        <v>0</v>
      </c>
      <c r="X517">
        <v>30.943999999999999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111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105</v>
      </c>
      <c r="AT517" t="s">
        <v>71</v>
      </c>
      <c r="AU517">
        <v>0</v>
      </c>
      <c r="AV517">
        <v>0</v>
      </c>
    </row>
    <row r="518" spans="1:48" x14ac:dyDescent="0.25">
      <c r="A518" t="s">
        <v>1926</v>
      </c>
      <c r="B518" t="s">
        <v>105</v>
      </c>
      <c r="C518" t="s">
        <v>50</v>
      </c>
      <c r="D518">
        <v>440121.8995</v>
      </c>
      <c r="E518">
        <v>1827821.54</v>
      </c>
      <c r="F518">
        <v>32.944000000000003</v>
      </c>
      <c r="G518" t="s">
        <v>1927</v>
      </c>
      <c r="H518" t="s">
        <v>52</v>
      </c>
      <c r="I518">
        <v>32.944000000000003</v>
      </c>
      <c r="J518" t="s">
        <v>53</v>
      </c>
      <c r="K518">
        <v>0</v>
      </c>
      <c r="L518" t="s">
        <v>395</v>
      </c>
      <c r="M518" s="1" t="s">
        <v>1928</v>
      </c>
      <c r="N518">
        <v>-0.14710000000000001</v>
      </c>
      <c r="O518" t="s">
        <v>56</v>
      </c>
      <c r="P518" t="s">
        <v>57</v>
      </c>
      <c r="Q518" t="s">
        <v>59</v>
      </c>
      <c r="R518" t="s">
        <v>109</v>
      </c>
      <c r="S518" t="s">
        <v>1929</v>
      </c>
      <c r="T518" t="s">
        <v>61</v>
      </c>
      <c r="U518">
        <v>2.0211999999999999</v>
      </c>
      <c r="V518" t="s">
        <v>62</v>
      </c>
      <c r="W518">
        <v>0</v>
      </c>
      <c r="X518">
        <v>30.922999999999998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111</v>
      </c>
      <c r="AG518" t="s">
        <v>65</v>
      </c>
      <c r="AH518" t="s">
        <v>65</v>
      </c>
      <c r="AI518" t="s">
        <v>67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105</v>
      </c>
      <c r="AT518" t="s">
        <v>71</v>
      </c>
      <c r="AU518">
        <v>0</v>
      </c>
      <c r="AV518">
        <v>0</v>
      </c>
    </row>
    <row r="519" spans="1:48" x14ac:dyDescent="0.25">
      <c r="A519" t="s">
        <v>1930</v>
      </c>
      <c r="B519" t="s">
        <v>105</v>
      </c>
      <c r="C519" t="s">
        <v>50</v>
      </c>
      <c r="D519">
        <v>440121.8995</v>
      </c>
      <c r="E519">
        <v>1827802.8171999999</v>
      </c>
      <c r="F519">
        <v>32.893000000000001</v>
      </c>
      <c r="G519" t="s">
        <v>1931</v>
      </c>
      <c r="H519" t="s">
        <v>52</v>
      </c>
      <c r="I519">
        <v>32.893000000000001</v>
      </c>
      <c r="J519" t="s">
        <v>53</v>
      </c>
      <c r="K519">
        <v>0</v>
      </c>
      <c r="L519" t="s">
        <v>395</v>
      </c>
      <c r="M519" t="s">
        <v>865</v>
      </c>
      <c r="N519">
        <v>-0.14710000000000001</v>
      </c>
      <c r="O519" t="s">
        <v>56</v>
      </c>
      <c r="P519" t="s">
        <v>57</v>
      </c>
      <c r="Q519" t="s">
        <v>59</v>
      </c>
      <c r="R519" t="s">
        <v>109</v>
      </c>
      <c r="S519" t="s">
        <v>1932</v>
      </c>
      <c r="T519" t="s">
        <v>61</v>
      </c>
      <c r="U519">
        <v>1.9893000000000001</v>
      </c>
      <c r="V519" t="s">
        <v>62</v>
      </c>
      <c r="W519">
        <v>0</v>
      </c>
      <c r="X519">
        <v>30.904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111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105</v>
      </c>
      <c r="AT519" t="s">
        <v>71</v>
      </c>
      <c r="AU519">
        <v>0</v>
      </c>
      <c r="AV519">
        <v>0</v>
      </c>
    </row>
    <row r="520" spans="1:48" x14ac:dyDescent="0.25">
      <c r="A520" t="s">
        <v>1933</v>
      </c>
      <c r="B520" t="s">
        <v>105</v>
      </c>
      <c r="C520" t="s">
        <v>50</v>
      </c>
      <c r="D520">
        <v>440121.8995</v>
      </c>
      <c r="E520">
        <v>1827782.8171999999</v>
      </c>
      <c r="F520">
        <v>32.838999999999999</v>
      </c>
      <c r="G520" t="s">
        <v>1934</v>
      </c>
      <c r="H520" t="s">
        <v>52</v>
      </c>
      <c r="I520">
        <v>32.838999999999999</v>
      </c>
      <c r="J520" t="s">
        <v>53</v>
      </c>
      <c r="K520">
        <v>0</v>
      </c>
      <c r="L520" t="s">
        <v>395</v>
      </c>
      <c r="M520" t="s">
        <v>832</v>
      </c>
      <c r="N520">
        <v>-0.14710000000000001</v>
      </c>
      <c r="O520" t="s">
        <v>56</v>
      </c>
      <c r="P520" t="s">
        <v>57</v>
      </c>
      <c r="Q520" t="s">
        <v>59</v>
      </c>
      <c r="R520" t="s">
        <v>109</v>
      </c>
      <c r="S520" t="s">
        <v>1935</v>
      </c>
      <c r="T520" t="s">
        <v>61</v>
      </c>
      <c r="U520">
        <v>1.9550000000000001</v>
      </c>
      <c r="V520" t="s">
        <v>62</v>
      </c>
      <c r="W520">
        <v>0</v>
      </c>
      <c r="X520">
        <v>30.884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111</v>
      </c>
      <c r="AG520" t="s">
        <v>65</v>
      </c>
      <c r="AH520" t="s">
        <v>65</v>
      </c>
      <c r="AI520" t="s">
        <v>67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105</v>
      </c>
      <c r="AT520" t="s">
        <v>71</v>
      </c>
      <c r="AU520">
        <v>0</v>
      </c>
      <c r="AV520">
        <v>0</v>
      </c>
    </row>
    <row r="521" spans="1:48" x14ac:dyDescent="0.25">
      <c r="A521" t="s">
        <v>1936</v>
      </c>
      <c r="B521" t="s">
        <v>105</v>
      </c>
      <c r="C521" t="s">
        <v>50</v>
      </c>
      <c r="D521">
        <v>440121.8995</v>
      </c>
      <c r="E521">
        <v>1827762.8171999999</v>
      </c>
      <c r="F521">
        <v>32.784999999999997</v>
      </c>
      <c r="G521" t="s">
        <v>1937</v>
      </c>
      <c r="H521" t="s">
        <v>52</v>
      </c>
      <c r="I521">
        <v>32.784999999999997</v>
      </c>
      <c r="J521" t="s">
        <v>53</v>
      </c>
      <c r="K521">
        <v>0</v>
      </c>
      <c r="L521" t="s">
        <v>395</v>
      </c>
      <c r="M521" t="s">
        <v>824</v>
      </c>
      <c r="N521">
        <v>-0.14710000000000001</v>
      </c>
      <c r="O521" t="s">
        <v>56</v>
      </c>
      <c r="P521" t="s">
        <v>57</v>
      </c>
      <c r="Q521" t="s">
        <v>59</v>
      </c>
      <c r="R521" t="s">
        <v>109</v>
      </c>
      <c r="S521" t="s">
        <v>1938</v>
      </c>
      <c r="T521" t="s">
        <v>61</v>
      </c>
      <c r="U521">
        <v>1.9207000000000001</v>
      </c>
      <c r="V521" t="s">
        <v>62</v>
      </c>
      <c r="W521">
        <v>0</v>
      </c>
      <c r="X521">
        <v>30.864000000000001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111</v>
      </c>
      <c r="AG521" t="s">
        <v>65</v>
      </c>
      <c r="AH521" t="s">
        <v>65</v>
      </c>
      <c r="AI521" t="s">
        <v>67</v>
      </c>
      <c r="AK521" t="s">
        <v>66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105</v>
      </c>
      <c r="AT521" t="s">
        <v>71</v>
      </c>
      <c r="AU521">
        <v>0</v>
      </c>
      <c r="AV521">
        <v>0</v>
      </c>
    </row>
    <row r="522" spans="1:48" x14ac:dyDescent="0.25">
      <c r="A522" t="s">
        <v>1939</v>
      </c>
      <c r="B522" t="s">
        <v>105</v>
      </c>
      <c r="C522" t="s">
        <v>50</v>
      </c>
      <c r="D522">
        <v>440121.8995</v>
      </c>
      <c r="E522">
        <v>1827742.8171999999</v>
      </c>
      <c r="F522">
        <v>32.729999999999997</v>
      </c>
      <c r="G522" t="s">
        <v>1940</v>
      </c>
      <c r="H522" t="s">
        <v>52</v>
      </c>
      <c r="I522">
        <v>32.729999999999997</v>
      </c>
      <c r="J522" t="s">
        <v>53</v>
      </c>
      <c r="K522">
        <v>0</v>
      </c>
      <c r="L522" t="s">
        <v>395</v>
      </c>
      <c r="M522" t="s">
        <v>816</v>
      </c>
      <c r="N522">
        <v>-0.14710000000000001</v>
      </c>
      <c r="O522" t="s">
        <v>56</v>
      </c>
      <c r="P522" t="s">
        <v>57</v>
      </c>
      <c r="Q522" t="s">
        <v>59</v>
      </c>
      <c r="R522" t="s">
        <v>109</v>
      </c>
      <c r="S522" t="s">
        <v>1941</v>
      </c>
      <c r="T522" t="s">
        <v>61</v>
      </c>
      <c r="U522">
        <v>1.9024000000000001</v>
      </c>
      <c r="V522" t="s">
        <v>62</v>
      </c>
      <c r="W522">
        <v>0</v>
      </c>
      <c r="X522">
        <v>30.827999999999999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111</v>
      </c>
      <c r="AG522" t="s">
        <v>65</v>
      </c>
      <c r="AH522" t="s">
        <v>65</v>
      </c>
      <c r="AI522" t="s">
        <v>67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105</v>
      </c>
      <c r="AT522" t="s">
        <v>71</v>
      </c>
      <c r="AU522">
        <v>0</v>
      </c>
      <c r="AV522">
        <v>0</v>
      </c>
    </row>
    <row r="523" spans="1:48" x14ac:dyDescent="0.25">
      <c r="A523" t="s">
        <v>1942</v>
      </c>
      <c r="B523" t="s">
        <v>105</v>
      </c>
      <c r="C523" t="s">
        <v>50</v>
      </c>
      <c r="D523">
        <v>440121.8995</v>
      </c>
      <c r="E523">
        <v>1827722.8171999999</v>
      </c>
      <c r="F523">
        <v>32.676000000000002</v>
      </c>
      <c r="G523" t="s">
        <v>1943</v>
      </c>
      <c r="H523" t="s">
        <v>52</v>
      </c>
      <c r="I523">
        <v>32.676000000000002</v>
      </c>
      <c r="J523" t="s">
        <v>53</v>
      </c>
      <c r="K523">
        <v>0</v>
      </c>
      <c r="L523" t="s">
        <v>395</v>
      </c>
      <c r="M523" t="s">
        <v>1479</v>
      </c>
      <c r="N523">
        <v>-0.14710000000000001</v>
      </c>
      <c r="O523" t="s">
        <v>56</v>
      </c>
      <c r="P523" t="s">
        <v>57</v>
      </c>
      <c r="Q523" t="s">
        <v>59</v>
      </c>
      <c r="R523" t="s">
        <v>109</v>
      </c>
      <c r="S523" t="s">
        <v>1944</v>
      </c>
      <c r="T523" t="s">
        <v>61</v>
      </c>
      <c r="U523">
        <v>1.9019999999999999</v>
      </c>
      <c r="V523" t="s">
        <v>62</v>
      </c>
      <c r="W523">
        <v>0</v>
      </c>
      <c r="X523">
        <v>30.774000000000001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111</v>
      </c>
      <c r="AG523" t="s">
        <v>65</v>
      </c>
      <c r="AH523" t="s">
        <v>65</v>
      </c>
      <c r="AI523" t="s">
        <v>67</v>
      </c>
      <c r="AK523" t="s">
        <v>66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105</v>
      </c>
      <c r="AT523" t="s">
        <v>71</v>
      </c>
      <c r="AU523">
        <v>0</v>
      </c>
      <c r="AV523">
        <v>0</v>
      </c>
    </row>
    <row r="524" spans="1:48" x14ac:dyDescent="0.25">
      <c r="A524" t="s">
        <v>1945</v>
      </c>
      <c r="B524" t="s">
        <v>105</v>
      </c>
      <c r="C524" t="s">
        <v>50</v>
      </c>
      <c r="D524">
        <v>440121.8995</v>
      </c>
      <c r="E524">
        <v>1827702.8171999999</v>
      </c>
      <c r="F524">
        <v>32.622</v>
      </c>
      <c r="G524" t="s">
        <v>1946</v>
      </c>
      <c r="H524" t="s">
        <v>52</v>
      </c>
      <c r="I524">
        <v>32.622</v>
      </c>
      <c r="J524" t="s">
        <v>53</v>
      </c>
      <c r="K524">
        <v>0</v>
      </c>
      <c r="L524" t="s">
        <v>395</v>
      </c>
      <c r="M524" t="s">
        <v>1483</v>
      </c>
      <c r="N524">
        <v>-0.14710000000000001</v>
      </c>
      <c r="O524" t="s">
        <v>56</v>
      </c>
      <c r="P524" t="s">
        <v>57</v>
      </c>
      <c r="Q524" t="s">
        <v>59</v>
      </c>
      <c r="R524" t="s">
        <v>109</v>
      </c>
      <c r="S524" t="s">
        <v>1947</v>
      </c>
      <c r="T524" t="s">
        <v>61</v>
      </c>
      <c r="U524">
        <v>1.9027000000000001</v>
      </c>
      <c r="V524" t="s">
        <v>62</v>
      </c>
      <c r="W524">
        <v>0</v>
      </c>
      <c r="X524">
        <v>30.719000000000001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111</v>
      </c>
      <c r="AG524" t="s">
        <v>65</v>
      </c>
      <c r="AH524" t="s">
        <v>65</v>
      </c>
      <c r="AI524" t="s">
        <v>67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105</v>
      </c>
      <c r="AT524" t="s">
        <v>71</v>
      </c>
      <c r="AU524">
        <v>0</v>
      </c>
      <c r="AV524">
        <v>0</v>
      </c>
    </row>
    <row r="525" spans="1:48" x14ac:dyDescent="0.25">
      <c r="A525" t="s">
        <v>1948</v>
      </c>
      <c r="B525" t="s">
        <v>105</v>
      </c>
      <c r="C525" t="s">
        <v>50</v>
      </c>
      <c r="D525">
        <v>440121.8995</v>
      </c>
      <c r="E525">
        <v>1827682.8171999999</v>
      </c>
      <c r="F525">
        <v>32.567</v>
      </c>
      <c r="G525" t="s">
        <v>1949</v>
      </c>
      <c r="H525" t="s">
        <v>52</v>
      </c>
      <c r="I525">
        <v>32.567</v>
      </c>
      <c r="J525" t="s">
        <v>53</v>
      </c>
      <c r="K525">
        <v>0</v>
      </c>
      <c r="L525" t="s">
        <v>395</v>
      </c>
      <c r="M525" t="s">
        <v>1487</v>
      </c>
      <c r="N525">
        <v>-0.14710000000000001</v>
      </c>
      <c r="O525" t="s">
        <v>56</v>
      </c>
      <c r="P525" t="s">
        <v>57</v>
      </c>
      <c r="Q525" t="s">
        <v>59</v>
      </c>
      <c r="R525" t="s">
        <v>109</v>
      </c>
      <c r="S525" t="s">
        <v>1941</v>
      </c>
      <c r="T525" t="s">
        <v>61</v>
      </c>
      <c r="U525">
        <v>1.9024000000000001</v>
      </c>
      <c r="V525" t="s">
        <v>62</v>
      </c>
      <c r="W525">
        <v>0</v>
      </c>
      <c r="X525">
        <v>30.664999999999999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111</v>
      </c>
      <c r="AG525" t="s">
        <v>65</v>
      </c>
      <c r="AH525" t="s">
        <v>65</v>
      </c>
      <c r="AI525" t="s">
        <v>67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105</v>
      </c>
      <c r="AT525" t="s">
        <v>71</v>
      </c>
      <c r="AU525">
        <v>0</v>
      </c>
      <c r="AV525">
        <v>0</v>
      </c>
    </row>
    <row r="526" spans="1:48" x14ac:dyDescent="0.25">
      <c r="A526" t="s">
        <v>1950</v>
      </c>
      <c r="B526" t="s">
        <v>105</v>
      </c>
      <c r="C526" t="s">
        <v>50</v>
      </c>
      <c r="D526">
        <v>440121.8995</v>
      </c>
      <c r="E526">
        <v>1827662.8842</v>
      </c>
      <c r="F526">
        <v>32.512999999999998</v>
      </c>
      <c r="G526" t="s">
        <v>1951</v>
      </c>
      <c r="H526" t="s">
        <v>52</v>
      </c>
      <c r="I526">
        <v>32.512999999999998</v>
      </c>
      <c r="J526" t="s">
        <v>53</v>
      </c>
      <c r="K526">
        <v>0</v>
      </c>
      <c r="L526" t="s">
        <v>395</v>
      </c>
      <c r="M526" t="s">
        <v>1952</v>
      </c>
      <c r="N526">
        <v>-0.14710000000000001</v>
      </c>
      <c r="O526" t="s">
        <v>56</v>
      </c>
      <c r="P526" t="s">
        <v>57</v>
      </c>
      <c r="Q526" t="s">
        <v>59</v>
      </c>
      <c r="R526" t="s">
        <v>109</v>
      </c>
      <c r="S526" t="s">
        <v>1953</v>
      </c>
      <c r="T526" t="s">
        <v>61</v>
      </c>
      <c r="U526">
        <v>1.9021999999999999</v>
      </c>
      <c r="V526" t="s">
        <v>62</v>
      </c>
      <c r="W526">
        <v>0</v>
      </c>
      <c r="X526">
        <v>30.611000000000001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111</v>
      </c>
      <c r="AG526" t="s">
        <v>65</v>
      </c>
      <c r="AH526" t="s">
        <v>65</v>
      </c>
      <c r="AI526" t="s">
        <v>67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105</v>
      </c>
      <c r="AT526" t="s">
        <v>71</v>
      </c>
      <c r="AU526">
        <v>0</v>
      </c>
      <c r="AV526">
        <v>0</v>
      </c>
    </row>
    <row r="527" spans="1:48" x14ac:dyDescent="0.25">
      <c r="A527" t="s">
        <v>1954</v>
      </c>
      <c r="B527" t="s">
        <v>105</v>
      </c>
      <c r="C527" t="s">
        <v>50</v>
      </c>
      <c r="D527">
        <v>440121.8995</v>
      </c>
      <c r="E527">
        <v>1827642.8171999999</v>
      </c>
      <c r="F527">
        <v>32.459000000000003</v>
      </c>
      <c r="G527" t="s">
        <v>1955</v>
      </c>
      <c r="H527" t="s">
        <v>52</v>
      </c>
      <c r="I527">
        <v>32.459000000000003</v>
      </c>
      <c r="J527" t="s">
        <v>53</v>
      </c>
      <c r="K527">
        <v>0</v>
      </c>
      <c r="L527" t="s">
        <v>395</v>
      </c>
      <c r="M527" s="1" t="s">
        <v>1495</v>
      </c>
      <c r="N527">
        <v>-0.14710000000000001</v>
      </c>
      <c r="O527" t="s">
        <v>56</v>
      </c>
      <c r="P527" t="s">
        <v>57</v>
      </c>
      <c r="Q527" t="s">
        <v>59</v>
      </c>
      <c r="R527" t="s">
        <v>109</v>
      </c>
      <c r="S527" t="s">
        <v>1956</v>
      </c>
      <c r="T527" t="s">
        <v>61</v>
      </c>
      <c r="U527">
        <v>1.9027000000000001</v>
      </c>
      <c r="V527" t="s">
        <v>62</v>
      </c>
      <c r="W527">
        <v>0</v>
      </c>
      <c r="X527">
        <v>30.556000000000001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111</v>
      </c>
      <c r="AG527" t="s">
        <v>65</v>
      </c>
      <c r="AH527" t="s">
        <v>65</v>
      </c>
      <c r="AI527" t="s">
        <v>67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105</v>
      </c>
      <c r="AT527" t="s">
        <v>71</v>
      </c>
      <c r="AU527">
        <v>0</v>
      </c>
      <c r="AV527">
        <v>0</v>
      </c>
    </row>
    <row r="528" spans="1:48" x14ac:dyDescent="0.25">
      <c r="A528" t="s">
        <v>1957</v>
      </c>
      <c r="B528" t="s">
        <v>105</v>
      </c>
      <c r="C528" t="s">
        <v>50</v>
      </c>
      <c r="D528">
        <v>440121.8995</v>
      </c>
      <c r="E528">
        <v>1827622.8171999999</v>
      </c>
      <c r="F528">
        <v>32.404000000000003</v>
      </c>
      <c r="G528" t="s">
        <v>1958</v>
      </c>
      <c r="H528" t="s">
        <v>52</v>
      </c>
      <c r="I528">
        <v>32.404000000000003</v>
      </c>
      <c r="J528" t="s">
        <v>53</v>
      </c>
      <c r="K528">
        <v>0</v>
      </c>
      <c r="L528" t="s">
        <v>395</v>
      </c>
      <c r="M528" t="s">
        <v>575</v>
      </c>
      <c r="N528">
        <v>-0.14710000000000001</v>
      </c>
      <c r="O528" t="s">
        <v>56</v>
      </c>
      <c r="P528" t="s">
        <v>57</v>
      </c>
      <c r="Q528" t="s">
        <v>59</v>
      </c>
      <c r="R528" t="s">
        <v>109</v>
      </c>
      <c r="S528" t="s">
        <v>1959</v>
      </c>
      <c r="T528" t="s">
        <v>61</v>
      </c>
      <c r="U528">
        <v>1.9024000000000001</v>
      </c>
      <c r="V528" t="s">
        <v>62</v>
      </c>
      <c r="W528">
        <v>0</v>
      </c>
      <c r="X528">
        <v>30.501999999999999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111</v>
      </c>
      <c r="AG528" t="s">
        <v>65</v>
      </c>
      <c r="AH528" t="s">
        <v>65</v>
      </c>
      <c r="AI528" t="s">
        <v>67</v>
      </c>
      <c r="AK528" t="s">
        <v>66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105</v>
      </c>
      <c r="AT528" t="s">
        <v>71</v>
      </c>
      <c r="AU528">
        <v>0</v>
      </c>
      <c r="AV528">
        <v>0</v>
      </c>
    </row>
    <row r="529" spans="1:48" x14ac:dyDescent="0.25">
      <c r="A529" t="s">
        <v>1960</v>
      </c>
      <c r="B529" t="s">
        <v>105</v>
      </c>
      <c r="C529" t="s">
        <v>50</v>
      </c>
      <c r="D529">
        <v>440121.8995</v>
      </c>
      <c r="E529">
        <v>1827602.8171999999</v>
      </c>
      <c r="F529">
        <v>32.35</v>
      </c>
      <c r="G529" t="s">
        <v>1961</v>
      </c>
      <c r="H529" t="s">
        <v>52</v>
      </c>
      <c r="I529">
        <v>32.35</v>
      </c>
      <c r="J529" t="s">
        <v>53</v>
      </c>
      <c r="K529">
        <v>0</v>
      </c>
      <c r="L529" t="s">
        <v>395</v>
      </c>
      <c r="M529" t="s">
        <v>571</v>
      </c>
      <c r="N529">
        <v>-0.14710000000000001</v>
      </c>
      <c r="O529" t="s">
        <v>56</v>
      </c>
      <c r="P529" t="s">
        <v>57</v>
      </c>
      <c r="Q529" t="s">
        <v>59</v>
      </c>
      <c r="R529" t="s">
        <v>109</v>
      </c>
      <c r="S529" t="s">
        <v>1962</v>
      </c>
      <c r="T529" t="s">
        <v>61</v>
      </c>
      <c r="U529">
        <v>1.9019999999999999</v>
      </c>
      <c r="V529" t="s">
        <v>62</v>
      </c>
      <c r="W529">
        <v>0</v>
      </c>
      <c r="X529">
        <v>30.448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111</v>
      </c>
      <c r="AG529" t="s">
        <v>65</v>
      </c>
      <c r="AH529" t="s">
        <v>65</v>
      </c>
      <c r="AI529" t="s">
        <v>67</v>
      </c>
      <c r="AK529" t="s">
        <v>66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105</v>
      </c>
      <c r="AT529" t="s">
        <v>71</v>
      </c>
      <c r="AU529">
        <v>0</v>
      </c>
      <c r="AV529">
        <v>0</v>
      </c>
    </row>
    <row r="530" spans="1:48" x14ac:dyDescent="0.25">
      <c r="A530" t="s">
        <v>1963</v>
      </c>
      <c r="B530" t="s">
        <v>105</v>
      </c>
      <c r="C530" t="s">
        <v>50</v>
      </c>
      <c r="D530">
        <v>440121.92450000002</v>
      </c>
      <c r="E530">
        <v>1827562.8171999999</v>
      </c>
      <c r="F530">
        <v>32.241</v>
      </c>
      <c r="G530" t="s">
        <v>1964</v>
      </c>
      <c r="H530" t="s">
        <v>52</v>
      </c>
      <c r="I530">
        <v>32.241</v>
      </c>
      <c r="J530" t="s">
        <v>53</v>
      </c>
      <c r="K530">
        <v>0</v>
      </c>
      <c r="L530" t="s">
        <v>395</v>
      </c>
      <c r="M530" t="s">
        <v>563</v>
      </c>
      <c r="N530">
        <v>-0.1721</v>
      </c>
      <c r="O530" t="s">
        <v>56</v>
      </c>
      <c r="P530" t="s">
        <v>57</v>
      </c>
      <c r="Q530" t="s">
        <v>59</v>
      </c>
      <c r="R530" t="s">
        <v>109</v>
      </c>
      <c r="S530" t="s">
        <v>1965</v>
      </c>
      <c r="T530" t="s">
        <v>61</v>
      </c>
      <c r="U530">
        <v>1.9018999999999999</v>
      </c>
      <c r="V530" t="s">
        <v>62</v>
      </c>
      <c r="W530">
        <v>0</v>
      </c>
      <c r="X530">
        <v>30.338999999999999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111</v>
      </c>
      <c r="AG530" t="s">
        <v>65</v>
      </c>
      <c r="AH530" t="s">
        <v>65</v>
      </c>
      <c r="AI530" t="s">
        <v>67</v>
      </c>
      <c r="AK530" t="s">
        <v>66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105</v>
      </c>
      <c r="AT530" t="s">
        <v>71</v>
      </c>
      <c r="AU530">
        <v>0</v>
      </c>
      <c r="AV530">
        <v>0</v>
      </c>
    </row>
    <row r="531" spans="1:48" x14ac:dyDescent="0.25">
      <c r="A531" t="s">
        <v>1966</v>
      </c>
      <c r="B531" t="s">
        <v>105</v>
      </c>
      <c r="C531" t="s">
        <v>50</v>
      </c>
      <c r="D531">
        <v>440132.54950000002</v>
      </c>
      <c r="E531">
        <v>1828202.8171000001</v>
      </c>
      <c r="F531">
        <v>34.951000000000001</v>
      </c>
      <c r="G531" t="s">
        <v>1967</v>
      </c>
      <c r="H531" t="s">
        <v>52</v>
      </c>
      <c r="I531">
        <v>34.951000000000001</v>
      </c>
      <c r="J531" t="s">
        <v>53</v>
      </c>
      <c r="K531">
        <v>0</v>
      </c>
      <c r="L531" t="s">
        <v>1968</v>
      </c>
      <c r="M531" s="1" t="s">
        <v>774</v>
      </c>
      <c r="N531">
        <v>0.24740000000000001</v>
      </c>
      <c r="O531" t="s">
        <v>56</v>
      </c>
      <c r="P531" t="s">
        <v>57</v>
      </c>
      <c r="Q531" t="s">
        <v>59</v>
      </c>
      <c r="R531" t="s">
        <v>109</v>
      </c>
      <c r="S531" t="s">
        <v>1770</v>
      </c>
      <c r="T531" t="s">
        <v>61</v>
      </c>
      <c r="U531">
        <v>1.5138</v>
      </c>
      <c r="V531" t="s">
        <v>62</v>
      </c>
      <c r="W531">
        <v>0</v>
      </c>
      <c r="X531">
        <v>33.436999999999998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111</v>
      </c>
      <c r="AG531" t="s">
        <v>65</v>
      </c>
      <c r="AH531" t="s">
        <v>65</v>
      </c>
      <c r="AI531" t="s">
        <v>67</v>
      </c>
      <c r="AK531" t="s">
        <v>66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105</v>
      </c>
      <c r="AT531" t="s">
        <v>71</v>
      </c>
      <c r="AU531">
        <v>0</v>
      </c>
      <c r="AV531">
        <v>0</v>
      </c>
    </row>
    <row r="532" spans="1:48" x14ac:dyDescent="0.25">
      <c r="A532" t="s">
        <v>1969</v>
      </c>
      <c r="B532" t="s">
        <v>105</v>
      </c>
      <c r="C532" t="s">
        <v>50</v>
      </c>
      <c r="D532">
        <v>440132.54950000002</v>
      </c>
      <c r="E532">
        <v>1828182.8171999999</v>
      </c>
      <c r="F532">
        <v>34.829000000000001</v>
      </c>
      <c r="G532" t="s">
        <v>1970</v>
      </c>
      <c r="H532" t="s">
        <v>52</v>
      </c>
      <c r="I532">
        <v>34.829000000000001</v>
      </c>
      <c r="J532" t="s">
        <v>53</v>
      </c>
      <c r="K532">
        <v>0</v>
      </c>
      <c r="L532" t="s">
        <v>1968</v>
      </c>
      <c r="M532" s="1" t="s">
        <v>452</v>
      </c>
      <c r="N532">
        <v>0.2382</v>
      </c>
      <c r="O532" t="s">
        <v>56</v>
      </c>
      <c r="P532" t="s">
        <v>57</v>
      </c>
      <c r="Q532" t="s">
        <v>59</v>
      </c>
      <c r="R532" t="s">
        <v>109</v>
      </c>
      <c r="S532" t="s">
        <v>1773</v>
      </c>
      <c r="T532" t="s">
        <v>61</v>
      </c>
      <c r="U532">
        <v>1.5143</v>
      </c>
      <c r="V532" t="s">
        <v>62</v>
      </c>
      <c r="W532">
        <v>0</v>
      </c>
      <c r="X532">
        <v>33.314999999999998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111</v>
      </c>
      <c r="AG532" t="s">
        <v>65</v>
      </c>
      <c r="AH532" t="s">
        <v>65</v>
      </c>
      <c r="AI532" t="s">
        <v>67</v>
      </c>
      <c r="AK532" t="s">
        <v>66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105</v>
      </c>
      <c r="AT532" t="s">
        <v>71</v>
      </c>
      <c r="AU532">
        <v>0</v>
      </c>
      <c r="AV532">
        <v>0</v>
      </c>
    </row>
    <row r="533" spans="1:48" x14ac:dyDescent="0.25">
      <c r="A533" t="s">
        <v>1971</v>
      </c>
      <c r="B533" t="s">
        <v>105</v>
      </c>
      <c r="C533" t="s">
        <v>50</v>
      </c>
      <c r="D533">
        <v>440132.54950000002</v>
      </c>
      <c r="E533">
        <v>1828162.8171999999</v>
      </c>
      <c r="F533">
        <v>34.707999999999998</v>
      </c>
      <c r="G533" t="s">
        <v>1972</v>
      </c>
      <c r="H533" t="s">
        <v>52</v>
      </c>
      <c r="I533">
        <v>34.707999999999998</v>
      </c>
      <c r="J533" t="s">
        <v>53</v>
      </c>
      <c r="K533">
        <v>0</v>
      </c>
      <c r="L533" t="s">
        <v>1968</v>
      </c>
      <c r="M533" t="s">
        <v>448</v>
      </c>
      <c r="N533">
        <v>0.2291</v>
      </c>
      <c r="O533" t="s">
        <v>56</v>
      </c>
      <c r="P533" t="s">
        <v>57</v>
      </c>
      <c r="Q533" t="s">
        <v>59</v>
      </c>
      <c r="R533" t="s">
        <v>109</v>
      </c>
      <c r="S533" t="s">
        <v>1776</v>
      </c>
      <c r="T533" t="s">
        <v>61</v>
      </c>
      <c r="U533">
        <v>1.5138</v>
      </c>
      <c r="V533" t="s">
        <v>62</v>
      </c>
      <c r="W533">
        <v>0</v>
      </c>
      <c r="X533">
        <v>33.194000000000003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111</v>
      </c>
      <c r="AG533" t="s">
        <v>65</v>
      </c>
      <c r="AH533" t="s">
        <v>65</v>
      </c>
      <c r="AI533" t="s">
        <v>67</v>
      </c>
      <c r="AK533" t="s">
        <v>66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105</v>
      </c>
      <c r="AT533" t="s">
        <v>71</v>
      </c>
      <c r="AU533">
        <v>0</v>
      </c>
      <c r="AV533">
        <v>0</v>
      </c>
    </row>
    <row r="534" spans="1:48" x14ac:dyDescent="0.25">
      <c r="A534" t="s">
        <v>1973</v>
      </c>
      <c r="B534" t="s">
        <v>105</v>
      </c>
      <c r="C534" t="s">
        <v>50</v>
      </c>
      <c r="D534">
        <v>440132.54950000002</v>
      </c>
      <c r="E534">
        <v>1828142.8171999999</v>
      </c>
      <c r="F534">
        <v>34.585999999999999</v>
      </c>
      <c r="G534" t="s">
        <v>1974</v>
      </c>
      <c r="H534" t="s">
        <v>52</v>
      </c>
      <c r="I534">
        <v>34.585999999999999</v>
      </c>
      <c r="J534" t="s">
        <v>53</v>
      </c>
      <c r="K534">
        <v>0</v>
      </c>
      <c r="L534" t="s">
        <v>1968</v>
      </c>
      <c r="M534" t="s">
        <v>444</v>
      </c>
      <c r="N534">
        <v>0.22</v>
      </c>
      <c r="O534" t="s">
        <v>56</v>
      </c>
      <c r="P534" t="s">
        <v>57</v>
      </c>
      <c r="Q534" t="s">
        <v>59</v>
      </c>
      <c r="R534" t="s">
        <v>109</v>
      </c>
      <c r="S534" t="s">
        <v>1779</v>
      </c>
      <c r="T534" t="s">
        <v>61</v>
      </c>
      <c r="U534">
        <v>1.5143</v>
      </c>
      <c r="V534" t="s">
        <v>62</v>
      </c>
      <c r="W534">
        <v>0</v>
      </c>
      <c r="X534">
        <v>33.072000000000003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111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105</v>
      </c>
      <c r="AT534" t="s">
        <v>71</v>
      </c>
      <c r="AU534">
        <v>0</v>
      </c>
      <c r="AV534">
        <v>0</v>
      </c>
    </row>
    <row r="535" spans="1:48" x14ac:dyDescent="0.25">
      <c r="A535" t="s">
        <v>1975</v>
      </c>
      <c r="B535" t="s">
        <v>105</v>
      </c>
      <c r="C535" t="s">
        <v>50</v>
      </c>
      <c r="D535">
        <v>440132.54950000002</v>
      </c>
      <c r="E535">
        <v>1828122.8171999999</v>
      </c>
      <c r="F535">
        <v>34.465000000000003</v>
      </c>
      <c r="G535" t="s">
        <v>1976</v>
      </c>
      <c r="H535" t="s">
        <v>52</v>
      </c>
      <c r="I535">
        <v>34.465000000000003</v>
      </c>
      <c r="J535" t="s">
        <v>53</v>
      </c>
      <c r="K535">
        <v>0</v>
      </c>
      <c r="L535" t="s">
        <v>1968</v>
      </c>
      <c r="M535" s="1" t="s">
        <v>440</v>
      </c>
      <c r="N535">
        <v>0.2109</v>
      </c>
      <c r="O535" t="s">
        <v>56</v>
      </c>
      <c r="P535" t="s">
        <v>57</v>
      </c>
      <c r="Q535" t="s">
        <v>59</v>
      </c>
      <c r="R535" t="s">
        <v>109</v>
      </c>
      <c r="S535" t="s">
        <v>1782</v>
      </c>
      <c r="T535" t="s">
        <v>61</v>
      </c>
      <c r="U535">
        <v>1.6729000000000001</v>
      </c>
      <c r="V535" t="s">
        <v>62</v>
      </c>
      <c r="W535">
        <v>0</v>
      </c>
      <c r="X535">
        <v>32.792000000000002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111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105</v>
      </c>
      <c r="AT535" t="s">
        <v>71</v>
      </c>
      <c r="AU535">
        <v>0</v>
      </c>
      <c r="AV535">
        <v>0</v>
      </c>
    </row>
    <row r="536" spans="1:48" x14ac:dyDescent="0.25">
      <c r="A536" t="s">
        <v>1977</v>
      </c>
      <c r="B536" t="s">
        <v>105</v>
      </c>
      <c r="C536" t="s">
        <v>50</v>
      </c>
      <c r="D536">
        <v>440132.54950000002</v>
      </c>
      <c r="E536">
        <v>1828102.3838</v>
      </c>
      <c r="F536">
        <v>34.179000000000002</v>
      </c>
      <c r="G536" t="s">
        <v>1978</v>
      </c>
      <c r="H536" t="s">
        <v>52</v>
      </c>
      <c r="I536">
        <v>34.179000000000002</v>
      </c>
      <c r="J536" t="s">
        <v>53</v>
      </c>
      <c r="K536">
        <v>0</v>
      </c>
      <c r="L536" t="s">
        <v>1968</v>
      </c>
      <c r="M536" t="s">
        <v>1979</v>
      </c>
      <c r="N536">
        <v>0.2016</v>
      </c>
      <c r="O536" t="s">
        <v>56</v>
      </c>
      <c r="P536" t="s">
        <v>57</v>
      </c>
      <c r="Q536" t="s">
        <v>59</v>
      </c>
      <c r="R536" t="s">
        <v>109</v>
      </c>
      <c r="S536" t="s">
        <v>1980</v>
      </c>
      <c r="T536" t="s">
        <v>61</v>
      </c>
      <c r="U536">
        <v>1.4481999999999999</v>
      </c>
      <c r="V536" t="s">
        <v>62</v>
      </c>
      <c r="W536">
        <v>0</v>
      </c>
      <c r="X536">
        <v>32.731000000000002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111</v>
      </c>
      <c r="AG536" t="s">
        <v>65</v>
      </c>
      <c r="AH536" t="s">
        <v>65</v>
      </c>
      <c r="AI536" t="s">
        <v>67</v>
      </c>
      <c r="AK536" t="s">
        <v>66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105</v>
      </c>
      <c r="AT536" t="s">
        <v>71</v>
      </c>
      <c r="AU536">
        <v>0</v>
      </c>
      <c r="AV536">
        <v>0</v>
      </c>
    </row>
    <row r="537" spans="1:48" x14ac:dyDescent="0.25">
      <c r="A537" t="s">
        <v>1981</v>
      </c>
      <c r="B537" t="s">
        <v>105</v>
      </c>
      <c r="C537" t="s">
        <v>50</v>
      </c>
      <c r="D537">
        <v>440132.54950000002</v>
      </c>
      <c r="E537">
        <v>1828082.8171999999</v>
      </c>
      <c r="F537">
        <v>34.222000000000001</v>
      </c>
      <c r="G537" t="s">
        <v>1982</v>
      </c>
      <c r="H537" t="s">
        <v>52</v>
      </c>
      <c r="I537">
        <v>34.222000000000001</v>
      </c>
      <c r="J537" t="s">
        <v>53</v>
      </c>
      <c r="K537">
        <v>0</v>
      </c>
      <c r="L537" t="s">
        <v>1968</v>
      </c>
      <c r="M537" t="s">
        <v>432</v>
      </c>
      <c r="N537">
        <v>0.19270000000000001</v>
      </c>
      <c r="O537" t="s">
        <v>56</v>
      </c>
      <c r="P537" t="s">
        <v>57</v>
      </c>
      <c r="Q537" t="s">
        <v>59</v>
      </c>
      <c r="R537" t="s">
        <v>109</v>
      </c>
      <c r="S537" t="s">
        <v>1983</v>
      </c>
      <c r="T537" t="s">
        <v>61</v>
      </c>
      <c r="U537">
        <v>1.5139</v>
      </c>
      <c r="V537" t="s">
        <v>62</v>
      </c>
      <c r="W537">
        <v>0</v>
      </c>
      <c r="X537">
        <v>32.707999999999998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111</v>
      </c>
      <c r="AG537" t="s">
        <v>65</v>
      </c>
      <c r="AH537" t="s">
        <v>65</v>
      </c>
      <c r="AI537" t="s">
        <v>67</v>
      </c>
      <c r="AK537" t="s">
        <v>66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105</v>
      </c>
      <c r="AT537" t="s">
        <v>71</v>
      </c>
      <c r="AU537">
        <v>0</v>
      </c>
      <c r="AV537">
        <v>0</v>
      </c>
    </row>
    <row r="538" spans="1:48" x14ac:dyDescent="0.25">
      <c r="A538" t="s">
        <v>1984</v>
      </c>
      <c r="B538" t="s">
        <v>105</v>
      </c>
      <c r="C538" t="s">
        <v>50</v>
      </c>
      <c r="D538">
        <v>440132.54950000002</v>
      </c>
      <c r="E538">
        <v>1828062.8171999999</v>
      </c>
      <c r="F538">
        <v>34.1</v>
      </c>
      <c r="G538" t="s">
        <v>1985</v>
      </c>
      <c r="H538" t="s">
        <v>52</v>
      </c>
      <c r="I538">
        <v>34.1</v>
      </c>
      <c r="J538" t="s">
        <v>53</v>
      </c>
      <c r="K538">
        <v>0</v>
      </c>
      <c r="L538" t="s">
        <v>1968</v>
      </c>
      <c r="M538" t="s">
        <v>428</v>
      </c>
      <c r="N538">
        <v>0.18360000000000001</v>
      </c>
      <c r="O538" t="s">
        <v>56</v>
      </c>
      <c r="P538" t="s">
        <v>57</v>
      </c>
      <c r="Q538" t="s">
        <v>59</v>
      </c>
      <c r="R538" t="s">
        <v>109</v>
      </c>
      <c r="S538" t="s">
        <v>1986</v>
      </c>
      <c r="T538" t="s">
        <v>61</v>
      </c>
      <c r="U538">
        <v>1.5144</v>
      </c>
      <c r="V538" t="s">
        <v>62</v>
      </c>
      <c r="W538">
        <v>0</v>
      </c>
      <c r="X538">
        <v>32.585999999999999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111</v>
      </c>
      <c r="AG538" t="s">
        <v>65</v>
      </c>
      <c r="AH538" t="s">
        <v>65</v>
      </c>
      <c r="AI538" t="s">
        <v>67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105</v>
      </c>
      <c r="AT538" t="s">
        <v>71</v>
      </c>
      <c r="AU538">
        <v>0</v>
      </c>
      <c r="AV538">
        <v>0</v>
      </c>
    </row>
    <row r="539" spans="1:48" x14ac:dyDescent="0.25">
      <c r="A539" t="s">
        <v>1987</v>
      </c>
      <c r="B539" t="s">
        <v>105</v>
      </c>
      <c r="C539" t="s">
        <v>50</v>
      </c>
      <c r="D539">
        <v>440132.54950000002</v>
      </c>
      <c r="E539">
        <v>1828042.8171999999</v>
      </c>
      <c r="F539">
        <v>33.978999999999999</v>
      </c>
      <c r="G539" t="s">
        <v>1988</v>
      </c>
      <c r="H539" t="s">
        <v>52</v>
      </c>
      <c r="I539">
        <v>33.978999999999999</v>
      </c>
      <c r="J539" t="s">
        <v>53</v>
      </c>
      <c r="K539">
        <v>0</v>
      </c>
      <c r="L539" t="s">
        <v>1968</v>
      </c>
      <c r="M539" s="1" t="s">
        <v>424</v>
      </c>
      <c r="N539">
        <v>0.17449999999999999</v>
      </c>
      <c r="O539" t="s">
        <v>56</v>
      </c>
      <c r="P539" t="s">
        <v>57</v>
      </c>
      <c r="Q539" t="s">
        <v>59</v>
      </c>
      <c r="R539" t="s">
        <v>109</v>
      </c>
      <c r="S539" t="s">
        <v>1989</v>
      </c>
      <c r="T539" t="s">
        <v>61</v>
      </c>
      <c r="U539">
        <v>1.5139</v>
      </c>
      <c r="V539" t="s">
        <v>62</v>
      </c>
      <c r="W539">
        <v>0</v>
      </c>
      <c r="X539">
        <v>32.465000000000003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111</v>
      </c>
      <c r="AG539" t="s">
        <v>65</v>
      </c>
      <c r="AH539" t="s">
        <v>65</v>
      </c>
      <c r="AI539" t="s">
        <v>67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105</v>
      </c>
      <c r="AT539" t="s">
        <v>71</v>
      </c>
      <c r="AU539">
        <v>0</v>
      </c>
      <c r="AV539">
        <v>0</v>
      </c>
    </row>
    <row r="540" spans="1:48" x14ac:dyDescent="0.25">
      <c r="A540" t="s">
        <v>1990</v>
      </c>
      <c r="B540" t="s">
        <v>105</v>
      </c>
      <c r="C540" t="s">
        <v>50</v>
      </c>
      <c r="D540">
        <v>440132.54950000002</v>
      </c>
      <c r="E540">
        <v>1828022.8171999999</v>
      </c>
      <c r="F540">
        <v>33.856999999999999</v>
      </c>
      <c r="G540" t="s">
        <v>1991</v>
      </c>
      <c r="H540" t="s">
        <v>52</v>
      </c>
      <c r="I540">
        <v>33.856999999999999</v>
      </c>
      <c r="J540" t="s">
        <v>53</v>
      </c>
      <c r="K540">
        <v>0</v>
      </c>
      <c r="L540" t="s">
        <v>1968</v>
      </c>
      <c r="M540" t="s">
        <v>420</v>
      </c>
      <c r="N540">
        <v>0.16539999999999999</v>
      </c>
      <c r="O540" t="s">
        <v>56</v>
      </c>
      <c r="P540" t="s">
        <v>57</v>
      </c>
      <c r="Q540" t="s">
        <v>59</v>
      </c>
      <c r="R540" t="s">
        <v>109</v>
      </c>
      <c r="S540" t="s">
        <v>1992</v>
      </c>
      <c r="T540" t="s">
        <v>61</v>
      </c>
      <c r="U540">
        <v>1.5144</v>
      </c>
      <c r="V540" t="s">
        <v>62</v>
      </c>
      <c r="W540">
        <v>0</v>
      </c>
      <c r="X540">
        <v>32.343000000000004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111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105</v>
      </c>
      <c r="AT540" t="s">
        <v>71</v>
      </c>
      <c r="AU540">
        <v>0</v>
      </c>
      <c r="AV540">
        <v>0</v>
      </c>
    </row>
    <row r="541" spans="1:48" x14ac:dyDescent="0.25">
      <c r="A541" t="s">
        <v>1993</v>
      </c>
      <c r="B541" t="s">
        <v>105</v>
      </c>
      <c r="C541" t="s">
        <v>50</v>
      </c>
      <c r="D541">
        <v>440132.54950000002</v>
      </c>
      <c r="E541">
        <v>1828002.8171999999</v>
      </c>
      <c r="F541">
        <v>33.735999999999997</v>
      </c>
      <c r="G541" t="s">
        <v>1994</v>
      </c>
      <c r="H541" t="s">
        <v>52</v>
      </c>
      <c r="I541">
        <v>33.735999999999997</v>
      </c>
      <c r="J541" t="s">
        <v>53</v>
      </c>
      <c r="K541">
        <v>0</v>
      </c>
      <c r="L541" t="s">
        <v>1968</v>
      </c>
      <c r="M541" t="s">
        <v>416</v>
      </c>
      <c r="N541">
        <v>0.15629999999999999</v>
      </c>
      <c r="O541" t="s">
        <v>56</v>
      </c>
      <c r="P541" t="s">
        <v>57</v>
      </c>
      <c r="Q541" t="s">
        <v>59</v>
      </c>
      <c r="R541" t="s">
        <v>109</v>
      </c>
      <c r="S541" t="s">
        <v>1995</v>
      </c>
      <c r="T541" t="s">
        <v>61</v>
      </c>
      <c r="U541">
        <v>1.514</v>
      </c>
      <c r="V541" t="s">
        <v>62</v>
      </c>
      <c r="W541">
        <v>0</v>
      </c>
      <c r="X541">
        <v>32.222000000000001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111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105</v>
      </c>
      <c r="AT541" t="s">
        <v>71</v>
      </c>
      <c r="AU541">
        <v>0</v>
      </c>
      <c r="AV541">
        <v>0</v>
      </c>
    </row>
    <row r="542" spans="1:48" x14ac:dyDescent="0.25">
      <c r="A542" t="s">
        <v>1996</v>
      </c>
      <c r="B542" t="s">
        <v>105</v>
      </c>
      <c r="C542" t="s">
        <v>50</v>
      </c>
      <c r="D542">
        <v>440132.54950000002</v>
      </c>
      <c r="E542">
        <v>1827982.8171999999</v>
      </c>
      <c r="F542">
        <v>33.613999999999997</v>
      </c>
      <c r="G542" t="s">
        <v>1997</v>
      </c>
      <c r="H542" t="s">
        <v>52</v>
      </c>
      <c r="I542">
        <v>33.613999999999997</v>
      </c>
      <c r="J542" t="s">
        <v>53</v>
      </c>
      <c r="K542">
        <v>0</v>
      </c>
      <c r="L542" t="s">
        <v>1968</v>
      </c>
      <c r="M542" t="s">
        <v>529</v>
      </c>
      <c r="N542">
        <v>0.1472</v>
      </c>
      <c r="O542" t="s">
        <v>56</v>
      </c>
      <c r="P542" t="s">
        <v>57</v>
      </c>
      <c r="Q542" t="s">
        <v>59</v>
      </c>
      <c r="R542" t="s">
        <v>109</v>
      </c>
      <c r="S542" t="s">
        <v>1998</v>
      </c>
      <c r="T542" t="s">
        <v>61</v>
      </c>
      <c r="U542">
        <v>1.5145</v>
      </c>
      <c r="V542" t="s">
        <v>62</v>
      </c>
      <c r="W542">
        <v>0</v>
      </c>
      <c r="X542">
        <v>32.1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111</v>
      </c>
      <c r="AG542" t="s">
        <v>65</v>
      </c>
      <c r="AH542" t="s">
        <v>65</v>
      </c>
      <c r="AI542" t="s">
        <v>67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105</v>
      </c>
      <c r="AT542" t="s">
        <v>71</v>
      </c>
      <c r="AU542">
        <v>0</v>
      </c>
      <c r="AV542">
        <v>0</v>
      </c>
    </row>
    <row r="543" spans="1:48" x14ac:dyDescent="0.25">
      <c r="A543" t="s">
        <v>1999</v>
      </c>
      <c r="B543" t="s">
        <v>105</v>
      </c>
      <c r="C543" t="s">
        <v>50</v>
      </c>
      <c r="D543">
        <v>440132.54950000002</v>
      </c>
      <c r="E543">
        <v>1827962.8171999999</v>
      </c>
      <c r="F543">
        <v>33.493000000000002</v>
      </c>
      <c r="G543" t="s">
        <v>2000</v>
      </c>
      <c r="H543" t="s">
        <v>52</v>
      </c>
      <c r="I543">
        <v>33.493000000000002</v>
      </c>
      <c r="J543" t="s">
        <v>53</v>
      </c>
      <c r="K543">
        <v>0</v>
      </c>
      <c r="L543" t="s">
        <v>1968</v>
      </c>
      <c r="M543" t="s">
        <v>525</v>
      </c>
      <c r="N543">
        <v>0.1381</v>
      </c>
      <c r="O543" t="s">
        <v>56</v>
      </c>
      <c r="P543" t="s">
        <v>57</v>
      </c>
      <c r="Q543" t="s">
        <v>59</v>
      </c>
      <c r="R543" t="s">
        <v>109</v>
      </c>
      <c r="S543" t="s">
        <v>2001</v>
      </c>
      <c r="T543" t="s">
        <v>61</v>
      </c>
      <c r="U543">
        <v>1.5089999999999999</v>
      </c>
      <c r="V543" t="s">
        <v>62</v>
      </c>
      <c r="W543">
        <v>0</v>
      </c>
      <c r="X543">
        <v>31.984000000000002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111</v>
      </c>
      <c r="AG543" t="s">
        <v>65</v>
      </c>
      <c r="AH543" t="s">
        <v>65</v>
      </c>
      <c r="AI543" t="s">
        <v>67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105</v>
      </c>
      <c r="AT543" t="s">
        <v>71</v>
      </c>
      <c r="AU543">
        <v>0</v>
      </c>
      <c r="AV543">
        <v>0</v>
      </c>
    </row>
    <row r="544" spans="1:48" x14ac:dyDescent="0.25">
      <c r="A544" t="s">
        <v>2002</v>
      </c>
      <c r="B544" t="s">
        <v>105</v>
      </c>
      <c r="C544" t="s">
        <v>50</v>
      </c>
      <c r="D544">
        <v>440132.54950000002</v>
      </c>
      <c r="E544">
        <v>1827942.8171999999</v>
      </c>
      <c r="F544">
        <v>33.375999999999998</v>
      </c>
      <c r="G544" t="s">
        <v>2003</v>
      </c>
      <c r="H544" t="s">
        <v>52</v>
      </c>
      <c r="I544">
        <v>33.375999999999998</v>
      </c>
      <c r="J544" t="s">
        <v>53</v>
      </c>
      <c r="K544">
        <v>0</v>
      </c>
      <c r="L544" t="s">
        <v>1968</v>
      </c>
      <c r="M544" t="s">
        <v>1444</v>
      </c>
      <c r="N544">
        <v>0.129</v>
      </c>
      <c r="O544" t="s">
        <v>56</v>
      </c>
      <c r="P544" t="s">
        <v>57</v>
      </c>
      <c r="Q544" t="s">
        <v>59</v>
      </c>
      <c r="R544" t="s">
        <v>109</v>
      </c>
      <c r="S544" t="s">
        <v>2004</v>
      </c>
      <c r="T544" t="s">
        <v>61</v>
      </c>
      <c r="U544">
        <v>1.4952000000000001</v>
      </c>
      <c r="V544" t="s">
        <v>62</v>
      </c>
      <c r="W544">
        <v>0</v>
      </c>
      <c r="X544">
        <v>31.881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111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105</v>
      </c>
      <c r="AT544" t="s">
        <v>71</v>
      </c>
      <c r="AU544">
        <v>0</v>
      </c>
      <c r="AV544">
        <v>0</v>
      </c>
    </row>
    <row r="545" spans="1:48" x14ac:dyDescent="0.25">
      <c r="A545" t="s">
        <v>2005</v>
      </c>
      <c r="B545" t="s">
        <v>105</v>
      </c>
      <c r="C545" t="s">
        <v>50</v>
      </c>
      <c r="D545">
        <v>440132.54950000002</v>
      </c>
      <c r="E545">
        <v>1827922.8171999999</v>
      </c>
      <c r="F545">
        <v>33.274000000000001</v>
      </c>
      <c r="G545" t="s">
        <v>2006</v>
      </c>
      <c r="H545" t="s">
        <v>52</v>
      </c>
      <c r="I545">
        <v>33.274000000000001</v>
      </c>
      <c r="J545" t="s">
        <v>53</v>
      </c>
      <c r="K545">
        <v>0</v>
      </c>
      <c r="L545" t="s">
        <v>1968</v>
      </c>
      <c r="M545" t="s">
        <v>1057</v>
      </c>
      <c r="N545">
        <v>0.11990000000000001</v>
      </c>
      <c r="O545" t="s">
        <v>56</v>
      </c>
      <c r="P545" t="s">
        <v>57</v>
      </c>
      <c r="Q545" t="s">
        <v>59</v>
      </c>
      <c r="R545" t="s">
        <v>109</v>
      </c>
      <c r="S545" t="s">
        <v>2007</v>
      </c>
      <c r="T545" t="s">
        <v>61</v>
      </c>
      <c r="U545">
        <v>1.48</v>
      </c>
      <c r="V545" t="s">
        <v>62</v>
      </c>
      <c r="W545">
        <v>0</v>
      </c>
      <c r="X545">
        <v>31.794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111</v>
      </c>
      <c r="AG545" t="s">
        <v>65</v>
      </c>
      <c r="AH545" t="s">
        <v>65</v>
      </c>
      <c r="AI545" t="s">
        <v>67</v>
      </c>
      <c r="AK545" t="s">
        <v>66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105</v>
      </c>
      <c r="AT545" t="s">
        <v>71</v>
      </c>
      <c r="AU545">
        <v>0</v>
      </c>
      <c r="AV545">
        <v>0</v>
      </c>
    </row>
    <row r="546" spans="1:48" x14ac:dyDescent="0.25">
      <c r="A546" t="s">
        <v>2008</v>
      </c>
      <c r="B546" t="s">
        <v>105</v>
      </c>
      <c r="C546" t="s">
        <v>50</v>
      </c>
      <c r="D546">
        <v>440132.54950000002</v>
      </c>
      <c r="E546">
        <v>1827902.8171999999</v>
      </c>
      <c r="F546">
        <v>33.186999999999998</v>
      </c>
      <c r="G546" t="s">
        <v>2009</v>
      </c>
      <c r="H546" t="s">
        <v>52</v>
      </c>
      <c r="I546">
        <v>33.186999999999998</v>
      </c>
      <c r="J546" t="s">
        <v>53</v>
      </c>
      <c r="K546">
        <v>0</v>
      </c>
      <c r="L546" t="s">
        <v>1968</v>
      </c>
      <c r="M546" t="s">
        <v>1061</v>
      </c>
      <c r="N546">
        <v>0.1108</v>
      </c>
      <c r="O546" t="s">
        <v>56</v>
      </c>
      <c r="P546" t="s">
        <v>57</v>
      </c>
      <c r="Q546" t="s">
        <v>59</v>
      </c>
      <c r="R546" t="s">
        <v>109</v>
      </c>
      <c r="S546" t="s">
        <v>2010</v>
      </c>
      <c r="T546" t="s">
        <v>61</v>
      </c>
      <c r="U546">
        <v>1.4646999999999999</v>
      </c>
      <c r="V546" t="s">
        <v>62</v>
      </c>
      <c r="W546">
        <v>0</v>
      </c>
      <c r="X546">
        <v>31.722000000000001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111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105</v>
      </c>
      <c r="AT546" t="s">
        <v>71</v>
      </c>
      <c r="AU546">
        <v>0</v>
      </c>
      <c r="AV546">
        <v>0</v>
      </c>
    </row>
    <row r="547" spans="1:48" x14ac:dyDescent="0.25">
      <c r="A547" t="s">
        <v>2011</v>
      </c>
      <c r="B547" t="s">
        <v>105</v>
      </c>
      <c r="C547" t="s">
        <v>50</v>
      </c>
      <c r="D547">
        <v>440132.54950000002</v>
      </c>
      <c r="E547">
        <v>1827882.8171999999</v>
      </c>
      <c r="F547">
        <v>33.113999999999997</v>
      </c>
      <c r="G547" t="s">
        <v>2012</v>
      </c>
      <c r="H547" t="s">
        <v>52</v>
      </c>
      <c r="I547">
        <v>33.113999999999997</v>
      </c>
      <c r="J547" t="s">
        <v>53</v>
      </c>
      <c r="K547">
        <v>0</v>
      </c>
      <c r="L547" t="s">
        <v>1968</v>
      </c>
      <c r="M547" t="s">
        <v>1065</v>
      </c>
      <c r="N547">
        <v>0.1017</v>
      </c>
      <c r="O547" t="s">
        <v>56</v>
      </c>
      <c r="P547" t="s">
        <v>57</v>
      </c>
      <c r="Q547" t="s">
        <v>59</v>
      </c>
      <c r="R547" t="s">
        <v>109</v>
      </c>
      <c r="S547" t="s">
        <v>2013</v>
      </c>
      <c r="T547" t="s">
        <v>61</v>
      </c>
      <c r="U547">
        <v>1.6164000000000001</v>
      </c>
      <c r="V547" t="s">
        <v>62</v>
      </c>
      <c r="W547">
        <v>0</v>
      </c>
      <c r="X547">
        <v>31.498000000000001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111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105</v>
      </c>
      <c r="AT547" t="s">
        <v>71</v>
      </c>
      <c r="AU547">
        <v>0</v>
      </c>
      <c r="AV547">
        <v>0</v>
      </c>
    </row>
    <row r="548" spans="1:48" x14ac:dyDescent="0.25">
      <c r="A548" t="s">
        <v>2014</v>
      </c>
      <c r="B548" t="s">
        <v>105</v>
      </c>
      <c r="C548" t="s">
        <v>50</v>
      </c>
      <c r="D548">
        <v>440132.54950000002</v>
      </c>
      <c r="E548">
        <v>1827864.1240999999</v>
      </c>
      <c r="F548">
        <v>32.89</v>
      </c>
      <c r="G548" t="s">
        <v>2015</v>
      </c>
      <c r="H548" t="s">
        <v>52</v>
      </c>
      <c r="I548">
        <v>32.89</v>
      </c>
      <c r="J548" t="s">
        <v>53</v>
      </c>
      <c r="K548">
        <v>0</v>
      </c>
      <c r="L548" t="s">
        <v>1968</v>
      </c>
      <c r="M548" t="s">
        <v>2016</v>
      </c>
      <c r="N548">
        <v>9.3100000000000002E-2</v>
      </c>
      <c r="O548" t="s">
        <v>56</v>
      </c>
      <c r="P548" t="s">
        <v>57</v>
      </c>
      <c r="Q548" t="s">
        <v>59</v>
      </c>
      <c r="R548" t="s">
        <v>109</v>
      </c>
      <c r="S548" t="s">
        <v>2017</v>
      </c>
      <c r="T548" t="s">
        <v>61</v>
      </c>
      <c r="U548">
        <v>1.5976999999999999</v>
      </c>
      <c r="V548" t="s">
        <v>62</v>
      </c>
      <c r="W548">
        <v>0</v>
      </c>
      <c r="X548">
        <v>31.292000000000002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111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105</v>
      </c>
      <c r="AT548" t="s">
        <v>71</v>
      </c>
      <c r="AU548">
        <v>0</v>
      </c>
      <c r="AV548">
        <v>0</v>
      </c>
    </row>
    <row r="549" spans="1:48" x14ac:dyDescent="0.25">
      <c r="A549" t="s">
        <v>2018</v>
      </c>
      <c r="B549" t="s">
        <v>105</v>
      </c>
      <c r="C549" t="s">
        <v>50</v>
      </c>
      <c r="D549">
        <v>440132.54950000002</v>
      </c>
      <c r="E549">
        <v>1827842.8171999999</v>
      </c>
      <c r="F549">
        <v>33.002000000000002</v>
      </c>
      <c r="G549" t="s">
        <v>2019</v>
      </c>
      <c r="H549" t="s">
        <v>52</v>
      </c>
      <c r="I549">
        <v>33.002000000000002</v>
      </c>
      <c r="J549" t="s">
        <v>53</v>
      </c>
      <c r="K549">
        <v>0</v>
      </c>
      <c r="L549" t="s">
        <v>1968</v>
      </c>
      <c r="M549" t="s">
        <v>853</v>
      </c>
      <c r="N549">
        <v>8.3400000000000002E-2</v>
      </c>
      <c r="O549" t="s">
        <v>56</v>
      </c>
      <c r="P549" t="s">
        <v>57</v>
      </c>
      <c r="Q549" t="s">
        <v>59</v>
      </c>
      <c r="R549" t="s">
        <v>109</v>
      </c>
      <c r="S549" t="s">
        <v>2020</v>
      </c>
      <c r="T549" t="s">
        <v>61</v>
      </c>
      <c r="U549">
        <v>1.732</v>
      </c>
      <c r="V549" t="s">
        <v>62</v>
      </c>
      <c r="W549">
        <v>0</v>
      </c>
      <c r="X549">
        <v>31.27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111</v>
      </c>
      <c r="AG549" t="s">
        <v>65</v>
      </c>
      <c r="AH549" t="s">
        <v>65</v>
      </c>
      <c r="AI549" t="s">
        <v>67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105</v>
      </c>
      <c r="AT549" t="s">
        <v>71</v>
      </c>
      <c r="AU549">
        <v>0</v>
      </c>
      <c r="AV549">
        <v>0</v>
      </c>
    </row>
    <row r="550" spans="1:48" x14ac:dyDescent="0.25">
      <c r="A550" t="s">
        <v>2021</v>
      </c>
      <c r="B550" t="s">
        <v>105</v>
      </c>
      <c r="C550" t="s">
        <v>50</v>
      </c>
      <c r="D550">
        <v>440132.54950000002</v>
      </c>
      <c r="E550">
        <v>1827822.8171999999</v>
      </c>
      <c r="F550">
        <v>32.948</v>
      </c>
      <c r="G550" t="s">
        <v>2022</v>
      </c>
      <c r="H550" t="s">
        <v>52</v>
      </c>
      <c r="I550">
        <v>32.948</v>
      </c>
      <c r="J550" t="s">
        <v>53</v>
      </c>
      <c r="K550">
        <v>0</v>
      </c>
      <c r="L550" t="s">
        <v>1968</v>
      </c>
      <c r="M550" t="s">
        <v>849</v>
      </c>
      <c r="N550">
        <v>7.4300000000000005E-2</v>
      </c>
      <c r="O550" t="s">
        <v>56</v>
      </c>
      <c r="P550" t="s">
        <v>57</v>
      </c>
      <c r="Q550" t="s">
        <v>59</v>
      </c>
      <c r="R550" t="s">
        <v>109</v>
      </c>
      <c r="S550" t="s">
        <v>2023</v>
      </c>
      <c r="T550" t="s">
        <v>61</v>
      </c>
      <c r="U550">
        <v>1.6977</v>
      </c>
      <c r="V550" t="s">
        <v>62</v>
      </c>
      <c r="W550">
        <v>0</v>
      </c>
      <c r="X550">
        <v>31.25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111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105</v>
      </c>
      <c r="AT550" t="s">
        <v>71</v>
      </c>
      <c r="AU550">
        <v>0</v>
      </c>
      <c r="AV550">
        <v>0</v>
      </c>
    </row>
    <row r="551" spans="1:48" x14ac:dyDescent="0.25">
      <c r="A551" t="s">
        <v>2024</v>
      </c>
      <c r="B551" t="s">
        <v>105</v>
      </c>
      <c r="C551" t="s">
        <v>50</v>
      </c>
      <c r="D551">
        <v>440132.54950000002</v>
      </c>
      <c r="E551">
        <v>1827802.8171999999</v>
      </c>
      <c r="F551">
        <v>32.893000000000001</v>
      </c>
      <c r="G551" t="s">
        <v>2025</v>
      </c>
      <c r="H551" t="s">
        <v>52</v>
      </c>
      <c r="I551">
        <v>32.893000000000001</v>
      </c>
      <c r="J551" t="s">
        <v>53</v>
      </c>
      <c r="K551">
        <v>0</v>
      </c>
      <c r="L551" t="s">
        <v>1968</v>
      </c>
      <c r="M551" t="s">
        <v>865</v>
      </c>
      <c r="N551">
        <v>6.5199999999999994E-2</v>
      </c>
      <c r="O551" t="s">
        <v>56</v>
      </c>
      <c r="P551" t="s">
        <v>57</v>
      </c>
      <c r="Q551" t="s">
        <v>59</v>
      </c>
      <c r="R551" t="s">
        <v>109</v>
      </c>
      <c r="S551" t="s">
        <v>2026</v>
      </c>
      <c r="T551" t="s">
        <v>61</v>
      </c>
      <c r="U551">
        <v>1.6633</v>
      </c>
      <c r="V551" t="s">
        <v>62</v>
      </c>
      <c r="W551">
        <v>0</v>
      </c>
      <c r="X551">
        <v>31.23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111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105</v>
      </c>
      <c r="AT551" t="s">
        <v>71</v>
      </c>
      <c r="AU551">
        <v>0</v>
      </c>
      <c r="AV551">
        <v>0</v>
      </c>
    </row>
    <row r="552" spans="1:48" x14ac:dyDescent="0.25">
      <c r="A552" t="s">
        <v>2027</v>
      </c>
      <c r="B552" t="s">
        <v>105</v>
      </c>
      <c r="C552" t="s">
        <v>50</v>
      </c>
      <c r="D552">
        <v>440132.54950000002</v>
      </c>
      <c r="E552">
        <v>1827782.8171999999</v>
      </c>
      <c r="F552">
        <v>32.838999999999999</v>
      </c>
      <c r="G552" t="s">
        <v>2028</v>
      </c>
      <c r="H552" t="s">
        <v>52</v>
      </c>
      <c r="I552">
        <v>32.838999999999999</v>
      </c>
      <c r="J552" t="s">
        <v>53</v>
      </c>
      <c r="K552">
        <v>0</v>
      </c>
      <c r="L552" t="s">
        <v>1968</v>
      </c>
      <c r="M552" t="s">
        <v>832</v>
      </c>
      <c r="N552">
        <v>5.6099999999999997E-2</v>
      </c>
      <c r="O552" t="s">
        <v>56</v>
      </c>
      <c r="P552" t="s">
        <v>57</v>
      </c>
      <c r="Q552" t="s">
        <v>59</v>
      </c>
      <c r="R552" t="s">
        <v>109</v>
      </c>
      <c r="S552" t="s">
        <v>2029</v>
      </c>
      <c r="T552" t="s">
        <v>61</v>
      </c>
      <c r="U552">
        <v>1.629</v>
      </c>
      <c r="V552" t="s">
        <v>62</v>
      </c>
      <c r="W552">
        <v>0</v>
      </c>
      <c r="X552">
        <v>31.21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111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105</v>
      </c>
      <c r="AT552" t="s">
        <v>71</v>
      </c>
      <c r="AU552">
        <v>0</v>
      </c>
      <c r="AV552">
        <v>0</v>
      </c>
    </row>
    <row r="553" spans="1:48" x14ac:dyDescent="0.25">
      <c r="A553" t="s">
        <v>2030</v>
      </c>
      <c r="B553" t="s">
        <v>105</v>
      </c>
      <c r="C553" t="s">
        <v>50</v>
      </c>
      <c r="D553">
        <v>440132.54950000002</v>
      </c>
      <c r="E553">
        <v>1827762.8171999999</v>
      </c>
      <c r="F553">
        <v>32.784999999999997</v>
      </c>
      <c r="G553" t="s">
        <v>2031</v>
      </c>
      <c r="H553" t="s">
        <v>52</v>
      </c>
      <c r="I553">
        <v>32.784999999999997</v>
      </c>
      <c r="J553" t="s">
        <v>53</v>
      </c>
      <c r="K553">
        <v>0</v>
      </c>
      <c r="L553" t="s">
        <v>1968</v>
      </c>
      <c r="M553" t="s">
        <v>824</v>
      </c>
      <c r="N553">
        <v>4.7E-2</v>
      </c>
      <c r="O553" t="s">
        <v>56</v>
      </c>
      <c r="P553" t="s">
        <v>57</v>
      </c>
      <c r="Q553" t="s">
        <v>59</v>
      </c>
      <c r="R553" t="s">
        <v>109</v>
      </c>
      <c r="S553" t="s">
        <v>2032</v>
      </c>
      <c r="T553" t="s">
        <v>61</v>
      </c>
      <c r="U553">
        <v>1.6027</v>
      </c>
      <c r="V553" t="s">
        <v>62</v>
      </c>
      <c r="W553">
        <v>0</v>
      </c>
      <c r="X553">
        <v>31.181999999999999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111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105</v>
      </c>
      <c r="AT553" t="s">
        <v>71</v>
      </c>
      <c r="AU553">
        <v>0</v>
      </c>
      <c r="AV553">
        <v>0</v>
      </c>
    </row>
    <row r="554" spans="1:48" x14ac:dyDescent="0.25">
      <c r="A554" t="s">
        <v>2033</v>
      </c>
      <c r="B554" t="s">
        <v>105</v>
      </c>
      <c r="C554" t="s">
        <v>50</v>
      </c>
      <c r="D554">
        <v>440132.54950000002</v>
      </c>
      <c r="E554">
        <v>1827742.8171999999</v>
      </c>
      <c r="F554">
        <v>32.729999999999997</v>
      </c>
      <c r="G554" t="s">
        <v>2034</v>
      </c>
      <c r="H554" t="s">
        <v>52</v>
      </c>
      <c r="I554">
        <v>32.729999999999997</v>
      </c>
      <c r="J554" t="s">
        <v>53</v>
      </c>
      <c r="K554">
        <v>0</v>
      </c>
      <c r="L554" t="s">
        <v>1968</v>
      </c>
      <c r="M554" t="s">
        <v>816</v>
      </c>
      <c r="N554">
        <v>3.7900000000000003E-2</v>
      </c>
      <c r="O554" t="s">
        <v>56</v>
      </c>
      <c r="P554" t="s">
        <v>57</v>
      </c>
      <c r="Q554" t="s">
        <v>59</v>
      </c>
      <c r="R554" t="s">
        <v>109</v>
      </c>
      <c r="S554" t="s">
        <v>2035</v>
      </c>
      <c r="T554" t="s">
        <v>61</v>
      </c>
      <c r="U554">
        <v>1.6024</v>
      </c>
      <c r="V554" t="s">
        <v>62</v>
      </c>
      <c r="W554">
        <v>0</v>
      </c>
      <c r="X554">
        <v>31.128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111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105</v>
      </c>
      <c r="AT554" t="s">
        <v>71</v>
      </c>
      <c r="AU554">
        <v>0</v>
      </c>
      <c r="AV554">
        <v>0</v>
      </c>
    </row>
    <row r="555" spans="1:48" x14ac:dyDescent="0.25">
      <c r="A555" t="s">
        <v>2036</v>
      </c>
      <c r="B555" t="s">
        <v>105</v>
      </c>
      <c r="C555" t="s">
        <v>50</v>
      </c>
      <c r="D555">
        <v>440132.54950000002</v>
      </c>
      <c r="E555">
        <v>1827722.8171999999</v>
      </c>
      <c r="F555">
        <v>32.676000000000002</v>
      </c>
      <c r="G555" t="s">
        <v>2037</v>
      </c>
      <c r="H555" t="s">
        <v>52</v>
      </c>
      <c r="I555">
        <v>32.676000000000002</v>
      </c>
      <c r="J555" t="s">
        <v>53</v>
      </c>
      <c r="K555">
        <v>0</v>
      </c>
      <c r="L555" t="s">
        <v>1968</v>
      </c>
      <c r="M555" t="s">
        <v>1479</v>
      </c>
      <c r="N555">
        <v>2.8799999999999999E-2</v>
      </c>
      <c r="O555" t="s">
        <v>56</v>
      </c>
      <c r="P555" t="s">
        <v>57</v>
      </c>
      <c r="Q555" t="s">
        <v>59</v>
      </c>
      <c r="R555" t="s">
        <v>109</v>
      </c>
      <c r="S555" t="s">
        <v>2038</v>
      </c>
      <c r="T555" t="s">
        <v>61</v>
      </c>
      <c r="U555">
        <v>1.6020000000000001</v>
      </c>
      <c r="V555" t="s">
        <v>62</v>
      </c>
      <c r="W555">
        <v>0</v>
      </c>
      <c r="X555">
        <v>31.074000000000002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111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105</v>
      </c>
      <c r="AT555" t="s">
        <v>71</v>
      </c>
      <c r="AU555">
        <v>0</v>
      </c>
      <c r="AV555">
        <v>0</v>
      </c>
    </row>
    <row r="556" spans="1:48" x14ac:dyDescent="0.25">
      <c r="A556" t="s">
        <v>2039</v>
      </c>
      <c r="B556" t="s">
        <v>105</v>
      </c>
      <c r="C556" t="s">
        <v>50</v>
      </c>
      <c r="D556">
        <v>440132.54950000002</v>
      </c>
      <c r="E556">
        <v>1827702.8171999999</v>
      </c>
      <c r="F556">
        <v>32.622</v>
      </c>
      <c r="G556" t="s">
        <v>2040</v>
      </c>
      <c r="H556" t="s">
        <v>52</v>
      </c>
      <c r="I556">
        <v>32.622</v>
      </c>
      <c r="J556" t="s">
        <v>53</v>
      </c>
      <c r="K556">
        <v>0</v>
      </c>
      <c r="L556" t="s">
        <v>1968</v>
      </c>
      <c r="M556" s="1" t="s">
        <v>1483</v>
      </c>
      <c r="N556">
        <v>1.9699999999999999E-2</v>
      </c>
      <c r="O556" t="s">
        <v>56</v>
      </c>
      <c r="P556" t="s">
        <v>57</v>
      </c>
      <c r="Q556" t="s">
        <v>59</v>
      </c>
      <c r="R556" t="s">
        <v>109</v>
      </c>
      <c r="S556" t="s">
        <v>2032</v>
      </c>
      <c r="T556" t="s">
        <v>61</v>
      </c>
      <c r="U556">
        <v>1.6027</v>
      </c>
      <c r="V556" t="s">
        <v>62</v>
      </c>
      <c r="W556">
        <v>0</v>
      </c>
      <c r="X556">
        <v>31.018999999999998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111</v>
      </c>
      <c r="AG556" t="s">
        <v>65</v>
      </c>
      <c r="AH556" t="s">
        <v>65</v>
      </c>
      <c r="AI556" t="s">
        <v>67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105</v>
      </c>
      <c r="AT556" t="s">
        <v>71</v>
      </c>
      <c r="AU556">
        <v>0</v>
      </c>
      <c r="AV556">
        <v>0</v>
      </c>
    </row>
    <row r="557" spans="1:48" x14ac:dyDescent="0.25">
      <c r="A557" t="s">
        <v>2041</v>
      </c>
      <c r="B557" t="s">
        <v>105</v>
      </c>
      <c r="C557" t="s">
        <v>50</v>
      </c>
      <c r="D557">
        <v>440132.54950000002</v>
      </c>
      <c r="E557">
        <v>1827682.8171999999</v>
      </c>
      <c r="F557">
        <v>32.567</v>
      </c>
      <c r="G557" t="s">
        <v>2042</v>
      </c>
      <c r="H557" t="s">
        <v>52</v>
      </c>
      <c r="I557">
        <v>32.567</v>
      </c>
      <c r="J557" t="s">
        <v>53</v>
      </c>
      <c r="K557">
        <v>0</v>
      </c>
      <c r="L557" t="s">
        <v>1968</v>
      </c>
      <c r="M557" t="s">
        <v>1487</v>
      </c>
      <c r="N557">
        <v>1.06E-2</v>
      </c>
      <c r="O557" t="s">
        <v>56</v>
      </c>
      <c r="P557" t="s">
        <v>57</v>
      </c>
      <c r="Q557" t="s">
        <v>59</v>
      </c>
      <c r="R557" t="s">
        <v>109</v>
      </c>
      <c r="S557" t="s">
        <v>2035</v>
      </c>
      <c r="T557" t="s">
        <v>61</v>
      </c>
      <c r="U557">
        <v>1.6024</v>
      </c>
      <c r="V557" t="s">
        <v>62</v>
      </c>
      <c r="W557">
        <v>0</v>
      </c>
      <c r="X557">
        <v>30.965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111</v>
      </c>
      <c r="AG557" t="s">
        <v>65</v>
      </c>
      <c r="AH557" t="s">
        <v>65</v>
      </c>
      <c r="AI557" t="s">
        <v>67</v>
      </c>
      <c r="AK557" t="s">
        <v>66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105</v>
      </c>
      <c r="AT557" t="s">
        <v>71</v>
      </c>
      <c r="AU557">
        <v>0</v>
      </c>
      <c r="AV557">
        <v>0</v>
      </c>
    </row>
    <row r="558" spans="1:48" x14ac:dyDescent="0.25">
      <c r="A558" t="s">
        <v>2043</v>
      </c>
      <c r="B558" t="s">
        <v>105</v>
      </c>
      <c r="C558" t="s">
        <v>50</v>
      </c>
      <c r="D558">
        <v>440132.54950000002</v>
      </c>
      <c r="E558">
        <v>1827662.8171999999</v>
      </c>
      <c r="F558">
        <v>32.512999999999998</v>
      </c>
      <c r="G558" t="s">
        <v>2044</v>
      </c>
      <c r="H558" t="s">
        <v>52</v>
      </c>
      <c r="I558">
        <v>32.512999999999998</v>
      </c>
      <c r="J558" t="s">
        <v>53</v>
      </c>
      <c r="K558">
        <v>0</v>
      </c>
      <c r="L558" t="s">
        <v>1968</v>
      </c>
      <c r="M558" t="s">
        <v>1491</v>
      </c>
      <c r="N558">
        <v>1.5E-3</v>
      </c>
      <c r="O558" t="s">
        <v>56</v>
      </c>
      <c r="P558" t="s">
        <v>57</v>
      </c>
      <c r="Q558" t="s">
        <v>59</v>
      </c>
      <c r="R558" t="s">
        <v>109</v>
      </c>
      <c r="S558" t="s">
        <v>2038</v>
      </c>
      <c r="T558" t="s">
        <v>61</v>
      </c>
      <c r="U558">
        <v>1.6020000000000001</v>
      </c>
      <c r="V558" t="s">
        <v>62</v>
      </c>
      <c r="W558">
        <v>0</v>
      </c>
      <c r="X558">
        <v>30.911000000000001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111</v>
      </c>
      <c r="AG558" t="s">
        <v>65</v>
      </c>
      <c r="AH558" t="s">
        <v>65</v>
      </c>
      <c r="AI558" t="s">
        <v>67</v>
      </c>
      <c r="AK558" t="s">
        <v>66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105</v>
      </c>
      <c r="AT558" t="s">
        <v>71</v>
      </c>
      <c r="AU558">
        <v>0</v>
      </c>
      <c r="AV558">
        <v>0</v>
      </c>
    </row>
    <row r="559" spans="1:48" x14ac:dyDescent="0.25">
      <c r="A559" t="s">
        <v>2045</v>
      </c>
      <c r="B559" t="s">
        <v>105</v>
      </c>
      <c r="C559" t="s">
        <v>50</v>
      </c>
      <c r="D559">
        <v>440132.54950000002</v>
      </c>
      <c r="E559">
        <v>1827642.8171999999</v>
      </c>
      <c r="F559">
        <v>32.459000000000003</v>
      </c>
      <c r="G559" t="s">
        <v>2046</v>
      </c>
      <c r="H559" t="s">
        <v>52</v>
      </c>
      <c r="I559">
        <v>32.459000000000003</v>
      </c>
      <c r="J559" t="s">
        <v>53</v>
      </c>
      <c r="K559">
        <v>0</v>
      </c>
      <c r="L559" t="s">
        <v>1968</v>
      </c>
      <c r="M559" t="s">
        <v>1495</v>
      </c>
      <c r="N559">
        <v>-7.6E-3</v>
      </c>
      <c r="O559" t="s">
        <v>56</v>
      </c>
      <c r="P559" t="s">
        <v>57</v>
      </c>
      <c r="Q559" t="s">
        <v>59</v>
      </c>
      <c r="R559" t="s">
        <v>109</v>
      </c>
      <c r="S559" t="s">
        <v>2047</v>
      </c>
      <c r="T559" t="s">
        <v>61</v>
      </c>
      <c r="U559">
        <v>1.6027</v>
      </c>
      <c r="V559" t="s">
        <v>62</v>
      </c>
      <c r="W559">
        <v>0</v>
      </c>
      <c r="X559">
        <v>30.856000000000002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111</v>
      </c>
      <c r="AG559" t="s">
        <v>65</v>
      </c>
      <c r="AH559" t="s">
        <v>65</v>
      </c>
      <c r="AI559" t="s">
        <v>67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105</v>
      </c>
      <c r="AT559" t="s">
        <v>71</v>
      </c>
      <c r="AU559">
        <v>0</v>
      </c>
      <c r="AV559">
        <v>0</v>
      </c>
    </row>
    <row r="560" spans="1:48" x14ac:dyDescent="0.25">
      <c r="A560" t="s">
        <v>2048</v>
      </c>
      <c r="B560" t="s">
        <v>105</v>
      </c>
      <c r="C560" t="s">
        <v>50</v>
      </c>
      <c r="D560">
        <v>440132.54950000002</v>
      </c>
      <c r="E560">
        <v>1827622.8171999999</v>
      </c>
      <c r="F560">
        <v>32.404000000000003</v>
      </c>
      <c r="G560" t="s">
        <v>2049</v>
      </c>
      <c r="H560" t="s">
        <v>52</v>
      </c>
      <c r="I560">
        <v>32.404000000000003</v>
      </c>
      <c r="J560" t="s">
        <v>53</v>
      </c>
      <c r="K560">
        <v>0</v>
      </c>
      <c r="L560" t="s">
        <v>1968</v>
      </c>
      <c r="M560" t="s">
        <v>575</v>
      </c>
      <c r="N560">
        <v>-1.67E-2</v>
      </c>
      <c r="O560" t="s">
        <v>56</v>
      </c>
      <c r="P560" t="s">
        <v>57</v>
      </c>
      <c r="Q560" t="s">
        <v>59</v>
      </c>
      <c r="R560" t="s">
        <v>109</v>
      </c>
      <c r="S560" t="s">
        <v>2050</v>
      </c>
      <c r="T560" t="s">
        <v>61</v>
      </c>
      <c r="U560">
        <v>1.6024</v>
      </c>
      <c r="V560" t="s">
        <v>62</v>
      </c>
      <c r="W560">
        <v>0</v>
      </c>
      <c r="X560">
        <v>30.802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111</v>
      </c>
      <c r="AG560" t="s">
        <v>65</v>
      </c>
      <c r="AH560" t="s">
        <v>65</v>
      </c>
      <c r="AI560" t="s">
        <v>67</v>
      </c>
      <c r="AK560" t="s">
        <v>66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105</v>
      </c>
      <c r="AT560" t="s">
        <v>71</v>
      </c>
      <c r="AU560">
        <v>0</v>
      </c>
      <c r="AV560">
        <v>0</v>
      </c>
    </row>
    <row r="561" spans="1:48" x14ac:dyDescent="0.25">
      <c r="A561" t="s">
        <v>2051</v>
      </c>
      <c r="B561" t="s">
        <v>105</v>
      </c>
      <c r="C561" t="s">
        <v>50</v>
      </c>
      <c r="D561">
        <v>440132.54950000002</v>
      </c>
      <c r="E561">
        <v>1827602.8171999999</v>
      </c>
      <c r="F561">
        <v>32.35</v>
      </c>
      <c r="G561" t="s">
        <v>2052</v>
      </c>
      <c r="H561" t="s">
        <v>52</v>
      </c>
      <c r="I561">
        <v>32.35</v>
      </c>
      <c r="J561" t="s">
        <v>53</v>
      </c>
      <c r="K561">
        <v>0</v>
      </c>
      <c r="L561" t="s">
        <v>1968</v>
      </c>
      <c r="M561" t="s">
        <v>571</v>
      </c>
      <c r="N561">
        <v>-2.58E-2</v>
      </c>
      <c r="O561" t="s">
        <v>56</v>
      </c>
      <c r="P561" t="s">
        <v>57</v>
      </c>
      <c r="Q561" t="s">
        <v>59</v>
      </c>
      <c r="R561" t="s">
        <v>109</v>
      </c>
      <c r="S561" t="s">
        <v>2053</v>
      </c>
      <c r="T561" t="s">
        <v>61</v>
      </c>
      <c r="U561">
        <v>1.6020000000000001</v>
      </c>
      <c r="V561" t="s">
        <v>62</v>
      </c>
      <c r="W561">
        <v>0</v>
      </c>
      <c r="X561">
        <v>30.748000000000001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111</v>
      </c>
      <c r="AG561" t="s">
        <v>65</v>
      </c>
      <c r="AH561" t="s">
        <v>65</v>
      </c>
      <c r="AI561" t="s">
        <v>67</v>
      </c>
      <c r="AK561" t="s">
        <v>66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105</v>
      </c>
      <c r="AT561" t="s">
        <v>71</v>
      </c>
      <c r="AU561">
        <v>0</v>
      </c>
      <c r="AV561">
        <v>0</v>
      </c>
    </row>
    <row r="562" spans="1:48" x14ac:dyDescent="0.25">
      <c r="A562" t="s">
        <v>2054</v>
      </c>
      <c r="B562" t="s">
        <v>105</v>
      </c>
      <c r="C562" t="s">
        <v>50</v>
      </c>
      <c r="D562">
        <v>440132.54950000002</v>
      </c>
      <c r="E562">
        <v>1827582.8171999999</v>
      </c>
      <c r="F562">
        <v>32.295999999999999</v>
      </c>
      <c r="G562" t="s">
        <v>2055</v>
      </c>
      <c r="H562" t="s">
        <v>52</v>
      </c>
      <c r="I562">
        <v>32.295999999999999</v>
      </c>
      <c r="J562" t="s">
        <v>53</v>
      </c>
      <c r="K562">
        <v>0</v>
      </c>
      <c r="L562" t="s">
        <v>1968</v>
      </c>
      <c r="M562" t="s">
        <v>567</v>
      </c>
      <c r="N562">
        <v>-3.49E-2</v>
      </c>
      <c r="O562" t="s">
        <v>56</v>
      </c>
      <c r="P562" t="s">
        <v>57</v>
      </c>
      <c r="Q562" t="s">
        <v>59</v>
      </c>
      <c r="R562" t="s">
        <v>109</v>
      </c>
      <c r="S562" t="s">
        <v>2056</v>
      </c>
      <c r="T562" t="s">
        <v>61</v>
      </c>
      <c r="U562">
        <v>1.6027</v>
      </c>
      <c r="V562" t="s">
        <v>62</v>
      </c>
      <c r="W562">
        <v>0</v>
      </c>
      <c r="X562">
        <v>30.693000000000001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111</v>
      </c>
      <c r="AG562" t="s">
        <v>65</v>
      </c>
      <c r="AH562" t="s">
        <v>65</v>
      </c>
      <c r="AI562" t="s">
        <v>67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105</v>
      </c>
      <c r="AT562" t="s">
        <v>71</v>
      </c>
      <c r="AU562">
        <v>0</v>
      </c>
      <c r="AV562">
        <v>0</v>
      </c>
    </row>
    <row r="563" spans="1:48" x14ac:dyDescent="0.25">
      <c r="A563" t="s">
        <v>2057</v>
      </c>
      <c r="B563" t="s">
        <v>105</v>
      </c>
      <c r="C563" t="s">
        <v>50</v>
      </c>
      <c r="D563">
        <v>440132.54950000002</v>
      </c>
      <c r="E563">
        <v>1827562.8171999999</v>
      </c>
      <c r="F563">
        <v>32.241</v>
      </c>
      <c r="G563" t="s">
        <v>2058</v>
      </c>
      <c r="H563" t="s">
        <v>52</v>
      </c>
      <c r="I563">
        <v>32.241</v>
      </c>
      <c r="J563" t="s">
        <v>53</v>
      </c>
      <c r="K563">
        <v>0</v>
      </c>
      <c r="L563" t="s">
        <v>1968</v>
      </c>
      <c r="M563" t="s">
        <v>563</v>
      </c>
      <c r="N563">
        <v>-4.3999999999999997E-2</v>
      </c>
      <c r="O563" t="s">
        <v>56</v>
      </c>
      <c r="P563" t="s">
        <v>57</v>
      </c>
      <c r="Q563" t="s">
        <v>59</v>
      </c>
      <c r="R563" t="s">
        <v>109</v>
      </c>
      <c r="S563" t="s">
        <v>2059</v>
      </c>
      <c r="T563" t="s">
        <v>61</v>
      </c>
      <c r="U563">
        <v>2.1503999999999999</v>
      </c>
      <c r="V563" t="s">
        <v>62</v>
      </c>
      <c r="W563">
        <v>0</v>
      </c>
      <c r="X563">
        <v>30.091000000000001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111</v>
      </c>
      <c r="AG563" t="s">
        <v>65</v>
      </c>
      <c r="AH563" t="s">
        <v>65</v>
      </c>
      <c r="AI563" t="s">
        <v>67</v>
      </c>
      <c r="AK563" t="s">
        <v>66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105</v>
      </c>
      <c r="AT563" t="s">
        <v>71</v>
      </c>
      <c r="AU563">
        <v>0</v>
      </c>
      <c r="AV563">
        <v>0</v>
      </c>
    </row>
    <row r="564" spans="1:48" x14ac:dyDescent="0.25">
      <c r="A564" t="s">
        <v>2060</v>
      </c>
      <c r="B564" t="s">
        <v>125</v>
      </c>
      <c r="C564" t="s">
        <v>50</v>
      </c>
      <c r="D564">
        <v>440132.49949999998</v>
      </c>
      <c r="E564">
        <v>1827550.3088</v>
      </c>
      <c r="F564">
        <v>31.954999999999998</v>
      </c>
      <c r="G564" t="s">
        <v>2061</v>
      </c>
      <c r="H564" t="s">
        <v>52</v>
      </c>
      <c r="I564">
        <v>31.954999999999998</v>
      </c>
      <c r="J564" t="s">
        <v>53</v>
      </c>
      <c r="K564">
        <v>0</v>
      </c>
      <c r="L564" t="s">
        <v>132</v>
      </c>
      <c r="M564" t="s">
        <v>2062</v>
      </c>
      <c r="N564">
        <v>0</v>
      </c>
      <c r="O564" t="s">
        <v>56</v>
      </c>
      <c r="P564" t="s">
        <v>57</v>
      </c>
      <c r="Q564" t="s">
        <v>109</v>
      </c>
      <c r="R564" t="s">
        <v>59</v>
      </c>
      <c r="S564" t="s">
        <v>2063</v>
      </c>
      <c r="T564" t="s">
        <v>61</v>
      </c>
      <c r="U564">
        <v>2.5554000000000001</v>
      </c>
      <c r="V564" t="s">
        <v>62</v>
      </c>
      <c r="W564">
        <v>0</v>
      </c>
      <c r="X564">
        <v>29.4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111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125</v>
      </c>
      <c r="AT564" t="s">
        <v>71</v>
      </c>
      <c r="AU564">
        <v>0</v>
      </c>
      <c r="AV564">
        <v>0</v>
      </c>
    </row>
    <row r="565" spans="1:48" x14ac:dyDescent="0.25">
      <c r="A565" t="s">
        <v>2064</v>
      </c>
      <c r="B565" t="s">
        <v>125</v>
      </c>
      <c r="C565" t="s">
        <v>50</v>
      </c>
      <c r="D565">
        <v>440170.02500000002</v>
      </c>
      <c r="E565">
        <v>1827550.2941999999</v>
      </c>
      <c r="F565">
        <v>31.742000000000001</v>
      </c>
      <c r="G565" t="s">
        <v>2065</v>
      </c>
      <c r="H565" t="s">
        <v>52</v>
      </c>
      <c r="I565">
        <v>31.742000000000001</v>
      </c>
      <c r="J565" t="s">
        <v>53</v>
      </c>
      <c r="K565">
        <v>0</v>
      </c>
      <c r="L565" t="s">
        <v>132</v>
      </c>
      <c r="M565" t="s">
        <v>2066</v>
      </c>
      <c r="N565">
        <v>-1.46E-2</v>
      </c>
      <c r="O565" t="s">
        <v>56</v>
      </c>
      <c r="P565" t="s">
        <v>57</v>
      </c>
      <c r="Q565" t="s">
        <v>109</v>
      </c>
      <c r="R565" t="s">
        <v>59</v>
      </c>
      <c r="S565" t="s">
        <v>2067</v>
      </c>
      <c r="T565" t="s">
        <v>61</v>
      </c>
      <c r="U565">
        <v>2.5266000000000002</v>
      </c>
      <c r="V565" t="s">
        <v>62</v>
      </c>
      <c r="W565">
        <v>0</v>
      </c>
      <c r="X565">
        <v>29.215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2068</v>
      </c>
      <c r="AK565" t="s">
        <v>111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125</v>
      </c>
      <c r="AT565" t="s">
        <v>71</v>
      </c>
      <c r="AU565">
        <v>0</v>
      </c>
      <c r="AV565">
        <v>0</v>
      </c>
    </row>
    <row r="566" spans="1:48" x14ac:dyDescent="0.25">
      <c r="A566" t="s">
        <v>2069</v>
      </c>
      <c r="B566" t="s">
        <v>2070</v>
      </c>
      <c r="C566" t="s">
        <v>50</v>
      </c>
      <c r="D566">
        <v>440184.57770000002</v>
      </c>
      <c r="E566">
        <v>1827564.8467999999</v>
      </c>
      <c r="F566">
        <v>31.652000000000001</v>
      </c>
      <c r="G566" t="s">
        <v>2071</v>
      </c>
      <c r="H566" t="s">
        <v>52</v>
      </c>
      <c r="I566">
        <v>31.652000000000001</v>
      </c>
      <c r="J566" t="s">
        <v>53</v>
      </c>
      <c r="K566">
        <v>0</v>
      </c>
      <c r="L566" t="s">
        <v>2072</v>
      </c>
      <c r="M566" t="s">
        <v>2073</v>
      </c>
      <c r="N566">
        <v>14.6378</v>
      </c>
      <c r="O566" t="s">
        <v>56</v>
      </c>
      <c r="P566" t="s">
        <v>57</v>
      </c>
      <c r="Q566" t="s">
        <v>109</v>
      </c>
      <c r="R566" t="s">
        <v>59</v>
      </c>
      <c r="S566" t="s">
        <v>2074</v>
      </c>
      <c r="T566" t="s">
        <v>61</v>
      </c>
      <c r="U566">
        <v>2.6482000000000001</v>
      </c>
      <c r="V566" t="s">
        <v>62</v>
      </c>
      <c r="W566">
        <v>0</v>
      </c>
      <c r="X566">
        <v>29.004000000000001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2068</v>
      </c>
      <c r="AK566" t="s">
        <v>111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125</v>
      </c>
      <c r="AT566" t="s">
        <v>71</v>
      </c>
      <c r="AU566">
        <v>0</v>
      </c>
      <c r="AV566">
        <v>0</v>
      </c>
    </row>
    <row r="567" spans="1:48" x14ac:dyDescent="0.25">
      <c r="A567" t="s">
        <v>2075</v>
      </c>
      <c r="B567" t="s">
        <v>125</v>
      </c>
      <c r="C567" t="s">
        <v>50</v>
      </c>
      <c r="D567">
        <v>440198.91210000002</v>
      </c>
      <c r="E567">
        <v>1827579.1812</v>
      </c>
      <c r="F567">
        <v>31.443999999999999</v>
      </c>
      <c r="G567" t="s">
        <v>2076</v>
      </c>
      <c r="H567" t="s">
        <v>52</v>
      </c>
      <c r="I567">
        <v>31.443999999999999</v>
      </c>
      <c r="J567" t="s">
        <v>53</v>
      </c>
      <c r="K567">
        <v>0</v>
      </c>
      <c r="L567" t="s">
        <v>146</v>
      </c>
      <c r="M567" t="s">
        <v>2077</v>
      </c>
      <c r="N567">
        <v>-1.24E-2</v>
      </c>
      <c r="O567" t="s">
        <v>56</v>
      </c>
      <c r="P567" t="s">
        <v>57</v>
      </c>
      <c r="Q567" t="s">
        <v>109</v>
      </c>
      <c r="R567" t="s">
        <v>59</v>
      </c>
      <c r="S567" t="s">
        <v>2078</v>
      </c>
      <c r="T567" t="s">
        <v>61</v>
      </c>
      <c r="U567">
        <v>3.407</v>
      </c>
      <c r="V567" t="s">
        <v>1033</v>
      </c>
      <c r="W567">
        <v>0</v>
      </c>
      <c r="X567">
        <v>28.036999999999999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2079</v>
      </c>
      <c r="AK567" t="s">
        <v>111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125</v>
      </c>
      <c r="AT567" t="s">
        <v>71</v>
      </c>
      <c r="AU567">
        <v>0</v>
      </c>
      <c r="AV567">
        <v>0</v>
      </c>
    </row>
    <row r="568" spans="1:48" x14ac:dyDescent="0.25">
      <c r="A568" t="s">
        <v>2080</v>
      </c>
      <c r="B568" t="s">
        <v>125</v>
      </c>
      <c r="C568" t="s">
        <v>50</v>
      </c>
      <c r="D568">
        <v>440217.54590000003</v>
      </c>
      <c r="E568">
        <v>1827579.1728000001</v>
      </c>
      <c r="F568">
        <v>31.443999999999999</v>
      </c>
      <c r="G568" t="s">
        <v>2081</v>
      </c>
      <c r="H568" t="s">
        <v>52</v>
      </c>
      <c r="I568">
        <v>31.443999999999999</v>
      </c>
      <c r="J568" t="s">
        <v>53</v>
      </c>
      <c r="K568">
        <v>0</v>
      </c>
      <c r="L568" t="s">
        <v>151</v>
      </c>
      <c r="M568" t="s">
        <v>2082</v>
      </c>
      <c r="N568">
        <v>-4.5699999999999998E-2</v>
      </c>
      <c r="O568" t="s">
        <v>56</v>
      </c>
      <c r="P568" t="s">
        <v>57</v>
      </c>
      <c r="Q568" t="s">
        <v>109</v>
      </c>
      <c r="R568" t="s">
        <v>59</v>
      </c>
      <c r="S568" t="s">
        <v>2083</v>
      </c>
      <c r="T568" t="s">
        <v>61</v>
      </c>
      <c r="U568">
        <v>4.0721999999999996</v>
      </c>
      <c r="V568" t="s">
        <v>1033</v>
      </c>
      <c r="W568">
        <v>0</v>
      </c>
      <c r="X568">
        <v>27.372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2084</v>
      </c>
      <c r="AK568" t="s">
        <v>111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125</v>
      </c>
      <c r="AT568" t="s">
        <v>71</v>
      </c>
      <c r="AU568">
        <v>0</v>
      </c>
      <c r="AV568">
        <v>0</v>
      </c>
    </row>
    <row r="569" spans="1:48" x14ac:dyDescent="0.25">
      <c r="A569" t="s">
        <v>2085</v>
      </c>
      <c r="B569" t="s">
        <v>125</v>
      </c>
      <c r="C569" t="s">
        <v>50</v>
      </c>
      <c r="D569">
        <v>440231.88059999997</v>
      </c>
      <c r="E569">
        <v>1827564.8381000001</v>
      </c>
      <c r="F569">
        <v>31.57</v>
      </c>
      <c r="G569" t="s">
        <v>2086</v>
      </c>
      <c r="H569" t="s">
        <v>52</v>
      </c>
      <c r="I569">
        <v>31.57</v>
      </c>
      <c r="J569" t="s">
        <v>53</v>
      </c>
      <c r="K569">
        <v>0</v>
      </c>
      <c r="L569" t="s">
        <v>2072</v>
      </c>
      <c r="M569" t="s">
        <v>2087</v>
      </c>
      <c r="N569">
        <v>14.553599999999999</v>
      </c>
      <c r="O569" t="s">
        <v>56</v>
      </c>
      <c r="P569" t="s">
        <v>57</v>
      </c>
      <c r="Q569" t="s">
        <v>109</v>
      </c>
      <c r="R569" t="s">
        <v>59</v>
      </c>
      <c r="S569" t="s">
        <v>2088</v>
      </c>
      <c r="T569" t="s">
        <v>61</v>
      </c>
      <c r="U569">
        <v>4.2203999999999997</v>
      </c>
      <c r="V569" t="s">
        <v>1033</v>
      </c>
      <c r="W569">
        <v>2E-3</v>
      </c>
      <c r="X569">
        <v>27.35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2089</v>
      </c>
      <c r="AK569" t="s">
        <v>111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125</v>
      </c>
      <c r="AT569" t="s">
        <v>71</v>
      </c>
      <c r="AU569">
        <v>0</v>
      </c>
      <c r="AV569">
        <v>0</v>
      </c>
    </row>
    <row r="570" spans="1:48" x14ac:dyDescent="0.25">
      <c r="A570" t="s">
        <v>2090</v>
      </c>
      <c r="B570" t="s">
        <v>125</v>
      </c>
      <c r="C570" t="s">
        <v>50</v>
      </c>
      <c r="D570">
        <v>440246.40010000003</v>
      </c>
      <c r="E570">
        <v>1827550.3285000001</v>
      </c>
      <c r="F570">
        <v>31.312999999999999</v>
      </c>
      <c r="G570" t="s">
        <v>2091</v>
      </c>
      <c r="H570" t="s">
        <v>52</v>
      </c>
      <c r="I570">
        <v>31.312999999999999</v>
      </c>
      <c r="J570" t="s">
        <v>53</v>
      </c>
      <c r="K570">
        <v>0</v>
      </c>
      <c r="L570" t="s">
        <v>180</v>
      </c>
      <c r="M570" t="s">
        <v>2092</v>
      </c>
      <c r="N570">
        <v>-0.20530000000000001</v>
      </c>
      <c r="O570" t="s">
        <v>56</v>
      </c>
      <c r="P570" t="s">
        <v>57</v>
      </c>
      <c r="Q570" t="s">
        <v>109</v>
      </c>
      <c r="R570" t="s">
        <v>59</v>
      </c>
      <c r="S570" t="s">
        <v>2093</v>
      </c>
      <c r="T570" t="s">
        <v>61</v>
      </c>
      <c r="U570">
        <v>3.9843000000000002</v>
      </c>
      <c r="V570" t="s">
        <v>62</v>
      </c>
      <c r="W570">
        <v>0</v>
      </c>
      <c r="X570">
        <v>27.329000000000001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2094</v>
      </c>
      <c r="AK570" t="s">
        <v>111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125</v>
      </c>
      <c r="AT570" t="s">
        <v>71</v>
      </c>
      <c r="AU570">
        <v>0</v>
      </c>
      <c r="AV570">
        <v>0</v>
      </c>
    </row>
    <row r="571" spans="1:48" x14ac:dyDescent="0.25">
      <c r="A571" t="s">
        <v>2095</v>
      </c>
      <c r="B571" t="s">
        <v>125</v>
      </c>
      <c r="C571" t="s">
        <v>50</v>
      </c>
      <c r="D571">
        <v>440260.25550000003</v>
      </c>
      <c r="E571">
        <v>1827550.3088</v>
      </c>
      <c r="F571">
        <v>31.236000000000001</v>
      </c>
      <c r="G571" t="s">
        <v>2096</v>
      </c>
      <c r="H571" t="s">
        <v>52</v>
      </c>
      <c r="I571">
        <v>31.236000000000001</v>
      </c>
      <c r="J571" t="s">
        <v>53</v>
      </c>
      <c r="K571">
        <v>0</v>
      </c>
      <c r="L571" t="s">
        <v>180</v>
      </c>
      <c r="M571" t="s">
        <v>2097</v>
      </c>
      <c r="N571">
        <v>-0.22500000000000001</v>
      </c>
      <c r="O571" t="s">
        <v>56</v>
      </c>
      <c r="P571" t="s">
        <v>57</v>
      </c>
      <c r="Q571" t="s">
        <v>109</v>
      </c>
      <c r="R571" t="s">
        <v>59</v>
      </c>
      <c r="S571" t="s">
        <v>2098</v>
      </c>
      <c r="T571" t="s">
        <v>61</v>
      </c>
      <c r="U571">
        <v>3.9211</v>
      </c>
      <c r="V571" t="s">
        <v>62</v>
      </c>
      <c r="W571">
        <v>0</v>
      </c>
      <c r="X571">
        <v>27.315000000000001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111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125</v>
      </c>
      <c r="AT571" t="s">
        <v>71</v>
      </c>
      <c r="AU571">
        <v>0</v>
      </c>
      <c r="AV571">
        <v>0</v>
      </c>
    </row>
    <row r="572" spans="1:48" x14ac:dyDescent="0.25">
      <c r="A572" t="s">
        <v>2099</v>
      </c>
      <c r="B572" t="s">
        <v>125</v>
      </c>
      <c r="C572" t="s">
        <v>50</v>
      </c>
      <c r="D572">
        <v>440280.25550000003</v>
      </c>
      <c r="E572">
        <v>1827550.3088</v>
      </c>
      <c r="F572">
        <v>31.125</v>
      </c>
      <c r="G572" t="s">
        <v>2100</v>
      </c>
      <c r="H572" t="s">
        <v>52</v>
      </c>
      <c r="I572">
        <v>31.125</v>
      </c>
      <c r="J572" t="s">
        <v>53</v>
      </c>
      <c r="K572">
        <v>0</v>
      </c>
      <c r="L572" t="s">
        <v>180</v>
      </c>
      <c r="M572" t="s">
        <v>2101</v>
      </c>
      <c r="N572">
        <v>-0.22500000000000001</v>
      </c>
      <c r="O572" t="s">
        <v>56</v>
      </c>
      <c r="P572" t="s">
        <v>57</v>
      </c>
      <c r="Q572" t="s">
        <v>109</v>
      </c>
      <c r="R572" t="s">
        <v>59</v>
      </c>
      <c r="S572" t="s">
        <v>2102</v>
      </c>
      <c r="T572" t="s">
        <v>61</v>
      </c>
      <c r="U572">
        <v>3.8302</v>
      </c>
      <c r="V572" t="s">
        <v>62</v>
      </c>
      <c r="W572">
        <v>0</v>
      </c>
      <c r="X572">
        <v>27.295000000000002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66</v>
      </c>
      <c r="AG572" t="s">
        <v>65</v>
      </c>
      <c r="AH572" t="s">
        <v>65</v>
      </c>
      <c r="AI572" t="s">
        <v>67</v>
      </c>
      <c r="AK572" t="s">
        <v>111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125</v>
      </c>
      <c r="AT572" t="s">
        <v>71</v>
      </c>
      <c r="AU572">
        <v>0</v>
      </c>
      <c r="AV572">
        <v>0</v>
      </c>
    </row>
    <row r="573" spans="1:48" x14ac:dyDescent="0.25">
      <c r="A573" t="s">
        <v>2103</v>
      </c>
      <c r="B573" t="s">
        <v>125</v>
      </c>
      <c r="C573" t="s">
        <v>50</v>
      </c>
      <c r="D573">
        <v>440300.25550000003</v>
      </c>
      <c r="E573">
        <v>1827550.3088</v>
      </c>
      <c r="F573">
        <v>31.013999999999999</v>
      </c>
      <c r="G573" t="s">
        <v>2104</v>
      </c>
      <c r="H573" t="s">
        <v>52</v>
      </c>
      <c r="I573">
        <v>31.013999999999999</v>
      </c>
      <c r="J573" t="s">
        <v>53</v>
      </c>
      <c r="K573">
        <v>0</v>
      </c>
      <c r="L573" t="s">
        <v>180</v>
      </c>
      <c r="M573" t="s">
        <v>902</v>
      </c>
      <c r="N573">
        <v>-0.22500000000000001</v>
      </c>
      <c r="O573" t="s">
        <v>56</v>
      </c>
      <c r="P573" t="s">
        <v>57</v>
      </c>
      <c r="Q573" t="s">
        <v>109</v>
      </c>
      <c r="R573" t="s">
        <v>59</v>
      </c>
      <c r="S573" t="s">
        <v>2105</v>
      </c>
      <c r="T573" t="s">
        <v>61</v>
      </c>
      <c r="U573">
        <v>3.7393000000000001</v>
      </c>
      <c r="V573" t="s">
        <v>62</v>
      </c>
      <c r="W573">
        <v>0</v>
      </c>
      <c r="X573">
        <v>27.274999999999999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111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125</v>
      </c>
      <c r="AT573" t="s">
        <v>71</v>
      </c>
      <c r="AU573">
        <v>0</v>
      </c>
      <c r="AV573">
        <v>0</v>
      </c>
    </row>
    <row r="574" spans="1:48" x14ac:dyDescent="0.25">
      <c r="A574" t="s">
        <v>2106</v>
      </c>
      <c r="B574" t="s">
        <v>125</v>
      </c>
      <c r="C574" t="s">
        <v>50</v>
      </c>
      <c r="D574">
        <v>440259.1519</v>
      </c>
      <c r="E574">
        <v>1827810.2498000001</v>
      </c>
      <c r="F574">
        <v>31.844000000000001</v>
      </c>
      <c r="G574" t="s">
        <v>2107</v>
      </c>
      <c r="H574" t="s">
        <v>52</v>
      </c>
      <c r="I574">
        <v>31.844000000000001</v>
      </c>
      <c r="J574" t="s">
        <v>53</v>
      </c>
      <c r="K574">
        <v>0</v>
      </c>
      <c r="L574" t="s">
        <v>2108</v>
      </c>
      <c r="M574" t="s">
        <v>2109</v>
      </c>
      <c r="N574">
        <v>0.20419999999999999</v>
      </c>
      <c r="O574" t="s">
        <v>56</v>
      </c>
      <c r="P574" t="s">
        <v>57</v>
      </c>
      <c r="Q574" t="s">
        <v>109</v>
      </c>
      <c r="R574" t="s">
        <v>59</v>
      </c>
      <c r="S574" t="s">
        <v>2110</v>
      </c>
      <c r="T574" t="s">
        <v>61</v>
      </c>
      <c r="U574">
        <v>1.4481999999999999</v>
      </c>
      <c r="V574" t="s">
        <v>62</v>
      </c>
      <c r="W574">
        <v>0</v>
      </c>
      <c r="X574">
        <v>30.396000000000001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111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125</v>
      </c>
      <c r="AT574" t="s">
        <v>71</v>
      </c>
      <c r="AU574">
        <v>0</v>
      </c>
      <c r="AV574">
        <v>0</v>
      </c>
    </row>
    <row r="575" spans="1:48" x14ac:dyDescent="0.25">
      <c r="A575" t="s">
        <v>2111</v>
      </c>
      <c r="B575" t="s">
        <v>125</v>
      </c>
      <c r="C575" t="s">
        <v>50</v>
      </c>
      <c r="D575">
        <v>440279.1519</v>
      </c>
      <c r="E575">
        <v>1827810.2498000001</v>
      </c>
      <c r="F575">
        <v>31.815000000000001</v>
      </c>
      <c r="G575" t="s">
        <v>2112</v>
      </c>
      <c r="H575" t="s">
        <v>52</v>
      </c>
      <c r="I575">
        <v>31.815000000000001</v>
      </c>
      <c r="J575" t="s">
        <v>53</v>
      </c>
      <c r="K575">
        <v>0</v>
      </c>
      <c r="L575" t="s">
        <v>2108</v>
      </c>
      <c r="M575" t="s">
        <v>2113</v>
      </c>
      <c r="N575">
        <v>0.20419999999999999</v>
      </c>
      <c r="O575" t="s">
        <v>56</v>
      </c>
      <c r="P575" t="s">
        <v>57</v>
      </c>
      <c r="Q575" t="s">
        <v>109</v>
      </c>
      <c r="R575" t="s">
        <v>59</v>
      </c>
      <c r="S575" t="s">
        <v>2114</v>
      </c>
      <c r="T575" t="s">
        <v>61</v>
      </c>
      <c r="U575">
        <v>1.6359999999999999</v>
      </c>
      <c r="V575" t="s">
        <v>62</v>
      </c>
      <c r="W575">
        <v>0</v>
      </c>
      <c r="X575">
        <v>30.178999999999998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111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125</v>
      </c>
      <c r="AT575" t="s">
        <v>71</v>
      </c>
      <c r="AU575">
        <v>0</v>
      </c>
      <c r="AV575">
        <v>0</v>
      </c>
    </row>
    <row r="576" spans="1:48" x14ac:dyDescent="0.25">
      <c r="A576" t="s">
        <v>2115</v>
      </c>
      <c r="B576" t="s">
        <v>125</v>
      </c>
      <c r="C576" t="s">
        <v>50</v>
      </c>
      <c r="D576">
        <v>440299.1519</v>
      </c>
      <c r="E576">
        <v>1827810.2498000001</v>
      </c>
      <c r="F576">
        <v>31.571000000000002</v>
      </c>
      <c r="G576" t="s">
        <v>2116</v>
      </c>
      <c r="H576" t="s">
        <v>52</v>
      </c>
      <c r="I576">
        <v>31.571000000000002</v>
      </c>
      <c r="J576" t="s">
        <v>53</v>
      </c>
      <c r="K576">
        <v>0</v>
      </c>
      <c r="L576" t="s">
        <v>2108</v>
      </c>
      <c r="M576" t="s">
        <v>2117</v>
      </c>
      <c r="N576">
        <v>0.20419999999999999</v>
      </c>
      <c r="O576" t="s">
        <v>56</v>
      </c>
      <c r="P576" t="s">
        <v>57</v>
      </c>
      <c r="Q576" t="s">
        <v>109</v>
      </c>
      <c r="R576" t="s">
        <v>59</v>
      </c>
      <c r="S576" t="s">
        <v>2118</v>
      </c>
      <c r="T576" t="s">
        <v>61</v>
      </c>
      <c r="U576">
        <v>1.7581</v>
      </c>
      <c r="V576" t="s">
        <v>62</v>
      </c>
      <c r="W576">
        <v>0</v>
      </c>
      <c r="X576">
        <v>29.812999999999999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111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125</v>
      </c>
      <c r="AT576" t="s">
        <v>71</v>
      </c>
      <c r="AU576">
        <v>0</v>
      </c>
      <c r="AV576">
        <v>0</v>
      </c>
    </row>
    <row r="577" spans="1:48" x14ac:dyDescent="0.25">
      <c r="A577" t="s">
        <v>2119</v>
      </c>
      <c r="B577" t="s">
        <v>125</v>
      </c>
      <c r="C577" t="s">
        <v>50</v>
      </c>
      <c r="D577">
        <v>440314.30190000002</v>
      </c>
      <c r="E577">
        <v>1827810.2498000001</v>
      </c>
      <c r="F577">
        <v>31.236999999999998</v>
      </c>
      <c r="G577" t="s">
        <v>2120</v>
      </c>
      <c r="H577" t="s">
        <v>52</v>
      </c>
      <c r="I577">
        <v>31.236999999999998</v>
      </c>
      <c r="J577" t="s">
        <v>53</v>
      </c>
      <c r="K577">
        <v>0</v>
      </c>
      <c r="L577" t="s">
        <v>2108</v>
      </c>
      <c r="M577" t="s">
        <v>2121</v>
      </c>
      <c r="N577">
        <v>0.20419999999999999</v>
      </c>
      <c r="O577" t="s">
        <v>56</v>
      </c>
      <c r="P577" t="s">
        <v>57</v>
      </c>
      <c r="Q577" t="s">
        <v>109</v>
      </c>
      <c r="R577" t="s">
        <v>59</v>
      </c>
      <c r="S577" t="s">
        <v>2122</v>
      </c>
      <c r="T577" t="s">
        <v>61</v>
      </c>
      <c r="U577">
        <v>1.4714</v>
      </c>
      <c r="V577" t="s">
        <v>62</v>
      </c>
      <c r="W577">
        <v>0</v>
      </c>
      <c r="X577">
        <v>29.765999999999998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111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125</v>
      </c>
      <c r="AT577" t="s">
        <v>71</v>
      </c>
      <c r="AU577">
        <v>0</v>
      </c>
      <c r="AV577">
        <v>0</v>
      </c>
    </row>
    <row r="578" spans="1:48" x14ac:dyDescent="0.25">
      <c r="A578" t="s">
        <v>2123</v>
      </c>
      <c r="B578" t="s">
        <v>73</v>
      </c>
      <c r="C578" t="s">
        <v>50</v>
      </c>
      <c r="D578">
        <v>440314.42489999998</v>
      </c>
      <c r="E578">
        <v>1827795.5748000001</v>
      </c>
      <c r="F578">
        <v>31.228000000000002</v>
      </c>
      <c r="G578" t="s">
        <v>2124</v>
      </c>
      <c r="H578" t="s">
        <v>52</v>
      </c>
      <c r="I578">
        <v>31.228000000000002</v>
      </c>
      <c r="J578" t="s">
        <v>53</v>
      </c>
      <c r="K578">
        <v>0</v>
      </c>
      <c r="L578" t="s">
        <v>156</v>
      </c>
      <c r="M578" t="s">
        <v>452</v>
      </c>
      <c r="N578">
        <v>-0.123</v>
      </c>
      <c r="O578" t="s">
        <v>56</v>
      </c>
      <c r="P578" t="s">
        <v>57</v>
      </c>
      <c r="Q578" t="s">
        <v>59</v>
      </c>
      <c r="R578" t="s">
        <v>58</v>
      </c>
      <c r="S578" t="s">
        <v>2125</v>
      </c>
      <c r="T578" t="s">
        <v>61</v>
      </c>
      <c r="U578">
        <v>1.7292000000000001</v>
      </c>
      <c r="V578" t="s">
        <v>62</v>
      </c>
      <c r="W578">
        <v>0</v>
      </c>
      <c r="X578">
        <v>29.498999999999999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73</v>
      </c>
      <c r="AT578" t="s">
        <v>71</v>
      </c>
      <c r="AU578">
        <v>0</v>
      </c>
      <c r="AV578">
        <v>0</v>
      </c>
    </row>
    <row r="579" spans="1:48" x14ac:dyDescent="0.25">
      <c r="A579" t="s">
        <v>2126</v>
      </c>
      <c r="B579" t="s">
        <v>73</v>
      </c>
      <c r="C579" t="s">
        <v>50</v>
      </c>
      <c r="D579">
        <v>440314.42489999998</v>
      </c>
      <c r="E579">
        <v>1827775.5748000001</v>
      </c>
      <c r="F579">
        <v>31.151</v>
      </c>
      <c r="G579" t="s">
        <v>2127</v>
      </c>
      <c r="H579" t="s">
        <v>52</v>
      </c>
      <c r="I579">
        <v>31.151</v>
      </c>
      <c r="J579" t="s">
        <v>53</v>
      </c>
      <c r="K579">
        <v>0</v>
      </c>
      <c r="L579" t="s">
        <v>156</v>
      </c>
      <c r="M579" t="s">
        <v>448</v>
      </c>
      <c r="N579">
        <v>-0.123</v>
      </c>
      <c r="O579" t="s">
        <v>56</v>
      </c>
      <c r="P579" t="s">
        <v>57</v>
      </c>
      <c r="Q579" t="s">
        <v>59</v>
      </c>
      <c r="R579" t="s">
        <v>58</v>
      </c>
      <c r="S579" t="s">
        <v>2128</v>
      </c>
      <c r="T579" t="s">
        <v>61</v>
      </c>
      <c r="U579">
        <v>1.7194</v>
      </c>
      <c r="V579" t="s">
        <v>62</v>
      </c>
      <c r="W579">
        <v>0</v>
      </c>
      <c r="X579">
        <v>29.431999999999999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73</v>
      </c>
      <c r="AT579" t="s">
        <v>71</v>
      </c>
      <c r="AU579">
        <v>0</v>
      </c>
      <c r="AV579">
        <v>0</v>
      </c>
    </row>
    <row r="580" spans="1:48" x14ac:dyDescent="0.25">
      <c r="A580" t="s">
        <v>2129</v>
      </c>
      <c r="B580" t="s">
        <v>73</v>
      </c>
      <c r="C580" t="s">
        <v>50</v>
      </c>
      <c r="D580">
        <v>440314.42489999998</v>
      </c>
      <c r="E580">
        <v>1827757.6794</v>
      </c>
      <c r="F580">
        <v>31.082999999999998</v>
      </c>
      <c r="G580" t="s">
        <v>2130</v>
      </c>
      <c r="H580" t="s">
        <v>52</v>
      </c>
      <c r="I580">
        <v>31.082999999999998</v>
      </c>
      <c r="J580" t="s">
        <v>53</v>
      </c>
      <c r="K580">
        <v>0</v>
      </c>
      <c r="L580" t="s">
        <v>156</v>
      </c>
      <c r="M580" t="s">
        <v>2131</v>
      </c>
      <c r="N580">
        <v>-0.123</v>
      </c>
      <c r="O580" t="s">
        <v>56</v>
      </c>
      <c r="P580" t="s">
        <v>57</v>
      </c>
      <c r="Q580" t="s">
        <v>59</v>
      </c>
      <c r="R580" t="s">
        <v>58</v>
      </c>
      <c r="S580" t="s">
        <v>2132</v>
      </c>
      <c r="T580" t="s">
        <v>61</v>
      </c>
      <c r="U580">
        <v>1.7037</v>
      </c>
      <c r="V580" t="s">
        <v>62</v>
      </c>
      <c r="W580">
        <v>0</v>
      </c>
      <c r="X580">
        <v>29.379000000000001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73</v>
      </c>
      <c r="AT580" t="s">
        <v>71</v>
      </c>
      <c r="AU580">
        <v>0</v>
      </c>
      <c r="AV580">
        <v>0</v>
      </c>
    </row>
    <row r="581" spans="1:48" x14ac:dyDescent="0.25">
      <c r="A581" t="s">
        <v>2133</v>
      </c>
      <c r="B581" t="s">
        <v>73</v>
      </c>
      <c r="C581" t="s">
        <v>50</v>
      </c>
      <c r="D581">
        <v>440314.42489999998</v>
      </c>
      <c r="E581">
        <v>1827735.5748000001</v>
      </c>
      <c r="F581">
        <v>30.998000000000001</v>
      </c>
      <c r="G581" t="s">
        <v>2134</v>
      </c>
      <c r="H581" t="s">
        <v>52</v>
      </c>
      <c r="I581">
        <v>30.998000000000001</v>
      </c>
      <c r="J581" t="s">
        <v>53</v>
      </c>
      <c r="K581">
        <v>0</v>
      </c>
      <c r="L581" t="s">
        <v>156</v>
      </c>
      <c r="M581" t="s">
        <v>440</v>
      </c>
      <c r="N581">
        <v>-0.123</v>
      </c>
      <c r="O581" t="s">
        <v>56</v>
      </c>
      <c r="P581" t="s">
        <v>57</v>
      </c>
      <c r="Q581" t="s">
        <v>59</v>
      </c>
      <c r="R581" t="s">
        <v>58</v>
      </c>
      <c r="S581" t="s">
        <v>2135</v>
      </c>
      <c r="T581" t="s">
        <v>61</v>
      </c>
      <c r="U581">
        <v>1.7208000000000001</v>
      </c>
      <c r="V581" t="s">
        <v>62</v>
      </c>
      <c r="W581">
        <v>0</v>
      </c>
      <c r="X581">
        <v>29.277000000000001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73</v>
      </c>
      <c r="AT581" t="s">
        <v>71</v>
      </c>
      <c r="AU581">
        <v>0</v>
      </c>
      <c r="AV581">
        <v>0</v>
      </c>
    </row>
    <row r="582" spans="1:48" x14ac:dyDescent="0.25">
      <c r="A582" t="s">
        <v>2136</v>
      </c>
      <c r="B582" t="s">
        <v>73</v>
      </c>
      <c r="C582" t="s">
        <v>50</v>
      </c>
      <c r="D582">
        <v>440314.43339999998</v>
      </c>
      <c r="E582">
        <v>1827693.2365000001</v>
      </c>
      <c r="F582">
        <v>30.765999999999998</v>
      </c>
      <c r="G582" t="s">
        <v>2137</v>
      </c>
      <c r="H582" t="s">
        <v>52</v>
      </c>
      <c r="I582">
        <v>30.765999999999998</v>
      </c>
      <c r="J582" t="s">
        <v>53</v>
      </c>
      <c r="K582">
        <v>0</v>
      </c>
      <c r="L582" t="s">
        <v>1112</v>
      </c>
      <c r="M582" t="s">
        <v>2138</v>
      </c>
      <c r="N582">
        <v>0.39610000000000001</v>
      </c>
      <c r="O582" t="s">
        <v>56</v>
      </c>
      <c r="P582" t="s">
        <v>57</v>
      </c>
      <c r="Q582" t="s">
        <v>59</v>
      </c>
      <c r="R582" t="s">
        <v>58</v>
      </c>
      <c r="S582" t="s">
        <v>2139</v>
      </c>
      <c r="T582" t="s">
        <v>61</v>
      </c>
      <c r="U582">
        <v>2.0863999999999998</v>
      </c>
      <c r="V582" t="s">
        <v>62</v>
      </c>
      <c r="W582">
        <v>0</v>
      </c>
      <c r="X582">
        <v>28.68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73</v>
      </c>
      <c r="AT582" t="s">
        <v>71</v>
      </c>
      <c r="AU582">
        <v>0</v>
      </c>
      <c r="AV582">
        <v>0</v>
      </c>
    </row>
    <row r="583" spans="1:48" x14ac:dyDescent="0.25">
      <c r="A583" t="s">
        <v>2140</v>
      </c>
      <c r="B583" t="s">
        <v>73</v>
      </c>
      <c r="C583" t="s">
        <v>50</v>
      </c>
      <c r="D583">
        <v>440314.42489999998</v>
      </c>
      <c r="E583">
        <v>1827675.5748000001</v>
      </c>
      <c r="F583">
        <v>30.864999999999998</v>
      </c>
      <c r="G583" t="s">
        <v>2141</v>
      </c>
      <c r="H583" t="s">
        <v>52</v>
      </c>
      <c r="I583">
        <v>30.864999999999998</v>
      </c>
      <c r="J583" t="s">
        <v>53</v>
      </c>
      <c r="K583">
        <v>0</v>
      </c>
      <c r="L583" t="s">
        <v>156</v>
      </c>
      <c r="M583" t="s">
        <v>428</v>
      </c>
      <c r="N583">
        <v>-0.123</v>
      </c>
      <c r="O583" t="s">
        <v>56</v>
      </c>
      <c r="P583" t="s">
        <v>57</v>
      </c>
      <c r="Q583" t="s">
        <v>59</v>
      </c>
      <c r="R583" t="s">
        <v>58</v>
      </c>
      <c r="S583" t="s">
        <v>2142</v>
      </c>
      <c r="T583" t="s">
        <v>61</v>
      </c>
      <c r="U583">
        <v>2.2048000000000001</v>
      </c>
      <c r="V583" t="s">
        <v>62</v>
      </c>
      <c r="W583">
        <v>0</v>
      </c>
      <c r="X583">
        <v>28.66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73</v>
      </c>
      <c r="AT583" t="s">
        <v>71</v>
      </c>
      <c r="AU583">
        <v>0</v>
      </c>
      <c r="AV583">
        <v>0</v>
      </c>
    </row>
    <row r="584" spans="1:48" x14ac:dyDescent="0.25">
      <c r="A584" t="s">
        <v>2143</v>
      </c>
      <c r="B584" t="s">
        <v>73</v>
      </c>
      <c r="C584" t="s">
        <v>50</v>
      </c>
      <c r="D584">
        <v>440314.42489999998</v>
      </c>
      <c r="E584">
        <v>1827635.9125000001</v>
      </c>
      <c r="F584">
        <v>30.978999999999999</v>
      </c>
      <c r="G584" t="s">
        <v>2144</v>
      </c>
      <c r="H584" t="s">
        <v>52</v>
      </c>
      <c r="I584">
        <v>30.978999999999999</v>
      </c>
      <c r="J584" t="s">
        <v>53</v>
      </c>
      <c r="K584">
        <v>0</v>
      </c>
      <c r="L584" t="s">
        <v>156</v>
      </c>
      <c r="M584" t="s">
        <v>2145</v>
      </c>
      <c r="N584">
        <v>-0.123</v>
      </c>
      <c r="O584" t="s">
        <v>56</v>
      </c>
      <c r="P584" t="s">
        <v>57</v>
      </c>
      <c r="Q584" t="s">
        <v>59</v>
      </c>
      <c r="R584" t="s">
        <v>58</v>
      </c>
      <c r="S584" t="s">
        <v>2146</v>
      </c>
      <c r="T584" t="s">
        <v>61</v>
      </c>
      <c r="U584">
        <v>2.359</v>
      </c>
      <c r="V584" t="s">
        <v>62</v>
      </c>
      <c r="W584">
        <v>0</v>
      </c>
      <c r="X584">
        <v>28.62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73</v>
      </c>
      <c r="AT584" t="s">
        <v>71</v>
      </c>
      <c r="AU584">
        <v>0</v>
      </c>
      <c r="AV584">
        <v>0</v>
      </c>
    </row>
    <row r="585" spans="1:48" x14ac:dyDescent="0.25">
      <c r="A585" t="s">
        <v>2147</v>
      </c>
      <c r="B585" t="s">
        <v>73</v>
      </c>
      <c r="C585" t="s">
        <v>50</v>
      </c>
      <c r="D585">
        <v>440314.42489999998</v>
      </c>
      <c r="E585">
        <v>1827615.5748000001</v>
      </c>
      <c r="F585">
        <v>31.094999999999999</v>
      </c>
      <c r="G585" t="s">
        <v>2148</v>
      </c>
      <c r="H585" t="s">
        <v>52</v>
      </c>
      <c r="I585">
        <v>31.094999999999999</v>
      </c>
      <c r="J585" t="s">
        <v>53</v>
      </c>
      <c r="K585">
        <v>0</v>
      </c>
      <c r="L585" t="s">
        <v>156</v>
      </c>
      <c r="M585" t="s">
        <v>416</v>
      </c>
      <c r="N585">
        <v>-0.123</v>
      </c>
      <c r="O585" t="s">
        <v>56</v>
      </c>
      <c r="P585" t="s">
        <v>57</v>
      </c>
      <c r="Q585" t="s">
        <v>59</v>
      </c>
      <c r="R585" t="s">
        <v>58</v>
      </c>
      <c r="S585" t="s">
        <v>2149</v>
      </c>
      <c r="T585" t="s">
        <v>61</v>
      </c>
      <c r="U585">
        <v>2.4948000000000001</v>
      </c>
      <c r="V585" t="s">
        <v>62</v>
      </c>
      <c r="W585">
        <v>0</v>
      </c>
      <c r="X585">
        <v>28.6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73</v>
      </c>
      <c r="AT585" t="s">
        <v>71</v>
      </c>
      <c r="AU585">
        <v>0</v>
      </c>
      <c r="AV585">
        <v>0</v>
      </c>
    </row>
    <row r="586" spans="1:48" x14ac:dyDescent="0.25">
      <c r="A586" t="s">
        <v>2150</v>
      </c>
      <c r="B586" t="s">
        <v>73</v>
      </c>
      <c r="C586" t="s">
        <v>50</v>
      </c>
      <c r="D586">
        <v>440314.42489999998</v>
      </c>
      <c r="E586">
        <v>1827595.5748000001</v>
      </c>
      <c r="F586">
        <v>31.212</v>
      </c>
      <c r="G586" t="s">
        <v>2151</v>
      </c>
      <c r="H586" t="s">
        <v>52</v>
      </c>
      <c r="I586">
        <v>31.212</v>
      </c>
      <c r="J586" t="s">
        <v>53</v>
      </c>
      <c r="K586">
        <v>0</v>
      </c>
      <c r="L586" t="s">
        <v>156</v>
      </c>
      <c r="M586" t="s">
        <v>529</v>
      </c>
      <c r="N586">
        <v>-0.123</v>
      </c>
      <c r="O586" t="s">
        <v>56</v>
      </c>
      <c r="P586" t="s">
        <v>57</v>
      </c>
      <c r="Q586" t="s">
        <v>59</v>
      </c>
      <c r="R586" t="s">
        <v>58</v>
      </c>
      <c r="S586" t="s">
        <v>2152</v>
      </c>
      <c r="T586" t="s">
        <v>61</v>
      </c>
      <c r="U586">
        <v>2.6320999999999999</v>
      </c>
      <c r="V586" t="s">
        <v>62</v>
      </c>
      <c r="W586">
        <v>0</v>
      </c>
      <c r="X586">
        <v>28.58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73</v>
      </c>
      <c r="AT586" t="s">
        <v>71</v>
      </c>
      <c r="AU586">
        <v>0</v>
      </c>
      <c r="AV586">
        <v>0</v>
      </c>
    </row>
    <row r="587" spans="1:48" x14ac:dyDescent="0.25">
      <c r="A587" t="s">
        <v>2153</v>
      </c>
      <c r="B587" t="s">
        <v>73</v>
      </c>
      <c r="C587" t="s">
        <v>50</v>
      </c>
      <c r="D587">
        <v>440314.42489999998</v>
      </c>
      <c r="E587">
        <v>1827575.5748000001</v>
      </c>
      <c r="F587">
        <v>31.329000000000001</v>
      </c>
      <c r="G587" t="s">
        <v>2154</v>
      </c>
      <c r="H587" t="s">
        <v>52</v>
      </c>
      <c r="I587">
        <v>31.329000000000001</v>
      </c>
      <c r="J587" t="s">
        <v>53</v>
      </c>
      <c r="K587">
        <v>0</v>
      </c>
      <c r="L587" t="s">
        <v>156</v>
      </c>
      <c r="M587" t="s">
        <v>525</v>
      </c>
      <c r="N587">
        <v>-0.123</v>
      </c>
      <c r="O587" t="s">
        <v>56</v>
      </c>
      <c r="P587" t="s">
        <v>57</v>
      </c>
      <c r="Q587" t="s">
        <v>59</v>
      </c>
      <c r="R587" t="s">
        <v>58</v>
      </c>
      <c r="S587" t="s">
        <v>2155</v>
      </c>
      <c r="T587" t="s">
        <v>61</v>
      </c>
      <c r="U587">
        <v>2.7692999999999999</v>
      </c>
      <c r="V587" t="s">
        <v>62</v>
      </c>
      <c r="W587">
        <v>0</v>
      </c>
      <c r="X587">
        <v>28.56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73</v>
      </c>
      <c r="AT587" t="s">
        <v>71</v>
      </c>
      <c r="AU587">
        <v>0</v>
      </c>
      <c r="AV587">
        <v>0</v>
      </c>
    </row>
    <row r="588" spans="1:48" x14ac:dyDescent="0.25">
      <c r="A588" t="s">
        <v>2156</v>
      </c>
      <c r="B588" t="s">
        <v>125</v>
      </c>
      <c r="C588" t="s">
        <v>50</v>
      </c>
      <c r="D588">
        <v>440314.42489999998</v>
      </c>
      <c r="E588">
        <v>1827550.3088</v>
      </c>
      <c r="F588">
        <v>30.936</v>
      </c>
      <c r="G588" t="s">
        <v>2157</v>
      </c>
      <c r="H588" t="s">
        <v>52</v>
      </c>
      <c r="I588">
        <v>30.936</v>
      </c>
      <c r="J588" t="s">
        <v>53</v>
      </c>
      <c r="K588">
        <v>0</v>
      </c>
      <c r="L588" t="s">
        <v>180</v>
      </c>
      <c r="M588" t="s">
        <v>2158</v>
      </c>
      <c r="N588">
        <v>-0.22500000000000001</v>
      </c>
      <c r="O588" t="s">
        <v>56</v>
      </c>
      <c r="P588" t="s">
        <v>57</v>
      </c>
      <c r="Q588" t="s">
        <v>109</v>
      </c>
      <c r="R588" t="s">
        <v>59</v>
      </c>
      <c r="S588" t="s">
        <v>2159</v>
      </c>
      <c r="T588" t="s">
        <v>61</v>
      </c>
      <c r="U588">
        <v>3.6728000000000001</v>
      </c>
      <c r="V588" t="s">
        <v>62</v>
      </c>
      <c r="W588">
        <v>0</v>
      </c>
      <c r="X588">
        <v>27.263000000000002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111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125</v>
      </c>
      <c r="AT588" t="s">
        <v>71</v>
      </c>
      <c r="AU588">
        <v>0</v>
      </c>
      <c r="AV588">
        <v>0</v>
      </c>
    </row>
    <row r="589" spans="1:48" x14ac:dyDescent="0.25">
      <c r="A589" t="s">
        <v>2160</v>
      </c>
      <c r="B589" t="s">
        <v>125</v>
      </c>
      <c r="C589" t="s">
        <v>50</v>
      </c>
      <c r="D589">
        <v>440259.1249</v>
      </c>
      <c r="E589">
        <v>1827820.8998</v>
      </c>
      <c r="F589">
        <v>32.023000000000003</v>
      </c>
      <c r="G589" t="s">
        <v>2161</v>
      </c>
      <c r="H589" t="s">
        <v>52</v>
      </c>
      <c r="I589">
        <v>32.023000000000003</v>
      </c>
      <c r="J589" t="s">
        <v>53</v>
      </c>
      <c r="K589">
        <v>0</v>
      </c>
      <c r="L589" t="s">
        <v>2162</v>
      </c>
      <c r="M589" t="s">
        <v>444</v>
      </c>
      <c r="N589">
        <v>2.7000000000000001E-3</v>
      </c>
      <c r="O589" t="s">
        <v>56</v>
      </c>
      <c r="P589" t="s">
        <v>57</v>
      </c>
      <c r="Q589" t="s">
        <v>109</v>
      </c>
      <c r="R589" t="s">
        <v>59</v>
      </c>
      <c r="S589" t="s">
        <v>2163</v>
      </c>
      <c r="T589" t="s">
        <v>61</v>
      </c>
      <c r="U589">
        <v>1.6004</v>
      </c>
      <c r="V589" t="s">
        <v>62</v>
      </c>
      <c r="W589">
        <v>0</v>
      </c>
      <c r="X589">
        <v>30.422999999999998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111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125</v>
      </c>
      <c r="AT589" t="s">
        <v>71</v>
      </c>
      <c r="AU589">
        <v>0</v>
      </c>
      <c r="AV589">
        <v>0</v>
      </c>
    </row>
    <row r="590" spans="1:48" x14ac:dyDescent="0.25">
      <c r="A590" t="s">
        <v>2164</v>
      </c>
      <c r="B590" t="s">
        <v>125</v>
      </c>
      <c r="C590" t="s">
        <v>50</v>
      </c>
      <c r="D590">
        <v>440279.1249</v>
      </c>
      <c r="E590">
        <v>1827820.8998</v>
      </c>
      <c r="F590">
        <v>31.815000000000001</v>
      </c>
      <c r="G590" t="s">
        <v>2165</v>
      </c>
      <c r="H590" t="s">
        <v>52</v>
      </c>
      <c r="I590">
        <v>31.815000000000001</v>
      </c>
      <c r="J590" t="s">
        <v>53</v>
      </c>
      <c r="K590">
        <v>0</v>
      </c>
      <c r="L590" t="s">
        <v>2162</v>
      </c>
      <c r="M590" t="s">
        <v>448</v>
      </c>
      <c r="N590">
        <v>6.9500000000000006E-2</v>
      </c>
      <c r="O590" t="s">
        <v>56</v>
      </c>
      <c r="P590" t="s">
        <v>57</v>
      </c>
      <c r="Q590" t="s">
        <v>109</v>
      </c>
      <c r="R590" t="s">
        <v>59</v>
      </c>
      <c r="S590" t="s">
        <v>2166</v>
      </c>
      <c r="T590" t="s">
        <v>61</v>
      </c>
      <c r="U590">
        <v>1.6363000000000001</v>
      </c>
      <c r="V590" t="s">
        <v>62</v>
      </c>
      <c r="W590">
        <v>0</v>
      </c>
      <c r="X590">
        <v>30.178999999999998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111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125</v>
      </c>
      <c r="AT590" t="s">
        <v>71</v>
      </c>
      <c r="AU590">
        <v>0</v>
      </c>
      <c r="AV590">
        <v>0</v>
      </c>
    </row>
    <row r="591" spans="1:48" x14ac:dyDescent="0.25">
      <c r="A591" t="s">
        <v>2167</v>
      </c>
      <c r="B591" t="s">
        <v>125</v>
      </c>
      <c r="C591" t="s">
        <v>50</v>
      </c>
      <c r="D591">
        <v>440299.1249</v>
      </c>
      <c r="E591">
        <v>1827820.8998</v>
      </c>
      <c r="F591">
        <v>31.571000000000002</v>
      </c>
      <c r="G591" t="s">
        <v>2168</v>
      </c>
      <c r="H591" t="s">
        <v>52</v>
      </c>
      <c r="I591">
        <v>31.571000000000002</v>
      </c>
      <c r="J591" t="s">
        <v>53</v>
      </c>
      <c r="K591">
        <v>0</v>
      </c>
      <c r="L591" t="s">
        <v>2162</v>
      </c>
      <c r="M591" s="1" t="s">
        <v>452</v>
      </c>
      <c r="N591">
        <v>0.13639999999999999</v>
      </c>
      <c r="O591" t="s">
        <v>56</v>
      </c>
      <c r="P591" t="s">
        <v>57</v>
      </c>
      <c r="Q591" t="s">
        <v>109</v>
      </c>
      <c r="R591" t="s">
        <v>59</v>
      </c>
      <c r="S591" t="s">
        <v>2169</v>
      </c>
      <c r="T591" t="s">
        <v>61</v>
      </c>
      <c r="U591">
        <v>1.6224000000000001</v>
      </c>
      <c r="V591" t="s">
        <v>62</v>
      </c>
      <c r="W591">
        <v>0</v>
      </c>
      <c r="X591">
        <v>29.949000000000002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111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125</v>
      </c>
      <c r="AT591" t="s">
        <v>71</v>
      </c>
      <c r="AU591">
        <v>0</v>
      </c>
      <c r="AV591">
        <v>0</v>
      </c>
    </row>
    <row r="592" spans="1:48" x14ac:dyDescent="0.25">
      <c r="A592" t="s">
        <v>2170</v>
      </c>
      <c r="B592" t="s">
        <v>125</v>
      </c>
      <c r="C592" t="s">
        <v>50</v>
      </c>
      <c r="D592">
        <v>440313.31</v>
      </c>
      <c r="E592">
        <v>1827820.8998</v>
      </c>
      <c r="F592">
        <v>31.359000000000002</v>
      </c>
      <c r="G592" t="s">
        <v>2171</v>
      </c>
      <c r="H592" t="s">
        <v>52</v>
      </c>
      <c r="I592">
        <v>31.359000000000002</v>
      </c>
      <c r="J592" t="s">
        <v>53</v>
      </c>
      <c r="K592">
        <v>0</v>
      </c>
      <c r="L592" t="s">
        <v>2162</v>
      </c>
      <c r="M592" s="1" t="s">
        <v>2172</v>
      </c>
      <c r="N592">
        <v>0.18379999999999999</v>
      </c>
      <c r="O592" t="s">
        <v>56</v>
      </c>
      <c r="P592" t="s">
        <v>57</v>
      </c>
      <c r="Q592" t="s">
        <v>109</v>
      </c>
      <c r="R592" t="s">
        <v>59</v>
      </c>
      <c r="S592" t="s">
        <v>2173</v>
      </c>
      <c r="T592" t="s">
        <v>61</v>
      </c>
      <c r="U592">
        <v>1.4516</v>
      </c>
      <c r="V592" t="s">
        <v>62</v>
      </c>
      <c r="W592">
        <v>0</v>
      </c>
      <c r="X592">
        <v>29.907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111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125</v>
      </c>
      <c r="AT592" t="s">
        <v>71</v>
      </c>
      <c r="AU592">
        <v>0</v>
      </c>
      <c r="AV592">
        <v>0</v>
      </c>
    </row>
    <row r="593" spans="1:48" x14ac:dyDescent="0.25">
      <c r="A593" t="s">
        <v>2174</v>
      </c>
      <c r="B593" t="s">
        <v>125</v>
      </c>
      <c r="C593" t="s">
        <v>50</v>
      </c>
      <c r="D593">
        <v>440323.97489999997</v>
      </c>
      <c r="E593">
        <v>1827820.8998</v>
      </c>
      <c r="F593">
        <v>31.343</v>
      </c>
      <c r="G593" t="s">
        <v>2175</v>
      </c>
      <c r="H593" t="s">
        <v>52</v>
      </c>
      <c r="I593">
        <v>31.343</v>
      </c>
      <c r="J593" t="s">
        <v>53</v>
      </c>
      <c r="K593">
        <v>0</v>
      </c>
      <c r="L593" t="s">
        <v>2162</v>
      </c>
      <c r="M593">
        <f>0+4.85</f>
        <v>4.8499999999999996</v>
      </c>
      <c r="N593">
        <v>0.21940000000000001</v>
      </c>
      <c r="O593" t="s">
        <v>56</v>
      </c>
      <c r="P593" t="s">
        <v>57</v>
      </c>
      <c r="Q593" t="s">
        <v>109</v>
      </c>
      <c r="R593" t="s">
        <v>59</v>
      </c>
      <c r="S593" t="s">
        <v>2176</v>
      </c>
      <c r="T593" t="s">
        <v>61</v>
      </c>
      <c r="U593">
        <v>1.4772000000000001</v>
      </c>
      <c r="V593" t="s">
        <v>62</v>
      </c>
      <c r="W593">
        <v>0</v>
      </c>
      <c r="X593">
        <v>29.866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111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125</v>
      </c>
      <c r="AT593" t="s">
        <v>71</v>
      </c>
      <c r="AU593">
        <v>0</v>
      </c>
      <c r="AV593">
        <v>0</v>
      </c>
    </row>
    <row r="594" spans="1:48" x14ac:dyDescent="0.25">
      <c r="A594" t="s">
        <v>2177</v>
      </c>
      <c r="B594" t="s">
        <v>73</v>
      </c>
      <c r="C594" t="s">
        <v>50</v>
      </c>
      <c r="D594">
        <v>440323.82490000001</v>
      </c>
      <c r="E594">
        <v>1827795.5748000001</v>
      </c>
      <c r="F594">
        <v>31.228000000000002</v>
      </c>
      <c r="G594" t="s">
        <v>2178</v>
      </c>
      <c r="H594" t="s">
        <v>52</v>
      </c>
      <c r="I594">
        <v>31.228000000000002</v>
      </c>
      <c r="J594" t="s">
        <v>53</v>
      </c>
      <c r="K594">
        <v>0</v>
      </c>
      <c r="L594" t="s">
        <v>161</v>
      </c>
      <c r="M594" t="s">
        <v>2179</v>
      </c>
      <c r="N594">
        <v>0.15</v>
      </c>
      <c r="O594" t="s">
        <v>56</v>
      </c>
      <c r="P594" t="s">
        <v>57</v>
      </c>
      <c r="Q594" t="s">
        <v>59</v>
      </c>
      <c r="R594" t="s">
        <v>58</v>
      </c>
      <c r="S594" t="s">
        <v>2180</v>
      </c>
      <c r="T594" t="s">
        <v>61</v>
      </c>
      <c r="U594">
        <v>1.4712000000000001</v>
      </c>
      <c r="V594" t="s">
        <v>62</v>
      </c>
      <c r="W594">
        <v>0</v>
      </c>
      <c r="X594">
        <v>29.757000000000001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68</v>
      </c>
      <c r="AG594" t="s">
        <v>65</v>
      </c>
      <c r="AH594" t="s">
        <v>65</v>
      </c>
      <c r="AI594" t="s">
        <v>67</v>
      </c>
      <c r="AK594" t="s">
        <v>66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73</v>
      </c>
      <c r="AT594" t="s">
        <v>71</v>
      </c>
      <c r="AU594">
        <v>0</v>
      </c>
      <c r="AV594">
        <v>0</v>
      </c>
    </row>
    <row r="595" spans="1:48" x14ac:dyDescent="0.25">
      <c r="A595" t="s">
        <v>2181</v>
      </c>
      <c r="B595" t="s">
        <v>73</v>
      </c>
      <c r="C595" t="s">
        <v>50</v>
      </c>
      <c r="D595">
        <v>440323.82490000001</v>
      </c>
      <c r="E595">
        <v>1827775.5748000001</v>
      </c>
      <c r="F595">
        <v>31.151</v>
      </c>
      <c r="G595" t="s">
        <v>2182</v>
      </c>
      <c r="H595" t="s">
        <v>52</v>
      </c>
      <c r="I595">
        <v>31.151</v>
      </c>
      <c r="J595" t="s">
        <v>53</v>
      </c>
      <c r="K595">
        <v>0</v>
      </c>
      <c r="L595" t="s">
        <v>161</v>
      </c>
      <c r="M595" t="s">
        <v>2183</v>
      </c>
      <c r="N595">
        <v>0.15</v>
      </c>
      <c r="O595" t="s">
        <v>56</v>
      </c>
      <c r="P595" t="s">
        <v>57</v>
      </c>
      <c r="Q595" t="s">
        <v>59</v>
      </c>
      <c r="R595" t="s">
        <v>58</v>
      </c>
      <c r="S595" t="s">
        <v>2184</v>
      </c>
      <c r="T595" t="s">
        <v>61</v>
      </c>
      <c r="U595">
        <v>1.4703999999999999</v>
      </c>
      <c r="V595" t="s">
        <v>62</v>
      </c>
      <c r="W595">
        <v>0</v>
      </c>
      <c r="X595">
        <v>29.681000000000001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68</v>
      </c>
      <c r="AG595" t="s">
        <v>65</v>
      </c>
      <c r="AH595" t="s">
        <v>65</v>
      </c>
      <c r="AI595" t="s">
        <v>67</v>
      </c>
      <c r="AK595" t="s">
        <v>66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73</v>
      </c>
      <c r="AT595" t="s">
        <v>71</v>
      </c>
      <c r="AU595">
        <v>0</v>
      </c>
      <c r="AV595">
        <v>0</v>
      </c>
    </row>
    <row r="596" spans="1:48" x14ac:dyDescent="0.25">
      <c r="A596" t="s">
        <v>2185</v>
      </c>
      <c r="B596" t="s">
        <v>73</v>
      </c>
      <c r="C596" t="s">
        <v>50</v>
      </c>
      <c r="D596">
        <v>440323.82490000001</v>
      </c>
      <c r="E596">
        <v>1827755.5748000001</v>
      </c>
      <c r="F596">
        <v>31.074999999999999</v>
      </c>
      <c r="G596" t="s">
        <v>2186</v>
      </c>
      <c r="H596" t="s">
        <v>52</v>
      </c>
      <c r="I596">
        <v>31.074999999999999</v>
      </c>
      <c r="J596" t="s">
        <v>53</v>
      </c>
      <c r="K596">
        <v>0</v>
      </c>
      <c r="L596" t="s">
        <v>161</v>
      </c>
      <c r="M596" t="s">
        <v>2187</v>
      </c>
      <c r="N596">
        <v>0.15</v>
      </c>
      <c r="O596" t="s">
        <v>56</v>
      </c>
      <c r="P596" t="s">
        <v>57</v>
      </c>
      <c r="Q596" t="s">
        <v>59</v>
      </c>
      <c r="R596" t="s">
        <v>58</v>
      </c>
      <c r="S596" t="s">
        <v>2188</v>
      </c>
      <c r="T596" t="s">
        <v>61</v>
      </c>
      <c r="U596">
        <v>1.4705999999999999</v>
      </c>
      <c r="V596" t="s">
        <v>62</v>
      </c>
      <c r="W596">
        <v>0</v>
      </c>
      <c r="X596">
        <v>29.603999999999999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68</v>
      </c>
      <c r="AG596" t="s">
        <v>65</v>
      </c>
      <c r="AH596" t="s">
        <v>65</v>
      </c>
      <c r="AI596" t="s">
        <v>67</v>
      </c>
      <c r="AK596" t="s">
        <v>66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73</v>
      </c>
      <c r="AT596" t="s">
        <v>71</v>
      </c>
      <c r="AU596">
        <v>0</v>
      </c>
      <c r="AV596">
        <v>0</v>
      </c>
    </row>
    <row r="597" spans="1:48" x14ac:dyDescent="0.25">
      <c r="A597" t="s">
        <v>2189</v>
      </c>
      <c r="B597" t="s">
        <v>73</v>
      </c>
      <c r="C597" t="s">
        <v>50</v>
      </c>
      <c r="D597">
        <v>440323.82490000001</v>
      </c>
      <c r="E597">
        <v>1827735.5748000001</v>
      </c>
      <c r="F597">
        <v>30.998000000000001</v>
      </c>
      <c r="G597" t="s">
        <v>2190</v>
      </c>
      <c r="H597" t="s">
        <v>52</v>
      </c>
      <c r="I597">
        <v>30.998000000000001</v>
      </c>
      <c r="J597" t="s">
        <v>53</v>
      </c>
      <c r="K597">
        <v>0</v>
      </c>
      <c r="L597" t="s">
        <v>161</v>
      </c>
      <c r="M597" t="s">
        <v>2191</v>
      </c>
      <c r="N597">
        <v>0.15</v>
      </c>
      <c r="O597" t="s">
        <v>56</v>
      </c>
      <c r="P597" t="s">
        <v>57</v>
      </c>
      <c r="Q597" t="s">
        <v>59</v>
      </c>
      <c r="R597" t="s">
        <v>58</v>
      </c>
      <c r="S597" t="s">
        <v>2192</v>
      </c>
      <c r="T597" t="s">
        <v>61</v>
      </c>
      <c r="U597">
        <v>1.4688000000000001</v>
      </c>
      <c r="V597" t="s">
        <v>62</v>
      </c>
      <c r="W597">
        <v>0</v>
      </c>
      <c r="X597">
        <v>29.529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68</v>
      </c>
      <c r="AG597" t="s">
        <v>65</v>
      </c>
      <c r="AH597" t="s">
        <v>65</v>
      </c>
      <c r="AI597" t="s">
        <v>67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73</v>
      </c>
      <c r="AT597" t="s">
        <v>71</v>
      </c>
      <c r="AU597">
        <v>0</v>
      </c>
      <c r="AV597">
        <v>0</v>
      </c>
    </row>
    <row r="598" spans="1:48" x14ac:dyDescent="0.25">
      <c r="A598" t="s">
        <v>2193</v>
      </c>
      <c r="B598" t="s">
        <v>73</v>
      </c>
      <c r="C598" t="s">
        <v>50</v>
      </c>
      <c r="D598">
        <v>440323.82490000001</v>
      </c>
      <c r="E598">
        <v>1827715.9564</v>
      </c>
      <c r="F598">
        <v>30.922999999999998</v>
      </c>
      <c r="G598" t="s">
        <v>2194</v>
      </c>
      <c r="H598" t="s">
        <v>52</v>
      </c>
      <c r="I598">
        <v>30.922999999999998</v>
      </c>
      <c r="J598" t="s">
        <v>53</v>
      </c>
      <c r="K598">
        <v>0</v>
      </c>
      <c r="L598" t="s">
        <v>161</v>
      </c>
      <c r="M598" t="s">
        <v>2195</v>
      </c>
      <c r="N598">
        <v>0.15</v>
      </c>
      <c r="O598" t="s">
        <v>56</v>
      </c>
      <c r="P598" t="s">
        <v>57</v>
      </c>
      <c r="Q598" t="s">
        <v>59</v>
      </c>
      <c r="R598" t="s">
        <v>58</v>
      </c>
      <c r="S598" t="s">
        <v>2196</v>
      </c>
      <c r="T598" t="s">
        <v>61</v>
      </c>
      <c r="U598">
        <v>1.5868</v>
      </c>
      <c r="V598" t="s">
        <v>62</v>
      </c>
      <c r="W598">
        <v>0</v>
      </c>
      <c r="X598">
        <v>29.335999999999999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68</v>
      </c>
      <c r="AG598" t="s">
        <v>65</v>
      </c>
      <c r="AH598" t="s">
        <v>65</v>
      </c>
      <c r="AI598" t="s">
        <v>67</v>
      </c>
      <c r="AK598" t="s">
        <v>66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73</v>
      </c>
      <c r="AT598" t="s">
        <v>71</v>
      </c>
      <c r="AU598">
        <v>0</v>
      </c>
      <c r="AV598">
        <v>0</v>
      </c>
    </row>
    <row r="599" spans="1:48" x14ac:dyDescent="0.25">
      <c r="A599" t="s">
        <v>2197</v>
      </c>
      <c r="B599" t="s">
        <v>73</v>
      </c>
      <c r="C599" t="s">
        <v>50</v>
      </c>
      <c r="D599">
        <v>440323.82490000001</v>
      </c>
      <c r="E599">
        <v>1827693.1836999999</v>
      </c>
      <c r="F599">
        <v>30.661999999999999</v>
      </c>
      <c r="G599" t="s">
        <v>2198</v>
      </c>
      <c r="H599" t="s">
        <v>52</v>
      </c>
      <c r="I599">
        <v>30.661999999999999</v>
      </c>
      <c r="J599" t="s">
        <v>53</v>
      </c>
      <c r="K599">
        <v>0</v>
      </c>
      <c r="L599" t="s">
        <v>1112</v>
      </c>
      <c r="M599" t="s">
        <v>2199</v>
      </c>
      <c r="N599">
        <v>0.34560000000000002</v>
      </c>
      <c r="O599" t="s">
        <v>56</v>
      </c>
      <c r="P599" t="s">
        <v>57</v>
      </c>
      <c r="Q599" t="s">
        <v>59</v>
      </c>
      <c r="R599" t="s">
        <v>58</v>
      </c>
      <c r="S599" t="s">
        <v>2200</v>
      </c>
      <c r="T599" t="s">
        <v>61</v>
      </c>
      <c r="U599">
        <v>1.4041999999999999</v>
      </c>
      <c r="V599" t="s">
        <v>62</v>
      </c>
      <c r="W599">
        <v>0</v>
      </c>
      <c r="X599">
        <v>29.257999999999999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68</v>
      </c>
      <c r="AG599" t="s">
        <v>65</v>
      </c>
      <c r="AH599" t="s">
        <v>65</v>
      </c>
      <c r="AI599" t="s">
        <v>67</v>
      </c>
      <c r="AK599" t="s">
        <v>66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73</v>
      </c>
      <c r="AT599" t="s">
        <v>71</v>
      </c>
      <c r="AU599">
        <v>0</v>
      </c>
      <c r="AV599">
        <v>0</v>
      </c>
    </row>
    <row r="600" spans="1:48" x14ac:dyDescent="0.25">
      <c r="A600" t="s">
        <v>2201</v>
      </c>
      <c r="B600" t="s">
        <v>73</v>
      </c>
      <c r="C600" t="s">
        <v>50</v>
      </c>
      <c r="D600">
        <v>440323.82490000001</v>
      </c>
      <c r="E600">
        <v>1827675.5748000001</v>
      </c>
      <c r="F600">
        <v>30.864999999999998</v>
      </c>
      <c r="G600" t="s">
        <v>2202</v>
      </c>
      <c r="H600" t="s">
        <v>52</v>
      </c>
      <c r="I600">
        <v>30.864999999999998</v>
      </c>
      <c r="J600" t="s">
        <v>53</v>
      </c>
      <c r="K600">
        <v>0</v>
      </c>
      <c r="L600" t="s">
        <v>161</v>
      </c>
      <c r="M600" t="s">
        <v>2203</v>
      </c>
      <c r="N600">
        <v>0.15</v>
      </c>
      <c r="O600" t="s">
        <v>56</v>
      </c>
      <c r="P600" t="s">
        <v>57</v>
      </c>
      <c r="Q600" t="s">
        <v>59</v>
      </c>
      <c r="R600" t="s">
        <v>58</v>
      </c>
      <c r="S600" t="s">
        <v>2204</v>
      </c>
      <c r="T600" t="s">
        <v>61</v>
      </c>
      <c r="U600">
        <v>1.6288</v>
      </c>
      <c r="V600" t="s">
        <v>62</v>
      </c>
      <c r="W600">
        <v>0</v>
      </c>
      <c r="X600">
        <v>29.236000000000001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68</v>
      </c>
      <c r="AG600" t="s">
        <v>65</v>
      </c>
      <c r="AH600" t="s">
        <v>65</v>
      </c>
      <c r="AI600" t="s">
        <v>67</v>
      </c>
      <c r="AK600" t="s">
        <v>66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73</v>
      </c>
      <c r="AT600" t="s">
        <v>71</v>
      </c>
      <c r="AU600">
        <v>0</v>
      </c>
      <c r="AV600">
        <v>0</v>
      </c>
    </row>
    <row r="601" spans="1:48" x14ac:dyDescent="0.25">
      <c r="A601" t="s">
        <v>2205</v>
      </c>
      <c r="B601" t="s">
        <v>73</v>
      </c>
      <c r="C601" t="s">
        <v>50</v>
      </c>
      <c r="D601">
        <v>440323.82490000001</v>
      </c>
      <c r="E601">
        <v>1827655.5748000001</v>
      </c>
      <c r="F601">
        <v>30.901</v>
      </c>
      <c r="G601" t="s">
        <v>2206</v>
      </c>
      <c r="H601" t="s">
        <v>52</v>
      </c>
      <c r="I601">
        <v>30.901</v>
      </c>
      <c r="J601" t="s">
        <v>53</v>
      </c>
      <c r="K601">
        <v>0</v>
      </c>
      <c r="L601" t="s">
        <v>161</v>
      </c>
      <c r="M601" t="s">
        <v>2207</v>
      </c>
      <c r="N601">
        <v>0.15</v>
      </c>
      <c r="O601" t="s">
        <v>56</v>
      </c>
      <c r="P601" t="s">
        <v>57</v>
      </c>
      <c r="Q601" t="s">
        <v>59</v>
      </c>
      <c r="R601" t="s">
        <v>58</v>
      </c>
      <c r="S601" t="s">
        <v>2208</v>
      </c>
      <c r="T601" t="s">
        <v>61</v>
      </c>
      <c r="U601">
        <v>1.6852</v>
      </c>
      <c r="V601" t="s">
        <v>62</v>
      </c>
      <c r="W601">
        <v>0</v>
      </c>
      <c r="X601">
        <v>29.216000000000001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68</v>
      </c>
      <c r="AG601" t="s">
        <v>65</v>
      </c>
      <c r="AH601" t="s">
        <v>65</v>
      </c>
      <c r="AI601" t="s">
        <v>67</v>
      </c>
      <c r="AK601" t="s">
        <v>66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73</v>
      </c>
      <c r="AT601" t="s">
        <v>71</v>
      </c>
      <c r="AU601">
        <v>0</v>
      </c>
      <c r="AV601">
        <v>0</v>
      </c>
    </row>
    <row r="602" spans="1:48" x14ac:dyDescent="0.25">
      <c r="A602" t="s">
        <v>2209</v>
      </c>
      <c r="B602" t="s">
        <v>73</v>
      </c>
      <c r="C602" t="s">
        <v>50</v>
      </c>
      <c r="D602">
        <v>440323.82490000001</v>
      </c>
      <c r="E602">
        <v>1827635.5748000001</v>
      </c>
      <c r="F602">
        <v>30.981000000000002</v>
      </c>
      <c r="G602" t="s">
        <v>2210</v>
      </c>
      <c r="H602" t="s">
        <v>52</v>
      </c>
      <c r="I602">
        <v>30.981000000000002</v>
      </c>
      <c r="J602" t="s">
        <v>53</v>
      </c>
      <c r="K602">
        <v>0</v>
      </c>
      <c r="L602" t="s">
        <v>161</v>
      </c>
      <c r="M602" t="s">
        <v>2211</v>
      </c>
      <c r="N602">
        <v>0.15</v>
      </c>
      <c r="O602" t="s">
        <v>56</v>
      </c>
      <c r="P602" t="s">
        <v>57</v>
      </c>
      <c r="Q602" t="s">
        <v>59</v>
      </c>
      <c r="R602" t="s">
        <v>58</v>
      </c>
      <c r="S602" t="s">
        <v>2212</v>
      </c>
      <c r="T602" t="s">
        <v>61</v>
      </c>
      <c r="U602">
        <v>1.7847</v>
      </c>
      <c r="V602" t="s">
        <v>62</v>
      </c>
      <c r="W602">
        <v>0</v>
      </c>
      <c r="X602">
        <v>29.196000000000002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68</v>
      </c>
      <c r="AG602" t="s">
        <v>65</v>
      </c>
      <c r="AH602" t="s">
        <v>65</v>
      </c>
      <c r="AI602" t="s">
        <v>67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73</v>
      </c>
      <c r="AT602" t="s">
        <v>71</v>
      </c>
      <c r="AU602">
        <v>0</v>
      </c>
      <c r="AV602">
        <v>0</v>
      </c>
    </row>
    <row r="603" spans="1:48" x14ac:dyDescent="0.25">
      <c r="A603" t="s">
        <v>2213</v>
      </c>
      <c r="B603" t="s">
        <v>73</v>
      </c>
      <c r="C603" t="s">
        <v>50</v>
      </c>
      <c r="D603">
        <v>440323.82490000001</v>
      </c>
      <c r="E603">
        <v>1827615.5748000001</v>
      </c>
      <c r="F603">
        <v>31.094999999999999</v>
      </c>
      <c r="G603" t="s">
        <v>2214</v>
      </c>
      <c r="H603" t="s">
        <v>52</v>
      </c>
      <c r="I603">
        <v>31.094999999999999</v>
      </c>
      <c r="J603" t="s">
        <v>53</v>
      </c>
      <c r="K603">
        <v>0</v>
      </c>
      <c r="L603" t="s">
        <v>161</v>
      </c>
      <c r="M603" t="s">
        <v>2215</v>
      </c>
      <c r="N603">
        <v>0.15</v>
      </c>
      <c r="O603" t="s">
        <v>56</v>
      </c>
      <c r="P603" t="s">
        <v>57</v>
      </c>
      <c r="Q603" t="s">
        <v>59</v>
      </c>
      <c r="R603" t="s">
        <v>58</v>
      </c>
      <c r="S603" t="s">
        <v>2216</v>
      </c>
      <c r="T603" t="s">
        <v>61</v>
      </c>
      <c r="U603">
        <v>1.9188000000000001</v>
      </c>
      <c r="V603" t="s">
        <v>62</v>
      </c>
      <c r="W603">
        <v>0</v>
      </c>
      <c r="X603">
        <v>29.175999999999998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68</v>
      </c>
      <c r="AG603" t="s">
        <v>65</v>
      </c>
      <c r="AH603" t="s">
        <v>65</v>
      </c>
      <c r="AI603" t="s">
        <v>67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73</v>
      </c>
      <c r="AT603" t="s">
        <v>71</v>
      </c>
      <c r="AU603">
        <v>0</v>
      </c>
      <c r="AV603">
        <v>0</v>
      </c>
    </row>
    <row r="604" spans="1:48" x14ac:dyDescent="0.25">
      <c r="A604" t="s">
        <v>2217</v>
      </c>
      <c r="B604" t="s">
        <v>73</v>
      </c>
      <c r="C604" t="s">
        <v>50</v>
      </c>
      <c r="D604">
        <v>440323.82490000001</v>
      </c>
      <c r="E604">
        <v>1827595.5748000001</v>
      </c>
      <c r="F604">
        <v>31.212</v>
      </c>
      <c r="G604" t="s">
        <v>2218</v>
      </c>
      <c r="H604" t="s">
        <v>52</v>
      </c>
      <c r="I604">
        <v>31.212</v>
      </c>
      <c r="J604" t="s">
        <v>53</v>
      </c>
      <c r="K604">
        <v>0</v>
      </c>
      <c r="L604" t="s">
        <v>161</v>
      </c>
      <c r="M604" t="s">
        <v>2219</v>
      </c>
      <c r="N604">
        <v>0.15</v>
      </c>
      <c r="O604" t="s">
        <v>56</v>
      </c>
      <c r="P604" t="s">
        <v>57</v>
      </c>
      <c r="Q604" t="s">
        <v>59</v>
      </c>
      <c r="R604" t="s">
        <v>58</v>
      </c>
      <c r="S604" t="s">
        <v>2220</v>
      </c>
      <c r="T604" t="s">
        <v>61</v>
      </c>
      <c r="U604">
        <v>2.0560999999999998</v>
      </c>
      <c r="V604" t="s">
        <v>62</v>
      </c>
      <c r="W604">
        <v>0</v>
      </c>
      <c r="X604">
        <v>29.155999999999999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67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73</v>
      </c>
      <c r="AT604" t="s">
        <v>71</v>
      </c>
      <c r="AU604">
        <v>0</v>
      </c>
      <c r="AV604">
        <v>0</v>
      </c>
    </row>
    <row r="605" spans="1:48" x14ac:dyDescent="0.25">
      <c r="A605" t="s">
        <v>2221</v>
      </c>
      <c r="B605" t="s">
        <v>73</v>
      </c>
      <c r="C605" t="s">
        <v>50</v>
      </c>
      <c r="D605">
        <v>440323.82490000001</v>
      </c>
      <c r="E605">
        <v>1827575.5748000001</v>
      </c>
      <c r="F605">
        <v>31.329000000000001</v>
      </c>
      <c r="G605" t="s">
        <v>2222</v>
      </c>
      <c r="H605" t="s">
        <v>52</v>
      </c>
      <c r="I605">
        <v>31.329000000000001</v>
      </c>
      <c r="J605" t="s">
        <v>53</v>
      </c>
      <c r="K605">
        <v>0</v>
      </c>
      <c r="L605" t="s">
        <v>161</v>
      </c>
      <c r="M605" t="s">
        <v>2223</v>
      </c>
      <c r="N605">
        <v>0.15</v>
      </c>
      <c r="O605" t="s">
        <v>56</v>
      </c>
      <c r="P605" t="s">
        <v>57</v>
      </c>
      <c r="Q605" t="s">
        <v>59</v>
      </c>
      <c r="R605" t="s">
        <v>58</v>
      </c>
      <c r="S605" t="s">
        <v>2224</v>
      </c>
      <c r="T605" t="s">
        <v>61</v>
      </c>
      <c r="U605">
        <v>2.1932999999999998</v>
      </c>
      <c r="V605" t="s">
        <v>62</v>
      </c>
      <c r="W605">
        <v>0</v>
      </c>
      <c r="X605">
        <v>29.135999999999999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68</v>
      </c>
      <c r="AG605" t="s">
        <v>65</v>
      </c>
      <c r="AH605" t="s">
        <v>65</v>
      </c>
      <c r="AI605" t="s">
        <v>67</v>
      </c>
      <c r="AK605" t="s">
        <v>66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73</v>
      </c>
      <c r="AT605" t="s">
        <v>71</v>
      </c>
      <c r="AU605">
        <v>0</v>
      </c>
      <c r="AV605">
        <v>0</v>
      </c>
    </row>
    <row r="606" spans="1:48" x14ac:dyDescent="0.25">
      <c r="A606" t="s">
        <v>2225</v>
      </c>
      <c r="B606" t="s">
        <v>125</v>
      </c>
      <c r="C606" t="s">
        <v>50</v>
      </c>
      <c r="D606">
        <v>440323.97489999997</v>
      </c>
      <c r="E606">
        <v>1827550.3088</v>
      </c>
      <c r="F606">
        <v>30.882999999999999</v>
      </c>
      <c r="G606" t="s">
        <v>2226</v>
      </c>
      <c r="H606" t="s">
        <v>52</v>
      </c>
      <c r="I606">
        <v>30.882999999999999</v>
      </c>
      <c r="J606" t="s">
        <v>53</v>
      </c>
      <c r="K606">
        <v>0</v>
      </c>
      <c r="L606" t="s">
        <v>180</v>
      </c>
      <c r="M606" t="s">
        <v>2227</v>
      </c>
      <c r="N606">
        <v>-0.22500000000000001</v>
      </c>
      <c r="O606" t="s">
        <v>56</v>
      </c>
      <c r="P606" t="s">
        <v>57</v>
      </c>
      <c r="Q606" t="s">
        <v>109</v>
      </c>
      <c r="R606" t="s">
        <v>59</v>
      </c>
      <c r="S606" t="s">
        <v>2228</v>
      </c>
      <c r="T606" t="s">
        <v>61</v>
      </c>
      <c r="U606">
        <v>3.6337999999999999</v>
      </c>
      <c r="V606" t="s">
        <v>62</v>
      </c>
      <c r="W606">
        <v>0</v>
      </c>
      <c r="X606">
        <v>27.248999999999999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111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125</v>
      </c>
      <c r="AT606" t="s">
        <v>71</v>
      </c>
      <c r="AU606">
        <v>0</v>
      </c>
      <c r="AV606">
        <v>0</v>
      </c>
    </row>
    <row r="607" spans="1:48" x14ac:dyDescent="0.25">
      <c r="A607" t="s">
        <v>2229</v>
      </c>
      <c r="B607" t="s">
        <v>73</v>
      </c>
      <c r="C607" t="s">
        <v>50</v>
      </c>
      <c r="D607">
        <v>440398.32510000002</v>
      </c>
      <c r="E607">
        <v>1828038.1984000001</v>
      </c>
      <c r="F607">
        <v>32.426000000000002</v>
      </c>
      <c r="G607" t="s">
        <v>2230</v>
      </c>
      <c r="H607" t="s">
        <v>52</v>
      </c>
      <c r="I607">
        <v>32.426000000000002</v>
      </c>
      <c r="J607" t="s">
        <v>53</v>
      </c>
      <c r="K607">
        <v>0</v>
      </c>
      <c r="L607" t="s">
        <v>270</v>
      </c>
      <c r="M607" s="1" t="s">
        <v>2231</v>
      </c>
      <c r="N607">
        <v>0.115</v>
      </c>
      <c r="O607" t="s">
        <v>56</v>
      </c>
      <c r="P607" t="s">
        <v>57</v>
      </c>
      <c r="Q607" t="s">
        <v>59</v>
      </c>
      <c r="R607" t="s">
        <v>58</v>
      </c>
      <c r="S607" t="s">
        <v>2232</v>
      </c>
      <c r="T607" t="s">
        <v>61</v>
      </c>
      <c r="U607">
        <v>1.4234</v>
      </c>
      <c r="V607" t="s">
        <v>62</v>
      </c>
      <c r="W607">
        <v>0</v>
      </c>
      <c r="X607">
        <v>31.003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68</v>
      </c>
      <c r="AG607" t="s">
        <v>65</v>
      </c>
      <c r="AH607" t="s">
        <v>65</v>
      </c>
      <c r="AI607" t="s">
        <v>2233</v>
      </c>
      <c r="AK607" t="s">
        <v>66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73</v>
      </c>
      <c r="AT607" t="s">
        <v>71</v>
      </c>
      <c r="AU607">
        <v>0</v>
      </c>
      <c r="AV607">
        <v>0</v>
      </c>
    </row>
    <row r="608" spans="1:48" x14ac:dyDescent="0.25">
      <c r="A608" t="s">
        <v>2234</v>
      </c>
      <c r="B608" t="s">
        <v>105</v>
      </c>
      <c r="C608" t="s">
        <v>50</v>
      </c>
      <c r="D608">
        <v>440398.2501</v>
      </c>
      <c r="E608">
        <v>1828022.6984000001</v>
      </c>
      <c r="F608">
        <v>32.448</v>
      </c>
      <c r="G608" t="s">
        <v>2235</v>
      </c>
      <c r="H608" t="s">
        <v>52</v>
      </c>
      <c r="I608">
        <v>32.448</v>
      </c>
      <c r="J608" t="s">
        <v>53</v>
      </c>
      <c r="K608">
        <v>0</v>
      </c>
      <c r="L608" t="s">
        <v>270</v>
      </c>
      <c r="M608" t="s">
        <v>452</v>
      </c>
      <c r="N608">
        <v>0.19</v>
      </c>
      <c r="O608" t="s">
        <v>56</v>
      </c>
      <c r="P608" t="s">
        <v>57</v>
      </c>
      <c r="Q608" t="s">
        <v>59</v>
      </c>
      <c r="R608" t="s">
        <v>109</v>
      </c>
      <c r="S608" t="s">
        <v>2236</v>
      </c>
      <c r="T608" t="s">
        <v>61</v>
      </c>
      <c r="U608">
        <v>1.5326</v>
      </c>
      <c r="V608" t="s">
        <v>62</v>
      </c>
      <c r="W608">
        <v>0</v>
      </c>
      <c r="X608">
        <v>30.914999999999999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111</v>
      </c>
      <c r="AG608" t="s">
        <v>65</v>
      </c>
      <c r="AH608" t="s">
        <v>65</v>
      </c>
      <c r="AI608" t="s">
        <v>67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105</v>
      </c>
      <c r="AT608" t="s">
        <v>71</v>
      </c>
      <c r="AU608">
        <v>0</v>
      </c>
      <c r="AV608">
        <v>0</v>
      </c>
    </row>
    <row r="609" spans="1:48" x14ac:dyDescent="0.25">
      <c r="A609" t="s">
        <v>2237</v>
      </c>
      <c r="B609" t="s">
        <v>105</v>
      </c>
      <c r="C609" t="s">
        <v>50</v>
      </c>
      <c r="D609">
        <v>440398.2501</v>
      </c>
      <c r="E609">
        <v>1827992.7084999999</v>
      </c>
      <c r="F609">
        <v>32.168999999999997</v>
      </c>
      <c r="G609" t="s">
        <v>2238</v>
      </c>
      <c r="H609" t="s">
        <v>52</v>
      </c>
      <c r="I609">
        <v>32.168999999999997</v>
      </c>
      <c r="J609" t="s">
        <v>53</v>
      </c>
      <c r="K609">
        <v>0</v>
      </c>
      <c r="L609" t="s">
        <v>270</v>
      </c>
      <c r="M609" t="s">
        <v>2239</v>
      </c>
      <c r="N609">
        <v>0.19</v>
      </c>
      <c r="O609" t="s">
        <v>56</v>
      </c>
      <c r="P609" t="s">
        <v>57</v>
      </c>
      <c r="Q609" t="s">
        <v>59</v>
      </c>
      <c r="R609" t="s">
        <v>109</v>
      </c>
      <c r="S609" t="s">
        <v>2240</v>
      </c>
      <c r="T609" t="s">
        <v>61</v>
      </c>
      <c r="U609">
        <v>1.5839000000000001</v>
      </c>
      <c r="V609" t="s">
        <v>62</v>
      </c>
      <c r="W609">
        <v>0</v>
      </c>
      <c r="X609">
        <v>30.585000000000001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111</v>
      </c>
      <c r="AG609" t="s">
        <v>65</v>
      </c>
      <c r="AH609" t="s">
        <v>65</v>
      </c>
      <c r="AI609" t="s">
        <v>67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105</v>
      </c>
      <c r="AT609" t="s">
        <v>71</v>
      </c>
      <c r="AU609">
        <v>0</v>
      </c>
      <c r="AV609">
        <v>0</v>
      </c>
    </row>
    <row r="610" spans="1:48" x14ac:dyDescent="0.25">
      <c r="A610" t="s">
        <v>2241</v>
      </c>
      <c r="B610" t="s">
        <v>105</v>
      </c>
      <c r="C610" t="s">
        <v>50</v>
      </c>
      <c r="D610">
        <v>440398.2501</v>
      </c>
      <c r="E610">
        <v>1827974.3514</v>
      </c>
      <c r="F610">
        <v>31.998000000000001</v>
      </c>
      <c r="G610" t="s">
        <v>2242</v>
      </c>
      <c r="H610" t="s">
        <v>52</v>
      </c>
      <c r="I610">
        <v>31.998000000000001</v>
      </c>
      <c r="J610" t="s">
        <v>53</v>
      </c>
      <c r="K610">
        <v>0</v>
      </c>
      <c r="L610" t="s">
        <v>270</v>
      </c>
      <c r="M610" t="s">
        <v>2243</v>
      </c>
      <c r="N610">
        <v>0.19</v>
      </c>
      <c r="O610" t="s">
        <v>56</v>
      </c>
      <c r="P610" t="s">
        <v>57</v>
      </c>
      <c r="Q610" t="s">
        <v>59</v>
      </c>
      <c r="R610" t="s">
        <v>109</v>
      </c>
      <c r="S610" t="s">
        <v>2244</v>
      </c>
      <c r="T610" t="s">
        <v>61</v>
      </c>
      <c r="U610">
        <v>1.5903</v>
      </c>
      <c r="V610" t="s">
        <v>62</v>
      </c>
      <c r="W610">
        <v>0</v>
      </c>
      <c r="X610">
        <v>30.408000000000001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111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105</v>
      </c>
      <c r="AT610" t="s">
        <v>71</v>
      </c>
      <c r="AU610">
        <v>0</v>
      </c>
      <c r="AV610">
        <v>0</v>
      </c>
    </row>
    <row r="611" spans="1:48" x14ac:dyDescent="0.25">
      <c r="A611" t="s">
        <v>2245</v>
      </c>
      <c r="B611" t="s">
        <v>105</v>
      </c>
      <c r="C611" t="s">
        <v>50</v>
      </c>
      <c r="D611">
        <v>440398.2501</v>
      </c>
      <c r="E611">
        <v>1827954.7489</v>
      </c>
      <c r="F611">
        <v>31.815999999999999</v>
      </c>
      <c r="G611" t="s">
        <v>2246</v>
      </c>
      <c r="H611" t="s">
        <v>52</v>
      </c>
      <c r="I611">
        <v>31.815999999999999</v>
      </c>
      <c r="J611" t="s">
        <v>53</v>
      </c>
      <c r="K611">
        <v>0</v>
      </c>
      <c r="L611" t="s">
        <v>270</v>
      </c>
      <c r="M611" t="s">
        <v>2247</v>
      </c>
      <c r="N611">
        <v>0.19</v>
      </c>
      <c r="O611" t="s">
        <v>56</v>
      </c>
      <c r="P611" t="s">
        <v>57</v>
      </c>
      <c r="Q611" t="s">
        <v>59</v>
      </c>
      <c r="R611" t="s">
        <v>109</v>
      </c>
      <c r="S611" t="s">
        <v>2248</v>
      </c>
      <c r="T611" t="s">
        <v>61</v>
      </c>
      <c r="U611">
        <v>1.6891</v>
      </c>
      <c r="V611" t="s">
        <v>62</v>
      </c>
      <c r="W611">
        <v>0</v>
      </c>
      <c r="X611">
        <v>30.126999999999999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111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105</v>
      </c>
      <c r="AT611" t="s">
        <v>71</v>
      </c>
      <c r="AU611">
        <v>0</v>
      </c>
      <c r="AV611">
        <v>0</v>
      </c>
    </row>
    <row r="612" spans="1:48" x14ac:dyDescent="0.25">
      <c r="A612" t="s">
        <v>2249</v>
      </c>
      <c r="B612" t="s">
        <v>49</v>
      </c>
      <c r="C612" t="s">
        <v>50</v>
      </c>
      <c r="D612">
        <v>440398.47509999998</v>
      </c>
      <c r="E612">
        <v>1827935.0608999999</v>
      </c>
      <c r="F612">
        <v>31.478000000000002</v>
      </c>
      <c r="G612" t="s">
        <v>2250</v>
      </c>
      <c r="H612" t="s">
        <v>52</v>
      </c>
      <c r="I612">
        <v>31.478000000000002</v>
      </c>
      <c r="J612" t="s">
        <v>53</v>
      </c>
      <c r="K612">
        <v>0</v>
      </c>
      <c r="L612" t="s">
        <v>241</v>
      </c>
      <c r="M612" t="s">
        <v>2251</v>
      </c>
      <c r="N612">
        <v>0.1</v>
      </c>
      <c r="O612" t="s">
        <v>56</v>
      </c>
      <c r="P612" t="s">
        <v>57</v>
      </c>
      <c r="Q612" t="s">
        <v>58</v>
      </c>
      <c r="R612" t="s">
        <v>59</v>
      </c>
      <c r="S612" t="s">
        <v>2252</v>
      </c>
      <c r="T612" t="s">
        <v>61</v>
      </c>
      <c r="U612">
        <v>1.4306000000000001</v>
      </c>
      <c r="V612" t="s">
        <v>62</v>
      </c>
      <c r="W612">
        <v>0</v>
      </c>
      <c r="X612">
        <v>30.047000000000001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66</v>
      </c>
      <c r="AG612" t="s">
        <v>65</v>
      </c>
      <c r="AH612" t="s">
        <v>65</v>
      </c>
      <c r="AI612" t="s">
        <v>67</v>
      </c>
      <c r="AK612" t="s">
        <v>68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49</v>
      </c>
      <c r="AT612" t="s">
        <v>71</v>
      </c>
      <c r="AU612">
        <v>0</v>
      </c>
      <c r="AV612">
        <v>0</v>
      </c>
    </row>
    <row r="613" spans="1:48" x14ac:dyDescent="0.25">
      <c r="A613" t="s">
        <v>2253</v>
      </c>
      <c r="B613" t="s">
        <v>49</v>
      </c>
      <c r="C613" t="s">
        <v>50</v>
      </c>
      <c r="D613">
        <v>440416.3077</v>
      </c>
      <c r="E613">
        <v>1827935.0608999999</v>
      </c>
      <c r="F613">
        <v>31.523</v>
      </c>
      <c r="G613" t="s">
        <v>2254</v>
      </c>
      <c r="H613" t="s">
        <v>52</v>
      </c>
      <c r="I613">
        <v>31.523</v>
      </c>
      <c r="J613" t="s">
        <v>53</v>
      </c>
      <c r="K613">
        <v>0</v>
      </c>
      <c r="L613" t="s">
        <v>241</v>
      </c>
      <c r="M613" t="s">
        <v>2255</v>
      </c>
      <c r="N613">
        <v>0.1</v>
      </c>
      <c r="O613" t="s">
        <v>56</v>
      </c>
      <c r="P613" t="s">
        <v>57</v>
      </c>
      <c r="Q613" t="s">
        <v>58</v>
      </c>
      <c r="R613" t="s">
        <v>59</v>
      </c>
      <c r="S613" t="s">
        <v>2256</v>
      </c>
      <c r="T613" t="s">
        <v>61</v>
      </c>
      <c r="U613">
        <v>1.4937</v>
      </c>
      <c r="V613" t="s">
        <v>62</v>
      </c>
      <c r="W613">
        <v>0</v>
      </c>
      <c r="X613">
        <v>30.029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66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49</v>
      </c>
      <c r="AT613" t="s">
        <v>71</v>
      </c>
      <c r="AU613">
        <v>0</v>
      </c>
      <c r="AV613">
        <v>0</v>
      </c>
    </row>
    <row r="614" spans="1:48" x14ac:dyDescent="0.25">
      <c r="A614" t="s">
        <v>2257</v>
      </c>
      <c r="B614" t="s">
        <v>49</v>
      </c>
      <c r="C614" t="s">
        <v>50</v>
      </c>
      <c r="D614">
        <v>440435.03580000001</v>
      </c>
      <c r="E614">
        <v>1827935.0608999999</v>
      </c>
      <c r="F614">
        <v>31.478999999999999</v>
      </c>
      <c r="G614" t="s">
        <v>2258</v>
      </c>
      <c r="H614" t="s">
        <v>52</v>
      </c>
      <c r="I614">
        <v>31.478999999999999</v>
      </c>
      <c r="J614" t="s">
        <v>53</v>
      </c>
      <c r="K614">
        <v>0</v>
      </c>
      <c r="L614" t="s">
        <v>241</v>
      </c>
      <c r="M614" t="s">
        <v>2259</v>
      </c>
      <c r="N614">
        <v>0.1</v>
      </c>
      <c r="O614" t="s">
        <v>56</v>
      </c>
      <c r="P614" t="s">
        <v>57</v>
      </c>
      <c r="Q614" t="s">
        <v>58</v>
      </c>
      <c r="R614" t="s">
        <v>59</v>
      </c>
      <c r="S614" t="s">
        <v>2260</v>
      </c>
      <c r="T614" t="s">
        <v>61</v>
      </c>
      <c r="U614">
        <v>1.5190999999999999</v>
      </c>
      <c r="V614" t="s">
        <v>62</v>
      </c>
      <c r="W614">
        <v>0</v>
      </c>
      <c r="X614">
        <v>29.96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66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49</v>
      </c>
      <c r="AT614" t="s">
        <v>71</v>
      </c>
      <c r="AU614">
        <v>0</v>
      </c>
      <c r="AV614">
        <v>0</v>
      </c>
    </row>
    <row r="615" spans="1:48" x14ac:dyDescent="0.25">
      <c r="A615" t="s">
        <v>2261</v>
      </c>
      <c r="B615" t="s">
        <v>49</v>
      </c>
      <c r="C615" t="s">
        <v>50</v>
      </c>
      <c r="D615">
        <v>440410.42509999999</v>
      </c>
      <c r="E615">
        <v>1828037.9972999999</v>
      </c>
      <c r="F615">
        <v>32.540999999999997</v>
      </c>
      <c r="G615" t="s">
        <v>2262</v>
      </c>
      <c r="H615" t="s">
        <v>52</v>
      </c>
      <c r="I615">
        <v>32.540999999999997</v>
      </c>
      <c r="J615" t="s">
        <v>53</v>
      </c>
      <c r="K615">
        <v>0</v>
      </c>
      <c r="L615" t="s">
        <v>2263</v>
      </c>
      <c r="M615" t="s">
        <v>420</v>
      </c>
      <c r="N615">
        <v>8.2600000000000007E-2</v>
      </c>
      <c r="O615" t="s">
        <v>56</v>
      </c>
      <c r="P615" t="s">
        <v>57</v>
      </c>
      <c r="Q615" t="s">
        <v>58</v>
      </c>
      <c r="R615" t="s">
        <v>59</v>
      </c>
      <c r="S615" t="s">
        <v>2264</v>
      </c>
      <c r="T615" t="s">
        <v>61</v>
      </c>
      <c r="U615">
        <v>1.4866999999999999</v>
      </c>
      <c r="V615" t="s">
        <v>62</v>
      </c>
      <c r="W615">
        <v>0</v>
      </c>
      <c r="X615">
        <v>31.053999999999998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66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49</v>
      </c>
      <c r="AT615" t="s">
        <v>71</v>
      </c>
      <c r="AU615">
        <v>0</v>
      </c>
      <c r="AV615">
        <v>0</v>
      </c>
    </row>
    <row r="616" spans="1:48" x14ac:dyDescent="0.25">
      <c r="A616" t="s">
        <v>2265</v>
      </c>
      <c r="B616" t="s">
        <v>49</v>
      </c>
      <c r="C616" t="s">
        <v>50</v>
      </c>
      <c r="D616">
        <v>440430.42509999999</v>
      </c>
      <c r="E616">
        <v>1828037.9972999999</v>
      </c>
      <c r="F616">
        <v>32.448999999999998</v>
      </c>
      <c r="G616" t="s">
        <v>2266</v>
      </c>
      <c r="H616" t="s">
        <v>52</v>
      </c>
      <c r="I616">
        <v>32.448999999999998</v>
      </c>
      <c r="J616" t="s">
        <v>53</v>
      </c>
      <c r="K616">
        <v>0</v>
      </c>
      <c r="L616" t="s">
        <v>2263</v>
      </c>
      <c r="M616" t="s">
        <v>424</v>
      </c>
      <c r="N616">
        <v>8.2600000000000007E-2</v>
      </c>
      <c r="O616" t="s">
        <v>56</v>
      </c>
      <c r="P616" t="s">
        <v>57</v>
      </c>
      <c r="Q616" t="s">
        <v>58</v>
      </c>
      <c r="R616" t="s">
        <v>59</v>
      </c>
      <c r="S616" t="s">
        <v>2267</v>
      </c>
      <c r="T616" t="s">
        <v>61</v>
      </c>
      <c r="U616">
        <v>1.4765999999999999</v>
      </c>
      <c r="V616" t="s">
        <v>62</v>
      </c>
      <c r="W616">
        <v>0</v>
      </c>
      <c r="X616">
        <v>30.972000000000001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49</v>
      </c>
      <c r="AT616" t="s">
        <v>71</v>
      </c>
      <c r="AU616">
        <v>0</v>
      </c>
      <c r="AV616">
        <v>0</v>
      </c>
    </row>
    <row r="617" spans="1:48" x14ac:dyDescent="0.25">
      <c r="A617" t="s">
        <v>2268</v>
      </c>
      <c r="B617" t="s">
        <v>49</v>
      </c>
      <c r="C617" t="s">
        <v>50</v>
      </c>
      <c r="D617">
        <v>440444.18689999997</v>
      </c>
      <c r="E617">
        <v>1828037.9972999999</v>
      </c>
      <c r="F617">
        <v>32.384999999999998</v>
      </c>
      <c r="G617" t="s">
        <v>2269</v>
      </c>
      <c r="H617" t="s">
        <v>52</v>
      </c>
      <c r="I617">
        <v>32.384999999999998</v>
      </c>
      <c r="J617" t="s">
        <v>53</v>
      </c>
      <c r="K617">
        <v>0</v>
      </c>
      <c r="L617" t="s">
        <v>2263</v>
      </c>
      <c r="M617" t="s">
        <v>2270</v>
      </c>
      <c r="N617">
        <v>8.2600000000000007E-2</v>
      </c>
      <c r="O617" t="s">
        <v>56</v>
      </c>
      <c r="P617" t="s">
        <v>57</v>
      </c>
      <c r="Q617" t="s">
        <v>58</v>
      </c>
      <c r="R617" t="s">
        <v>59</v>
      </c>
      <c r="S617" t="s">
        <v>2271</v>
      </c>
      <c r="T617" t="s">
        <v>61</v>
      </c>
      <c r="U617">
        <v>1.6012</v>
      </c>
      <c r="V617" t="s">
        <v>62</v>
      </c>
      <c r="W617">
        <v>0</v>
      </c>
      <c r="X617">
        <v>30.783999999999999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2272</v>
      </c>
      <c r="B618" t="s">
        <v>49</v>
      </c>
      <c r="C618" t="s">
        <v>50</v>
      </c>
      <c r="D618">
        <v>440454.55349999998</v>
      </c>
      <c r="E618">
        <v>1828037.9961000001</v>
      </c>
      <c r="F618">
        <v>32.194000000000003</v>
      </c>
      <c r="G618" t="s">
        <v>2273</v>
      </c>
      <c r="H618" t="s">
        <v>52</v>
      </c>
      <c r="I618">
        <v>32.194000000000003</v>
      </c>
      <c r="J618" t="s">
        <v>53</v>
      </c>
      <c r="K618">
        <v>0</v>
      </c>
      <c r="L618" t="s">
        <v>2263</v>
      </c>
      <c r="M618" t="s">
        <v>2274</v>
      </c>
      <c r="N618">
        <v>8.14E-2</v>
      </c>
      <c r="O618" t="s">
        <v>56</v>
      </c>
      <c r="P618" t="s">
        <v>57</v>
      </c>
      <c r="Q618" t="s">
        <v>58</v>
      </c>
      <c r="R618" t="s">
        <v>59</v>
      </c>
      <c r="S618" t="s">
        <v>2275</v>
      </c>
      <c r="T618" t="s">
        <v>61</v>
      </c>
      <c r="U618">
        <v>1.4449000000000001</v>
      </c>
      <c r="V618" t="s">
        <v>62</v>
      </c>
      <c r="W618">
        <v>0</v>
      </c>
      <c r="X618">
        <v>30.748999999999999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49</v>
      </c>
      <c r="AT618" t="s">
        <v>71</v>
      </c>
      <c r="AU618">
        <v>0</v>
      </c>
      <c r="AV618">
        <v>0</v>
      </c>
    </row>
    <row r="619" spans="1:48" x14ac:dyDescent="0.25">
      <c r="A619" t="s">
        <v>2276</v>
      </c>
      <c r="B619" t="s">
        <v>73</v>
      </c>
      <c r="C619" t="s">
        <v>50</v>
      </c>
      <c r="D619">
        <v>440454.52510000003</v>
      </c>
      <c r="E619">
        <v>1828022.6987000001</v>
      </c>
      <c r="F619">
        <v>32.156999999999996</v>
      </c>
      <c r="G619" t="s">
        <v>2277</v>
      </c>
      <c r="H619" t="s">
        <v>52</v>
      </c>
      <c r="I619">
        <v>32.156999999999996</v>
      </c>
      <c r="J619" t="s">
        <v>53</v>
      </c>
      <c r="K619">
        <v>0</v>
      </c>
      <c r="L619" t="s">
        <v>232</v>
      </c>
      <c r="M619" t="s">
        <v>452</v>
      </c>
      <c r="N619">
        <v>2.8400000000000002E-2</v>
      </c>
      <c r="O619" t="s">
        <v>56</v>
      </c>
      <c r="P619" t="s">
        <v>57</v>
      </c>
      <c r="Q619" t="s">
        <v>59</v>
      </c>
      <c r="R619" t="s">
        <v>58</v>
      </c>
      <c r="S619" t="s">
        <v>2278</v>
      </c>
      <c r="T619" t="s">
        <v>61</v>
      </c>
      <c r="U619">
        <v>1.5345</v>
      </c>
      <c r="V619" t="s">
        <v>62</v>
      </c>
      <c r="W619">
        <v>0</v>
      </c>
      <c r="X619">
        <v>30.622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68</v>
      </c>
      <c r="AG619" t="s">
        <v>65</v>
      </c>
      <c r="AH619" t="s">
        <v>65</v>
      </c>
      <c r="AI619" t="s">
        <v>67</v>
      </c>
      <c r="AK619" t="s">
        <v>66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73</v>
      </c>
      <c r="AT619" t="s">
        <v>71</v>
      </c>
      <c r="AU619">
        <v>0</v>
      </c>
      <c r="AV619">
        <v>0</v>
      </c>
    </row>
    <row r="620" spans="1:48" x14ac:dyDescent="0.25">
      <c r="A620" t="s">
        <v>2279</v>
      </c>
      <c r="B620" t="s">
        <v>73</v>
      </c>
      <c r="C620" t="s">
        <v>50</v>
      </c>
      <c r="D620">
        <v>440454.52510000003</v>
      </c>
      <c r="E620">
        <v>1828001.9399000001</v>
      </c>
      <c r="F620">
        <v>31.991</v>
      </c>
      <c r="G620" t="s">
        <v>2280</v>
      </c>
      <c r="H620" t="s">
        <v>52</v>
      </c>
      <c r="I620">
        <v>31.991</v>
      </c>
      <c r="J620" t="s">
        <v>53</v>
      </c>
      <c r="K620">
        <v>0</v>
      </c>
      <c r="L620" t="s">
        <v>232</v>
      </c>
      <c r="M620" t="s">
        <v>2281</v>
      </c>
      <c r="N620">
        <v>2.8400000000000002E-2</v>
      </c>
      <c r="O620" t="s">
        <v>56</v>
      </c>
      <c r="P620" t="s">
        <v>57</v>
      </c>
      <c r="Q620" t="s">
        <v>59</v>
      </c>
      <c r="R620" t="s">
        <v>58</v>
      </c>
      <c r="S620" t="s">
        <v>2282</v>
      </c>
      <c r="T620" t="s">
        <v>61</v>
      </c>
      <c r="U620">
        <v>1.55</v>
      </c>
      <c r="V620" t="s">
        <v>62</v>
      </c>
      <c r="W620">
        <v>0</v>
      </c>
      <c r="X620">
        <v>30.440999999999999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68</v>
      </c>
      <c r="AG620" t="s">
        <v>65</v>
      </c>
      <c r="AH620" t="s">
        <v>65</v>
      </c>
      <c r="AI620" t="s">
        <v>67</v>
      </c>
      <c r="AK620" t="s">
        <v>66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73</v>
      </c>
      <c r="AT620" t="s">
        <v>71</v>
      </c>
      <c r="AU620">
        <v>0</v>
      </c>
      <c r="AV620">
        <v>0</v>
      </c>
    </row>
    <row r="621" spans="1:48" x14ac:dyDescent="0.25">
      <c r="A621" t="s">
        <v>2283</v>
      </c>
      <c r="B621" t="s">
        <v>73</v>
      </c>
      <c r="C621" t="s">
        <v>50</v>
      </c>
      <c r="D621">
        <v>440454.52510000003</v>
      </c>
      <c r="E621">
        <v>1827982.6987000001</v>
      </c>
      <c r="F621">
        <v>31.838000000000001</v>
      </c>
      <c r="G621" t="s">
        <v>2284</v>
      </c>
      <c r="H621" t="s">
        <v>52</v>
      </c>
      <c r="I621">
        <v>31.838000000000001</v>
      </c>
      <c r="J621" t="s">
        <v>53</v>
      </c>
      <c r="K621">
        <v>0</v>
      </c>
      <c r="L621" t="s">
        <v>232</v>
      </c>
      <c r="M621" t="s">
        <v>444</v>
      </c>
      <c r="N621">
        <v>2.8400000000000002E-2</v>
      </c>
      <c r="O621" t="s">
        <v>56</v>
      </c>
      <c r="P621" t="s">
        <v>57</v>
      </c>
      <c r="Q621" t="s">
        <v>59</v>
      </c>
      <c r="R621" t="s">
        <v>58</v>
      </c>
      <c r="S621" t="s">
        <v>2285</v>
      </c>
      <c r="T621" t="s">
        <v>61</v>
      </c>
      <c r="U621">
        <v>1.5536000000000001</v>
      </c>
      <c r="V621" t="s">
        <v>62</v>
      </c>
      <c r="W621">
        <v>0</v>
      </c>
      <c r="X621">
        <v>30.283999999999999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68</v>
      </c>
      <c r="AG621" t="s">
        <v>65</v>
      </c>
      <c r="AH621" t="s">
        <v>65</v>
      </c>
      <c r="AI621" t="s">
        <v>67</v>
      </c>
      <c r="AK621" t="s">
        <v>66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73</v>
      </c>
      <c r="AT621" t="s">
        <v>71</v>
      </c>
      <c r="AU621">
        <v>0</v>
      </c>
      <c r="AV621">
        <v>0</v>
      </c>
    </row>
    <row r="622" spans="1:48" x14ac:dyDescent="0.25">
      <c r="A622" t="s">
        <v>2286</v>
      </c>
      <c r="B622" t="s">
        <v>73</v>
      </c>
      <c r="C622" t="s">
        <v>50</v>
      </c>
      <c r="D622">
        <v>440454.52510000003</v>
      </c>
      <c r="E622">
        <v>1827962.6987000001</v>
      </c>
      <c r="F622">
        <v>31.678000000000001</v>
      </c>
      <c r="G622" t="s">
        <v>2287</v>
      </c>
      <c r="H622" t="s">
        <v>52</v>
      </c>
      <c r="I622">
        <v>31.678000000000001</v>
      </c>
      <c r="J622" t="s">
        <v>53</v>
      </c>
      <c r="K622">
        <v>0</v>
      </c>
      <c r="L622" t="s">
        <v>232</v>
      </c>
      <c r="M622" t="s">
        <v>440</v>
      </c>
      <c r="N622">
        <v>2.8400000000000002E-2</v>
      </c>
      <c r="O622" t="s">
        <v>56</v>
      </c>
      <c r="P622" t="s">
        <v>57</v>
      </c>
      <c r="Q622" t="s">
        <v>59</v>
      </c>
      <c r="R622" t="s">
        <v>58</v>
      </c>
      <c r="S622" t="s">
        <v>2288</v>
      </c>
      <c r="T622" t="s">
        <v>61</v>
      </c>
      <c r="U622">
        <v>1.5530999999999999</v>
      </c>
      <c r="V622" t="s">
        <v>62</v>
      </c>
      <c r="W622">
        <v>0</v>
      </c>
      <c r="X622">
        <v>30.125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68</v>
      </c>
      <c r="AG622" t="s">
        <v>65</v>
      </c>
      <c r="AH622" t="s">
        <v>65</v>
      </c>
      <c r="AI622" t="s">
        <v>67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73</v>
      </c>
      <c r="AT622" t="s">
        <v>71</v>
      </c>
      <c r="AU622">
        <v>0</v>
      </c>
      <c r="AV622">
        <v>0</v>
      </c>
    </row>
    <row r="623" spans="1:48" x14ac:dyDescent="0.25">
      <c r="A623" t="s">
        <v>2289</v>
      </c>
      <c r="B623" t="s">
        <v>73</v>
      </c>
      <c r="C623" t="s">
        <v>50</v>
      </c>
      <c r="D623">
        <v>440454.52510000003</v>
      </c>
      <c r="E623">
        <v>1827942.6987000001</v>
      </c>
      <c r="F623">
        <v>31.518999999999998</v>
      </c>
      <c r="G623" t="s">
        <v>2290</v>
      </c>
      <c r="H623" t="s">
        <v>52</v>
      </c>
      <c r="I623">
        <v>31.518999999999998</v>
      </c>
      <c r="J623" t="s">
        <v>53</v>
      </c>
      <c r="K623">
        <v>0</v>
      </c>
      <c r="L623" t="s">
        <v>232</v>
      </c>
      <c r="M623" t="s">
        <v>597</v>
      </c>
      <c r="N623">
        <v>2.8400000000000002E-2</v>
      </c>
      <c r="O623" t="s">
        <v>56</v>
      </c>
      <c r="P623" t="s">
        <v>57</v>
      </c>
      <c r="Q623" t="s">
        <v>59</v>
      </c>
      <c r="R623" t="s">
        <v>58</v>
      </c>
      <c r="S623" t="s">
        <v>2291</v>
      </c>
      <c r="T623" t="s">
        <v>61</v>
      </c>
      <c r="U623">
        <v>1.6136999999999999</v>
      </c>
      <c r="V623" t="s">
        <v>62</v>
      </c>
      <c r="W623">
        <v>0</v>
      </c>
      <c r="X623">
        <v>29.905000000000001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68</v>
      </c>
      <c r="AG623" t="s">
        <v>65</v>
      </c>
      <c r="AH623" t="s">
        <v>65</v>
      </c>
      <c r="AI623" t="s">
        <v>67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73</v>
      </c>
      <c r="AT623" t="s">
        <v>71</v>
      </c>
      <c r="AU623">
        <v>0</v>
      </c>
      <c r="AV623">
        <v>0</v>
      </c>
    </row>
    <row r="624" spans="1:48" x14ac:dyDescent="0.25">
      <c r="A624" t="s">
        <v>2292</v>
      </c>
      <c r="B624" t="s">
        <v>49</v>
      </c>
      <c r="C624" t="s">
        <v>50</v>
      </c>
      <c r="D624">
        <v>440454.57120000001</v>
      </c>
      <c r="E624">
        <v>1827935.0608999999</v>
      </c>
      <c r="F624">
        <v>31.326000000000001</v>
      </c>
      <c r="G624" t="s">
        <v>2293</v>
      </c>
      <c r="H624" t="s">
        <v>52</v>
      </c>
      <c r="I624">
        <v>31.326000000000001</v>
      </c>
      <c r="J624" t="s">
        <v>53</v>
      </c>
      <c r="K624">
        <v>0</v>
      </c>
      <c r="L624" t="s">
        <v>241</v>
      </c>
      <c r="M624" t="s">
        <v>2294</v>
      </c>
      <c r="N624">
        <v>0.1</v>
      </c>
      <c r="O624" t="s">
        <v>56</v>
      </c>
      <c r="P624" t="s">
        <v>57</v>
      </c>
      <c r="Q624" t="s">
        <v>58</v>
      </c>
      <c r="R624" t="s">
        <v>59</v>
      </c>
      <c r="S624" t="s">
        <v>2295</v>
      </c>
      <c r="T624" t="s">
        <v>61</v>
      </c>
      <c r="U624">
        <v>1.5953999999999999</v>
      </c>
      <c r="V624" t="s">
        <v>62</v>
      </c>
      <c r="W624">
        <v>0</v>
      </c>
      <c r="X624">
        <v>29.731000000000002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2296</v>
      </c>
      <c r="B625" t="s">
        <v>2070</v>
      </c>
      <c r="C625" t="s">
        <v>50</v>
      </c>
      <c r="D625">
        <v>440463.85009999998</v>
      </c>
      <c r="E625">
        <v>1828038.1984000001</v>
      </c>
      <c r="F625">
        <v>32.128</v>
      </c>
      <c r="G625" t="s">
        <v>2297</v>
      </c>
      <c r="H625" t="s">
        <v>52</v>
      </c>
      <c r="I625">
        <v>32.128</v>
      </c>
      <c r="J625" t="s">
        <v>53</v>
      </c>
      <c r="K625">
        <v>0</v>
      </c>
      <c r="L625" t="s">
        <v>210</v>
      </c>
      <c r="M625" t="s">
        <v>2231</v>
      </c>
      <c r="N625">
        <v>0.22489999999999999</v>
      </c>
      <c r="O625" t="s">
        <v>56</v>
      </c>
      <c r="P625" t="s">
        <v>57</v>
      </c>
      <c r="Q625" t="s">
        <v>109</v>
      </c>
      <c r="R625" t="s">
        <v>59</v>
      </c>
      <c r="S625" t="s">
        <v>2298</v>
      </c>
      <c r="T625" t="s">
        <v>61</v>
      </c>
      <c r="U625">
        <v>1.4407000000000001</v>
      </c>
      <c r="V625" t="s">
        <v>62</v>
      </c>
      <c r="W625">
        <v>0</v>
      </c>
      <c r="X625">
        <v>30.687000000000001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2299</v>
      </c>
      <c r="AK625" t="s">
        <v>111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125</v>
      </c>
      <c r="AT625" t="s">
        <v>71</v>
      </c>
      <c r="AU625">
        <v>0</v>
      </c>
      <c r="AV625">
        <v>0</v>
      </c>
    </row>
    <row r="626" spans="1:48" x14ac:dyDescent="0.25">
      <c r="A626" t="s">
        <v>2300</v>
      </c>
      <c r="B626" t="s">
        <v>73</v>
      </c>
      <c r="C626" t="s">
        <v>50</v>
      </c>
      <c r="D626">
        <v>440463.92509999999</v>
      </c>
      <c r="E626">
        <v>1828018.3263999999</v>
      </c>
      <c r="F626">
        <v>32.122</v>
      </c>
      <c r="G626" t="s">
        <v>2301</v>
      </c>
      <c r="H626" t="s">
        <v>52</v>
      </c>
      <c r="I626">
        <v>32.122</v>
      </c>
      <c r="J626" t="s">
        <v>53</v>
      </c>
      <c r="K626">
        <v>0</v>
      </c>
      <c r="L626" t="s">
        <v>210</v>
      </c>
      <c r="M626" t="s">
        <v>2302</v>
      </c>
      <c r="N626">
        <v>0.14990000000000001</v>
      </c>
      <c r="O626" t="s">
        <v>56</v>
      </c>
      <c r="P626" t="s">
        <v>57</v>
      </c>
      <c r="Q626" t="s">
        <v>59</v>
      </c>
      <c r="R626" t="s">
        <v>58</v>
      </c>
      <c r="S626" t="s">
        <v>2303</v>
      </c>
      <c r="T626" t="s">
        <v>61</v>
      </c>
      <c r="U626">
        <v>1.5286999999999999</v>
      </c>
      <c r="V626" t="s">
        <v>62</v>
      </c>
      <c r="W626">
        <v>0</v>
      </c>
      <c r="X626">
        <v>30.593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68</v>
      </c>
      <c r="AG626" t="s">
        <v>65</v>
      </c>
      <c r="AH626" t="s">
        <v>65</v>
      </c>
      <c r="AI626" t="s">
        <v>67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73</v>
      </c>
      <c r="AT626" t="s">
        <v>71</v>
      </c>
      <c r="AU626">
        <v>0</v>
      </c>
      <c r="AV626">
        <v>0</v>
      </c>
    </row>
    <row r="627" spans="1:48" x14ac:dyDescent="0.25">
      <c r="A627" t="s">
        <v>2304</v>
      </c>
      <c r="B627" t="s">
        <v>73</v>
      </c>
      <c r="C627" t="s">
        <v>50</v>
      </c>
      <c r="D627">
        <v>440463.92509999999</v>
      </c>
      <c r="E627">
        <v>1827999.7261000001</v>
      </c>
      <c r="F627">
        <v>31.972999999999999</v>
      </c>
      <c r="G627" t="s">
        <v>2305</v>
      </c>
      <c r="H627" t="s">
        <v>52</v>
      </c>
      <c r="I627">
        <v>31.972999999999999</v>
      </c>
      <c r="J627" t="s">
        <v>53</v>
      </c>
      <c r="K627">
        <v>0</v>
      </c>
      <c r="L627" t="s">
        <v>210</v>
      </c>
      <c r="M627" t="s">
        <v>2306</v>
      </c>
      <c r="N627">
        <v>0.14990000000000001</v>
      </c>
      <c r="O627" t="s">
        <v>56</v>
      </c>
      <c r="P627" t="s">
        <v>57</v>
      </c>
      <c r="Q627" t="s">
        <v>59</v>
      </c>
      <c r="R627" t="s">
        <v>58</v>
      </c>
      <c r="S627" t="s">
        <v>2307</v>
      </c>
      <c r="T627" t="s">
        <v>61</v>
      </c>
      <c r="U627">
        <v>1.5384</v>
      </c>
      <c r="V627" t="s">
        <v>62</v>
      </c>
      <c r="W627">
        <v>0</v>
      </c>
      <c r="X627">
        <v>30.434999999999999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68</v>
      </c>
      <c r="AG627" t="s">
        <v>65</v>
      </c>
      <c r="AH627" t="s">
        <v>65</v>
      </c>
      <c r="AI627" t="s">
        <v>67</v>
      </c>
      <c r="AK627" t="s">
        <v>66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73</v>
      </c>
      <c r="AT627" t="s">
        <v>71</v>
      </c>
      <c r="AU627">
        <v>0</v>
      </c>
      <c r="AV627">
        <v>0</v>
      </c>
    </row>
    <row r="628" spans="1:48" x14ac:dyDescent="0.25">
      <c r="A628" t="s">
        <v>2308</v>
      </c>
      <c r="B628" t="s">
        <v>73</v>
      </c>
      <c r="C628" t="s">
        <v>50</v>
      </c>
      <c r="D628">
        <v>440463.92509999999</v>
      </c>
      <c r="E628">
        <v>1827982.6987000001</v>
      </c>
      <c r="F628">
        <v>31.838000000000001</v>
      </c>
      <c r="G628" t="s">
        <v>2309</v>
      </c>
      <c r="H628" t="s">
        <v>52</v>
      </c>
      <c r="I628">
        <v>31.838000000000001</v>
      </c>
      <c r="J628" t="s">
        <v>53</v>
      </c>
      <c r="K628">
        <v>0</v>
      </c>
      <c r="L628" t="s">
        <v>210</v>
      </c>
      <c r="M628" t="s">
        <v>444</v>
      </c>
      <c r="N628">
        <v>0.14990000000000001</v>
      </c>
      <c r="O628" t="s">
        <v>56</v>
      </c>
      <c r="P628" t="s">
        <v>57</v>
      </c>
      <c r="Q628" t="s">
        <v>59</v>
      </c>
      <c r="R628" t="s">
        <v>58</v>
      </c>
      <c r="S628" t="s">
        <v>2285</v>
      </c>
      <c r="T628" t="s">
        <v>61</v>
      </c>
      <c r="U628">
        <v>1.5536000000000001</v>
      </c>
      <c r="V628" t="s">
        <v>62</v>
      </c>
      <c r="W628">
        <v>0</v>
      </c>
      <c r="X628">
        <v>30.283999999999999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68</v>
      </c>
      <c r="AG628" t="s">
        <v>65</v>
      </c>
      <c r="AH628" t="s">
        <v>65</v>
      </c>
      <c r="AI628" t="s">
        <v>67</v>
      </c>
      <c r="AK628" t="s">
        <v>66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73</v>
      </c>
      <c r="AT628" t="s">
        <v>71</v>
      </c>
      <c r="AU628">
        <v>0</v>
      </c>
      <c r="AV628">
        <v>0</v>
      </c>
    </row>
    <row r="629" spans="1:48" x14ac:dyDescent="0.25">
      <c r="A629" t="s">
        <v>2310</v>
      </c>
      <c r="B629" t="s">
        <v>73</v>
      </c>
      <c r="C629" t="s">
        <v>50</v>
      </c>
      <c r="D629">
        <v>440463.92509999999</v>
      </c>
      <c r="E629">
        <v>1827962.6987000001</v>
      </c>
      <c r="F629">
        <v>31.678000000000001</v>
      </c>
      <c r="G629" t="s">
        <v>2311</v>
      </c>
      <c r="H629" t="s">
        <v>52</v>
      </c>
      <c r="I629">
        <v>31.678000000000001</v>
      </c>
      <c r="J629" t="s">
        <v>53</v>
      </c>
      <c r="K629">
        <v>0</v>
      </c>
      <c r="L629" t="s">
        <v>210</v>
      </c>
      <c r="M629" t="s">
        <v>440</v>
      </c>
      <c r="N629">
        <v>0.14990000000000001</v>
      </c>
      <c r="O629" t="s">
        <v>56</v>
      </c>
      <c r="P629" t="s">
        <v>57</v>
      </c>
      <c r="Q629" t="s">
        <v>59</v>
      </c>
      <c r="R629" t="s">
        <v>58</v>
      </c>
      <c r="S629" t="s">
        <v>2288</v>
      </c>
      <c r="T629" t="s">
        <v>61</v>
      </c>
      <c r="U629">
        <v>1.5530999999999999</v>
      </c>
      <c r="V629" t="s">
        <v>62</v>
      </c>
      <c r="W629">
        <v>0</v>
      </c>
      <c r="X629">
        <v>30.125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68</v>
      </c>
      <c r="AG629" t="s">
        <v>65</v>
      </c>
      <c r="AH629" t="s">
        <v>65</v>
      </c>
      <c r="AI629" t="s">
        <v>67</v>
      </c>
      <c r="AK629" t="s">
        <v>66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73</v>
      </c>
      <c r="AT629" t="s">
        <v>71</v>
      </c>
      <c r="AU629">
        <v>0</v>
      </c>
      <c r="AV629">
        <v>0</v>
      </c>
    </row>
    <row r="630" spans="1:48" x14ac:dyDescent="0.25">
      <c r="A630" t="s">
        <v>2312</v>
      </c>
      <c r="B630" t="s">
        <v>73</v>
      </c>
      <c r="C630" t="s">
        <v>50</v>
      </c>
      <c r="D630">
        <v>440463.92509999999</v>
      </c>
      <c r="E630">
        <v>1827942.6987000001</v>
      </c>
      <c r="F630">
        <v>31.518999999999998</v>
      </c>
      <c r="G630" t="s">
        <v>2313</v>
      </c>
      <c r="H630" t="s">
        <v>52</v>
      </c>
      <c r="I630">
        <v>31.518999999999998</v>
      </c>
      <c r="J630" t="s">
        <v>53</v>
      </c>
      <c r="K630">
        <v>0</v>
      </c>
      <c r="L630" t="s">
        <v>210</v>
      </c>
      <c r="M630" t="s">
        <v>597</v>
      </c>
      <c r="N630">
        <v>0.14990000000000001</v>
      </c>
      <c r="O630" t="s">
        <v>56</v>
      </c>
      <c r="P630" t="s">
        <v>57</v>
      </c>
      <c r="Q630" t="s">
        <v>59</v>
      </c>
      <c r="R630" t="s">
        <v>58</v>
      </c>
      <c r="S630" t="s">
        <v>2291</v>
      </c>
      <c r="T630" t="s">
        <v>61</v>
      </c>
      <c r="U630">
        <v>1.6136999999999999</v>
      </c>
      <c r="V630" t="s">
        <v>62</v>
      </c>
      <c r="W630">
        <v>0</v>
      </c>
      <c r="X630">
        <v>29.905000000000001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68</v>
      </c>
      <c r="AG630" t="s">
        <v>65</v>
      </c>
      <c r="AH630" t="s">
        <v>65</v>
      </c>
      <c r="AI630" t="s">
        <v>67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73</v>
      </c>
      <c r="AT630" t="s">
        <v>71</v>
      </c>
      <c r="AU630">
        <v>0</v>
      </c>
      <c r="AV630">
        <v>0</v>
      </c>
    </row>
    <row r="631" spans="1:48" x14ac:dyDescent="0.25">
      <c r="A631" t="s">
        <v>2314</v>
      </c>
      <c r="B631" t="s">
        <v>49</v>
      </c>
      <c r="C631" t="s">
        <v>50</v>
      </c>
      <c r="D631">
        <v>440464.07510000002</v>
      </c>
      <c r="E631">
        <v>1827935.0608999999</v>
      </c>
      <c r="F631">
        <v>31.323</v>
      </c>
      <c r="G631" t="s">
        <v>2315</v>
      </c>
      <c r="H631" t="s">
        <v>52</v>
      </c>
      <c r="I631">
        <v>31.323</v>
      </c>
      <c r="J631" t="s">
        <v>53</v>
      </c>
      <c r="K631">
        <v>0</v>
      </c>
      <c r="L631" t="s">
        <v>241</v>
      </c>
      <c r="M631" t="s">
        <v>2316</v>
      </c>
      <c r="N631">
        <v>0.1</v>
      </c>
      <c r="O631" t="s">
        <v>56</v>
      </c>
      <c r="P631" t="s">
        <v>57</v>
      </c>
      <c r="Q631" t="s">
        <v>58</v>
      </c>
      <c r="R631" t="s">
        <v>59</v>
      </c>
      <c r="S631" t="s">
        <v>2317</v>
      </c>
      <c r="T631" t="s">
        <v>61</v>
      </c>
      <c r="U631">
        <v>1.6012</v>
      </c>
      <c r="V631" t="s">
        <v>62</v>
      </c>
      <c r="W631">
        <v>0</v>
      </c>
      <c r="X631">
        <v>29.722000000000001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2318</v>
      </c>
      <c r="B632" t="s">
        <v>49</v>
      </c>
      <c r="C632" t="s">
        <v>50</v>
      </c>
      <c r="D632">
        <v>440502.63459999999</v>
      </c>
      <c r="E632">
        <v>1827935.0608999999</v>
      </c>
      <c r="F632">
        <v>31.321999999999999</v>
      </c>
      <c r="G632" t="s">
        <v>2319</v>
      </c>
      <c r="H632" t="s">
        <v>52</v>
      </c>
      <c r="I632">
        <v>31.321999999999999</v>
      </c>
      <c r="J632" t="s">
        <v>53</v>
      </c>
      <c r="K632">
        <v>0</v>
      </c>
      <c r="L632" t="s">
        <v>241</v>
      </c>
      <c r="M632" s="1" t="s">
        <v>2320</v>
      </c>
      <c r="N632">
        <v>0.1</v>
      </c>
      <c r="O632" t="s">
        <v>56</v>
      </c>
      <c r="P632" t="s">
        <v>57</v>
      </c>
      <c r="Q632" t="s">
        <v>58</v>
      </c>
      <c r="R632" t="s">
        <v>59</v>
      </c>
      <c r="S632" t="s">
        <v>2321</v>
      </c>
      <c r="T632" t="s">
        <v>61</v>
      </c>
      <c r="U632">
        <v>1.6978</v>
      </c>
      <c r="V632" t="s">
        <v>62</v>
      </c>
      <c r="W632">
        <v>0</v>
      </c>
      <c r="X632">
        <v>29.623999999999999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49</v>
      </c>
      <c r="AT632" t="s">
        <v>71</v>
      </c>
      <c r="AU632">
        <v>0</v>
      </c>
      <c r="AV632">
        <v>0</v>
      </c>
    </row>
    <row r="633" spans="1:48" x14ac:dyDescent="0.25">
      <c r="A633" t="s">
        <v>2322</v>
      </c>
      <c r="B633" t="s">
        <v>49</v>
      </c>
      <c r="C633" t="s">
        <v>50</v>
      </c>
      <c r="D633">
        <v>440470.42509999999</v>
      </c>
      <c r="E633">
        <v>1828037.9972999999</v>
      </c>
      <c r="F633">
        <v>32.264000000000003</v>
      </c>
      <c r="G633" t="s">
        <v>2323</v>
      </c>
      <c r="H633" t="s">
        <v>52</v>
      </c>
      <c r="I633">
        <v>32.264000000000003</v>
      </c>
      <c r="J633" t="s">
        <v>53</v>
      </c>
      <c r="K633">
        <v>0</v>
      </c>
      <c r="L633" t="s">
        <v>2263</v>
      </c>
      <c r="M633" s="1" t="s">
        <v>432</v>
      </c>
      <c r="N633">
        <v>8.2600000000000007E-2</v>
      </c>
      <c r="O633" t="s">
        <v>56</v>
      </c>
      <c r="P633" t="s">
        <v>57</v>
      </c>
      <c r="Q633" t="s">
        <v>58</v>
      </c>
      <c r="R633" t="s">
        <v>59</v>
      </c>
      <c r="S633" t="s">
        <v>2324</v>
      </c>
      <c r="T633" t="s">
        <v>61</v>
      </c>
      <c r="U633">
        <v>1.4863</v>
      </c>
      <c r="V633" t="s">
        <v>62</v>
      </c>
      <c r="W633">
        <v>0</v>
      </c>
      <c r="X633">
        <v>30.777999999999999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49</v>
      </c>
      <c r="AT633" t="s">
        <v>71</v>
      </c>
      <c r="AU633">
        <v>0</v>
      </c>
      <c r="AV633">
        <v>0</v>
      </c>
    </row>
    <row r="634" spans="1:48" x14ac:dyDescent="0.25">
      <c r="A634" t="s">
        <v>2325</v>
      </c>
      <c r="B634" t="s">
        <v>49</v>
      </c>
      <c r="C634" t="s">
        <v>50</v>
      </c>
      <c r="D634">
        <v>440490.42509999999</v>
      </c>
      <c r="E634">
        <v>1828037.9972999999</v>
      </c>
      <c r="F634">
        <v>32.171999999999997</v>
      </c>
      <c r="G634" t="s">
        <v>2326</v>
      </c>
      <c r="H634" t="s">
        <v>52</v>
      </c>
      <c r="I634">
        <v>32.171999999999997</v>
      </c>
      <c r="J634" t="s">
        <v>53</v>
      </c>
      <c r="K634">
        <v>0</v>
      </c>
      <c r="L634" t="s">
        <v>2263</v>
      </c>
      <c r="M634" t="s">
        <v>597</v>
      </c>
      <c r="N634">
        <v>8.2600000000000007E-2</v>
      </c>
      <c r="O634" t="s">
        <v>56</v>
      </c>
      <c r="P634" t="s">
        <v>57</v>
      </c>
      <c r="Q634" t="s">
        <v>58</v>
      </c>
      <c r="R634" t="s">
        <v>59</v>
      </c>
      <c r="S634" t="s">
        <v>2327</v>
      </c>
      <c r="T634" t="s">
        <v>61</v>
      </c>
      <c r="U634">
        <v>1.4863</v>
      </c>
      <c r="V634" t="s">
        <v>62</v>
      </c>
      <c r="W634">
        <v>0</v>
      </c>
      <c r="X634">
        <v>30.686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49</v>
      </c>
      <c r="AT634" t="s">
        <v>71</v>
      </c>
      <c r="AU634">
        <v>0</v>
      </c>
      <c r="AV634">
        <v>0</v>
      </c>
    </row>
    <row r="635" spans="1:48" x14ac:dyDescent="0.25">
      <c r="A635" t="s">
        <v>2328</v>
      </c>
      <c r="B635" t="s">
        <v>49</v>
      </c>
      <c r="C635" t="s">
        <v>50</v>
      </c>
      <c r="D635">
        <v>440510.42509999999</v>
      </c>
      <c r="E635">
        <v>1828037.9972999999</v>
      </c>
      <c r="F635">
        <v>32.08</v>
      </c>
      <c r="G635" t="s">
        <v>2329</v>
      </c>
      <c r="H635" t="s">
        <v>52</v>
      </c>
      <c r="I635">
        <v>32.08</v>
      </c>
      <c r="J635" t="s">
        <v>53</v>
      </c>
      <c r="K635">
        <v>0</v>
      </c>
      <c r="L635" t="s">
        <v>2263</v>
      </c>
      <c r="M635" t="s">
        <v>440</v>
      </c>
      <c r="N635">
        <v>8.2600000000000007E-2</v>
      </c>
      <c r="O635" t="s">
        <v>56</v>
      </c>
      <c r="P635" t="s">
        <v>57</v>
      </c>
      <c r="Q635" t="s">
        <v>58</v>
      </c>
      <c r="R635" t="s">
        <v>59</v>
      </c>
      <c r="S635" t="s">
        <v>2330</v>
      </c>
      <c r="T635" t="s">
        <v>61</v>
      </c>
      <c r="U635">
        <v>1.6001000000000001</v>
      </c>
      <c r="V635" t="s">
        <v>62</v>
      </c>
      <c r="W635">
        <v>0</v>
      </c>
      <c r="X635">
        <v>30.48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2331</v>
      </c>
      <c r="B636" t="s">
        <v>49</v>
      </c>
      <c r="C636" t="s">
        <v>50</v>
      </c>
      <c r="D636">
        <v>440519.97509999998</v>
      </c>
      <c r="E636">
        <v>1828037.8473</v>
      </c>
      <c r="F636">
        <v>31.89</v>
      </c>
      <c r="G636" t="s">
        <v>2332</v>
      </c>
      <c r="H636" t="s">
        <v>52</v>
      </c>
      <c r="I636">
        <v>31.89</v>
      </c>
      <c r="J636" t="s">
        <v>53</v>
      </c>
      <c r="K636">
        <v>0</v>
      </c>
      <c r="L636" t="s">
        <v>2263</v>
      </c>
      <c r="M636" t="s">
        <v>2333</v>
      </c>
      <c r="N636">
        <v>-6.7400000000000002E-2</v>
      </c>
      <c r="O636" t="s">
        <v>56</v>
      </c>
      <c r="P636" t="s">
        <v>57</v>
      </c>
      <c r="Q636" t="s">
        <v>58</v>
      </c>
      <c r="R636" t="s">
        <v>59</v>
      </c>
      <c r="S636" t="s">
        <v>2334</v>
      </c>
      <c r="T636" t="s">
        <v>61</v>
      </c>
      <c r="U636">
        <v>1.4401999999999999</v>
      </c>
      <c r="V636" t="s">
        <v>62</v>
      </c>
      <c r="W636">
        <v>0</v>
      </c>
      <c r="X636">
        <v>30.45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2335</v>
      </c>
      <c r="B637" t="s">
        <v>73</v>
      </c>
      <c r="C637" t="s">
        <v>50</v>
      </c>
      <c r="D637">
        <v>440520.1251</v>
      </c>
      <c r="E637">
        <v>1827998.953</v>
      </c>
      <c r="F637">
        <v>31.724</v>
      </c>
      <c r="G637" t="s">
        <v>2336</v>
      </c>
      <c r="H637" t="s">
        <v>52</v>
      </c>
      <c r="I637">
        <v>31.724</v>
      </c>
      <c r="J637" t="s">
        <v>53</v>
      </c>
      <c r="K637">
        <v>0</v>
      </c>
      <c r="L637" t="s">
        <v>265</v>
      </c>
      <c r="M637" t="s">
        <v>2337</v>
      </c>
      <c r="N637">
        <v>-0.15</v>
      </c>
      <c r="O637" t="s">
        <v>56</v>
      </c>
      <c r="P637" t="s">
        <v>57</v>
      </c>
      <c r="Q637" t="s">
        <v>59</v>
      </c>
      <c r="R637" t="s">
        <v>58</v>
      </c>
      <c r="S637" t="s">
        <v>2338</v>
      </c>
      <c r="T637" t="s">
        <v>61</v>
      </c>
      <c r="U637">
        <v>1.5133000000000001</v>
      </c>
      <c r="V637" t="s">
        <v>62</v>
      </c>
      <c r="W637">
        <v>0</v>
      </c>
      <c r="X637">
        <v>30.210999999999999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67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73</v>
      </c>
      <c r="AT637" t="s">
        <v>71</v>
      </c>
      <c r="AU637">
        <v>0</v>
      </c>
      <c r="AV637">
        <v>0</v>
      </c>
    </row>
    <row r="638" spans="1:48" x14ac:dyDescent="0.25">
      <c r="A638" t="s">
        <v>2339</v>
      </c>
      <c r="B638" t="s">
        <v>73</v>
      </c>
      <c r="C638" t="s">
        <v>50</v>
      </c>
      <c r="D638">
        <v>440520.1251</v>
      </c>
      <c r="E638">
        <v>1827982.6984000001</v>
      </c>
      <c r="F638">
        <v>31.617000000000001</v>
      </c>
      <c r="G638" t="s">
        <v>2340</v>
      </c>
      <c r="H638" t="s">
        <v>52</v>
      </c>
      <c r="I638">
        <v>31.617000000000001</v>
      </c>
      <c r="J638" t="s">
        <v>53</v>
      </c>
      <c r="K638">
        <v>0</v>
      </c>
      <c r="L638" t="s">
        <v>265</v>
      </c>
      <c r="M638" t="s">
        <v>444</v>
      </c>
      <c r="N638">
        <v>-0.15</v>
      </c>
      <c r="O638" t="s">
        <v>56</v>
      </c>
      <c r="P638" t="s">
        <v>57</v>
      </c>
      <c r="Q638" t="s">
        <v>59</v>
      </c>
      <c r="R638" t="s">
        <v>58</v>
      </c>
      <c r="S638" t="s">
        <v>2341</v>
      </c>
      <c r="T638" t="s">
        <v>61</v>
      </c>
      <c r="U638">
        <v>1.5266</v>
      </c>
      <c r="V638" t="s">
        <v>62</v>
      </c>
      <c r="W638">
        <v>0</v>
      </c>
      <c r="X638">
        <v>30.09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67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73</v>
      </c>
      <c r="AT638" t="s">
        <v>71</v>
      </c>
      <c r="AU638">
        <v>0</v>
      </c>
      <c r="AV638">
        <v>0</v>
      </c>
    </row>
    <row r="639" spans="1:48" x14ac:dyDescent="0.25">
      <c r="A639" t="s">
        <v>2342</v>
      </c>
      <c r="B639" t="s">
        <v>73</v>
      </c>
      <c r="C639" t="s">
        <v>50</v>
      </c>
      <c r="D639">
        <v>440520.1251</v>
      </c>
      <c r="E639">
        <v>1827962.6984000001</v>
      </c>
      <c r="F639">
        <v>31.484000000000002</v>
      </c>
      <c r="G639" t="s">
        <v>2343</v>
      </c>
      <c r="H639" t="s">
        <v>52</v>
      </c>
      <c r="I639">
        <v>31.484000000000002</v>
      </c>
      <c r="J639" t="s">
        <v>53</v>
      </c>
      <c r="K639">
        <v>0</v>
      </c>
      <c r="L639" t="s">
        <v>265</v>
      </c>
      <c r="M639" t="s">
        <v>440</v>
      </c>
      <c r="N639">
        <v>-0.15</v>
      </c>
      <c r="O639" t="s">
        <v>56</v>
      </c>
      <c r="P639" t="s">
        <v>57</v>
      </c>
      <c r="Q639" t="s">
        <v>59</v>
      </c>
      <c r="R639" t="s">
        <v>58</v>
      </c>
      <c r="S639" t="s">
        <v>2344</v>
      </c>
      <c r="T639" t="s">
        <v>61</v>
      </c>
      <c r="U639">
        <v>1.5262</v>
      </c>
      <c r="V639" t="s">
        <v>62</v>
      </c>
      <c r="W639">
        <v>0</v>
      </c>
      <c r="X639">
        <v>29.957999999999998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66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73</v>
      </c>
      <c r="AT639" t="s">
        <v>71</v>
      </c>
      <c r="AU639">
        <v>0</v>
      </c>
      <c r="AV639">
        <v>0</v>
      </c>
    </row>
    <row r="640" spans="1:48" x14ac:dyDescent="0.25">
      <c r="A640" t="s">
        <v>2345</v>
      </c>
      <c r="B640" t="s">
        <v>73</v>
      </c>
      <c r="C640" t="s">
        <v>50</v>
      </c>
      <c r="D640">
        <v>440520.1251</v>
      </c>
      <c r="E640">
        <v>1827942.6984000001</v>
      </c>
      <c r="F640">
        <v>31.352</v>
      </c>
      <c r="G640" t="s">
        <v>2346</v>
      </c>
      <c r="H640" t="s">
        <v>52</v>
      </c>
      <c r="I640">
        <v>31.352</v>
      </c>
      <c r="J640" t="s">
        <v>53</v>
      </c>
      <c r="K640">
        <v>0</v>
      </c>
      <c r="L640" t="s">
        <v>265</v>
      </c>
      <c r="M640" t="s">
        <v>597</v>
      </c>
      <c r="N640">
        <v>-0.15</v>
      </c>
      <c r="O640" t="s">
        <v>56</v>
      </c>
      <c r="P640" t="s">
        <v>57</v>
      </c>
      <c r="Q640" t="s">
        <v>59</v>
      </c>
      <c r="R640" t="s">
        <v>58</v>
      </c>
      <c r="S640" t="s">
        <v>2347</v>
      </c>
      <c r="T640" t="s">
        <v>61</v>
      </c>
      <c r="U640">
        <v>1.6067</v>
      </c>
      <c r="V640" t="s">
        <v>62</v>
      </c>
      <c r="W640">
        <v>0</v>
      </c>
      <c r="X640">
        <v>29.745000000000001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73</v>
      </c>
      <c r="AT640" t="s">
        <v>71</v>
      </c>
      <c r="AU640">
        <v>0</v>
      </c>
      <c r="AV640">
        <v>0</v>
      </c>
    </row>
    <row r="641" spans="1:48" x14ac:dyDescent="0.25">
      <c r="A641" t="s">
        <v>2348</v>
      </c>
      <c r="B641" t="s">
        <v>49</v>
      </c>
      <c r="C641" t="s">
        <v>50</v>
      </c>
      <c r="D641">
        <v>440520.1251</v>
      </c>
      <c r="E641">
        <v>1827934.9609000001</v>
      </c>
      <c r="F641">
        <v>31.149000000000001</v>
      </c>
      <c r="G641" t="s">
        <v>2349</v>
      </c>
      <c r="H641" t="s">
        <v>52</v>
      </c>
      <c r="I641">
        <v>31.149000000000001</v>
      </c>
      <c r="J641" t="s">
        <v>53</v>
      </c>
      <c r="K641">
        <v>0</v>
      </c>
      <c r="L641" t="s">
        <v>241</v>
      </c>
      <c r="M641" t="s">
        <v>2350</v>
      </c>
      <c r="N641">
        <v>0</v>
      </c>
      <c r="O641" t="s">
        <v>56</v>
      </c>
      <c r="P641" t="s">
        <v>57</v>
      </c>
      <c r="Q641" t="s">
        <v>58</v>
      </c>
      <c r="R641" t="s">
        <v>59</v>
      </c>
      <c r="S641" t="s">
        <v>2351</v>
      </c>
      <c r="T641" t="s">
        <v>61</v>
      </c>
      <c r="U641">
        <v>1.7278</v>
      </c>
      <c r="V641" t="s">
        <v>62</v>
      </c>
      <c r="W641">
        <v>0</v>
      </c>
      <c r="X641">
        <v>29.420999999999999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183</v>
      </c>
      <c r="AK641" t="s">
        <v>68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49</v>
      </c>
      <c r="AT641" t="s">
        <v>71</v>
      </c>
      <c r="AU641">
        <v>0</v>
      </c>
      <c r="AV641">
        <v>0</v>
      </c>
    </row>
    <row r="642" spans="1:48" x14ac:dyDescent="0.25">
      <c r="A642" t="s">
        <v>2352</v>
      </c>
      <c r="B642" t="s">
        <v>49</v>
      </c>
      <c r="C642" t="s">
        <v>50</v>
      </c>
      <c r="D642">
        <v>440230.42509999999</v>
      </c>
      <c r="E642">
        <v>1828037.9972999999</v>
      </c>
      <c r="F642">
        <v>33.369999999999997</v>
      </c>
      <c r="G642" t="s">
        <v>2353</v>
      </c>
      <c r="H642" t="s">
        <v>52</v>
      </c>
      <c r="I642">
        <v>33.369999999999997</v>
      </c>
      <c r="J642" t="s">
        <v>53</v>
      </c>
      <c r="K642">
        <v>0</v>
      </c>
      <c r="L642" t="s">
        <v>2263</v>
      </c>
      <c r="M642" t="s">
        <v>853</v>
      </c>
      <c r="N642">
        <v>8.2600000000000007E-2</v>
      </c>
      <c r="O642" t="s">
        <v>56</v>
      </c>
      <c r="P642" t="s">
        <v>57</v>
      </c>
      <c r="Q642" t="s">
        <v>58</v>
      </c>
      <c r="R642" t="s">
        <v>59</v>
      </c>
      <c r="S642" t="s">
        <v>2354</v>
      </c>
      <c r="T642" t="s">
        <v>61</v>
      </c>
      <c r="U642">
        <v>1.4858</v>
      </c>
      <c r="V642" t="s">
        <v>62</v>
      </c>
      <c r="W642">
        <v>0</v>
      </c>
      <c r="X642">
        <v>31.884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68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49</v>
      </c>
      <c r="AT642" t="s">
        <v>71</v>
      </c>
      <c r="AU642">
        <v>0</v>
      </c>
      <c r="AV642">
        <v>0</v>
      </c>
    </row>
    <row r="643" spans="1:48" x14ac:dyDescent="0.25">
      <c r="A643" t="s">
        <v>2355</v>
      </c>
      <c r="B643" t="s">
        <v>49</v>
      </c>
      <c r="C643" t="s">
        <v>50</v>
      </c>
      <c r="D643">
        <v>440250.42509999999</v>
      </c>
      <c r="E643">
        <v>1828037.9972999999</v>
      </c>
      <c r="F643">
        <v>33.277999999999999</v>
      </c>
      <c r="G643" t="s">
        <v>2356</v>
      </c>
      <c r="H643" t="s">
        <v>52</v>
      </c>
      <c r="I643">
        <v>33.277999999999999</v>
      </c>
      <c r="J643" t="s">
        <v>53</v>
      </c>
      <c r="K643">
        <v>0</v>
      </c>
      <c r="L643" t="s">
        <v>2263</v>
      </c>
      <c r="M643" t="s">
        <v>1457</v>
      </c>
      <c r="N643">
        <v>8.2600000000000007E-2</v>
      </c>
      <c r="O643" t="s">
        <v>56</v>
      </c>
      <c r="P643" t="s">
        <v>57</v>
      </c>
      <c r="Q643" t="s">
        <v>58</v>
      </c>
      <c r="R643" t="s">
        <v>59</v>
      </c>
      <c r="S643" t="s">
        <v>2357</v>
      </c>
      <c r="T643" t="s">
        <v>61</v>
      </c>
      <c r="U643">
        <v>1.4866999999999999</v>
      </c>
      <c r="V643" t="s">
        <v>62</v>
      </c>
      <c r="W643">
        <v>0</v>
      </c>
      <c r="X643">
        <v>31.791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66</v>
      </c>
      <c r="AG643" t="s">
        <v>65</v>
      </c>
      <c r="AH643" t="s">
        <v>65</v>
      </c>
      <c r="AI643" t="s">
        <v>67</v>
      </c>
      <c r="AK643" t="s">
        <v>68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49</v>
      </c>
      <c r="AT643" t="s">
        <v>71</v>
      </c>
      <c r="AU643">
        <v>0</v>
      </c>
      <c r="AV643">
        <v>0</v>
      </c>
    </row>
    <row r="644" spans="1:48" x14ac:dyDescent="0.25">
      <c r="A644" t="s">
        <v>2358</v>
      </c>
      <c r="B644" t="s">
        <v>49</v>
      </c>
      <c r="C644" t="s">
        <v>50</v>
      </c>
      <c r="D644">
        <v>440270.42509999999</v>
      </c>
      <c r="E644">
        <v>1828037.9972999999</v>
      </c>
      <c r="F644">
        <v>33.186</v>
      </c>
      <c r="G644" t="s">
        <v>2359</v>
      </c>
      <c r="H644" t="s">
        <v>52</v>
      </c>
      <c r="I644">
        <v>33.186</v>
      </c>
      <c r="J644" t="s">
        <v>53</v>
      </c>
      <c r="K644">
        <v>0</v>
      </c>
      <c r="L644" t="s">
        <v>2263</v>
      </c>
      <c r="M644" t="s">
        <v>1065</v>
      </c>
      <c r="N644">
        <v>8.2600000000000007E-2</v>
      </c>
      <c r="O644" t="s">
        <v>56</v>
      </c>
      <c r="P644" t="s">
        <v>57</v>
      </c>
      <c r="Q644" t="s">
        <v>58</v>
      </c>
      <c r="R644" t="s">
        <v>59</v>
      </c>
      <c r="S644" t="s">
        <v>2360</v>
      </c>
      <c r="T644" t="s">
        <v>61</v>
      </c>
      <c r="U644">
        <v>1.4864999999999999</v>
      </c>
      <c r="V644" t="s">
        <v>62</v>
      </c>
      <c r="W644">
        <v>0</v>
      </c>
      <c r="X644">
        <v>31.699000000000002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67</v>
      </c>
      <c r="AK644" t="s">
        <v>68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49</v>
      </c>
      <c r="AT644" t="s">
        <v>71</v>
      </c>
      <c r="AU644">
        <v>0</v>
      </c>
      <c r="AV644">
        <v>0</v>
      </c>
    </row>
    <row r="645" spans="1:48" x14ac:dyDescent="0.25">
      <c r="A645" t="s">
        <v>2361</v>
      </c>
      <c r="B645" t="s">
        <v>49</v>
      </c>
      <c r="C645" t="s">
        <v>50</v>
      </c>
      <c r="D645">
        <v>440290.42509999999</v>
      </c>
      <c r="E645">
        <v>1828037.9972999999</v>
      </c>
      <c r="F645">
        <v>33.093000000000004</v>
      </c>
      <c r="G645" t="s">
        <v>2362</v>
      </c>
      <c r="H645" t="s">
        <v>52</v>
      </c>
      <c r="I645">
        <v>33.093000000000004</v>
      </c>
      <c r="J645" t="s">
        <v>53</v>
      </c>
      <c r="K645">
        <v>0</v>
      </c>
      <c r="L645" t="s">
        <v>2263</v>
      </c>
      <c r="M645" t="s">
        <v>1061</v>
      </c>
      <c r="N645">
        <v>8.2600000000000007E-2</v>
      </c>
      <c r="O645" t="s">
        <v>56</v>
      </c>
      <c r="P645" t="s">
        <v>57</v>
      </c>
      <c r="Q645" t="s">
        <v>58</v>
      </c>
      <c r="R645" t="s">
        <v>59</v>
      </c>
      <c r="S645" t="s">
        <v>2363</v>
      </c>
      <c r="T645" t="s">
        <v>61</v>
      </c>
      <c r="U645">
        <v>1.4863999999999999</v>
      </c>
      <c r="V645" t="s">
        <v>62</v>
      </c>
      <c r="W645">
        <v>0</v>
      </c>
      <c r="X645">
        <v>31.606999999999999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67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49</v>
      </c>
      <c r="AT645" t="s">
        <v>71</v>
      </c>
      <c r="AU645">
        <v>0</v>
      </c>
      <c r="AV645">
        <v>0</v>
      </c>
    </row>
    <row r="646" spans="1:48" x14ac:dyDescent="0.25">
      <c r="A646" t="s">
        <v>2364</v>
      </c>
      <c r="B646" t="s">
        <v>49</v>
      </c>
      <c r="C646" t="s">
        <v>50</v>
      </c>
      <c r="D646">
        <v>440310.42509999999</v>
      </c>
      <c r="E646">
        <v>1828037.9972999999</v>
      </c>
      <c r="F646">
        <v>33.000999999999998</v>
      </c>
      <c r="G646" t="s">
        <v>2365</v>
      </c>
      <c r="H646" t="s">
        <v>52</v>
      </c>
      <c r="I646">
        <v>33.000999999999998</v>
      </c>
      <c r="J646" t="s">
        <v>53</v>
      </c>
      <c r="K646">
        <v>0</v>
      </c>
      <c r="L646" t="s">
        <v>2263</v>
      </c>
      <c r="M646" t="s">
        <v>1057</v>
      </c>
      <c r="N646">
        <v>8.2600000000000007E-2</v>
      </c>
      <c r="O646" t="s">
        <v>56</v>
      </c>
      <c r="P646" t="s">
        <v>57</v>
      </c>
      <c r="Q646" t="s">
        <v>58</v>
      </c>
      <c r="R646" t="s">
        <v>59</v>
      </c>
      <c r="S646" t="s">
        <v>2366</v>
      </c>
      <c r="T646" t="s">
        <v>61</v>
      </c>
      <c r="U646">
        <v>1.4863</v>
      </c>
      <c r="V646" t="s">
        <v>62</v>
      </c>
      <c r="W646">
        <v>0</v>
      </c>
      <c r="X646">
        <v>31.515000000000001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2367</v>
      </c>
      <c r="B647" t="s">
        <v>49</v>
      </c>
      <c r="C647" t="s">
        <v>50</v>
      </c>
      <c r="D647">
        <v>440330.42509999999</v>
      </c>
      <c r="E647">
        <v>1828037.9972999999</v>
      </c>
      <c r="F647">
        <v>32.908999999999999</v>
      </c>
      <c r="G647" t="s">
        <v>2368</v>
      </c>
      <c r="H647" t="s">
        <v>52</v>
      </c>
      <c r="I647">
        <v>32.908999999999999</v>
      </c>
      <c r="J647" t="s">
        <v>53</v>
      </c>
      <c r="K647">
        <v>0</v>
      </c>
      <c r="L647" t="s">
        <v>2263</v>
      </c>
      <c r="M647" t="s">
        <v>1444</v>
      </c>
      <c r="N647">
        <v>8.2600000000000007E-2</v>
      </c>
      <c r="O647" t="s">
        <v>56</v>
      </c>
      <c r="P647" t="s">
        <v>57</v>
      </c>
      <c r="Q647" t="s">
        <v>58</v>
      </c>
      <c r="R647" t="s">
        <v>59</v>
      </c>
      <c r="S647" t="s">
        <v>2369</v>
      </c>
      <c r="T647" t="s">
        <v>61</v>
      </c>
      <c r="U647">
        <v>1.4862</v>
      </c>
      <c r="V647" t="s">
        <v>62</v>
      </c>
      <c r="W647">
        <v>0</v>
      </c>
      <c r="X647">
        <v>31.422999999999998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2370</v>
      </c>
      <c r="B648" t="s">
        <v>49</v>
      </c>
      <c r="C648" t="s">
        <v>50</v>
      </c>
      <c r="D648">
        <v>440350.42509999999</v>
      </c>
      <c r="E648">
        <v>1828037.9972999999</v>
      </c>
      <c r="F648">
        <v>32.817</v>
      </c>
      <c r="G648" t="s">
        <v>2371</v>
      </c>
      <c r="H648" t="s">
        <v>52</v>
      </c>
      <c r="I648">
        <v>32.817</v>
      </c>
      <c r="J648" t="s">
        <v>53</v>
      </c>
      <c r="K648">
        <v>0</v>
      </c>
      <c r="L648" t="s">
        <v>2263</v>
      </c>
      <c r="M648" t="s">
        <v>525</v>
      </c>
      <c r="N648">
        <v>8.2600000000000007E-2</v>
      </c>
      <c r="O648" t="s">
        <v>56</v>
      </c>
      <c r="P648" t="s">
        <v>57</v>
      </c>
      <c r="Q648" t="s">
        <v>58</v>
      </c>
      <c r="R648" t="s">
        <v>59</v>
      </c>
      <c r="S648" t="s">
        <v>2372</v>
      </c>
      <c r="T648" t="s">
        <v>61</v>
      </c>
      <c r="U648">
        <v>1.4861</v>
      </c>
      <c r="V648" t="s">
        <v>62</v>
      </c>
      <c r="W648">
        <v>0</v>
      </c>
      <c r="X648">
        <v>31.331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2373</v>
      </c>
      <c r="B649" t="s">
        <v>49</v>
      </c>
      <c r="C649" t="s">
        <v>50</v>
      </c>
      <c r="D649">
        <v>440370.42509999999</v>
      </c>
      <c r="E649">
        <v>1828037.9972999999</v>
      </c>
      <c r="F649">
        <v>32.725000000000001</v>
      </c>
      <c r="G649" t="s">
        <v>2374</v>
      </c>
      <c r="H649" t="s">
        <v>52</v>
      </c>
      <c r="I649">
        <v>32.725000000000001</v>
      </c>
      <c r="J649" t="s">
        <v>53</v>
      </c>
      <c r="K649">
        <v>0</v>
      </c>
      <c r="L649" t="s">
        <v>2263</v>
      </c>
      <c r="M649" t="s">
        <v>529</v>
      </c>
      <c r="N649">
        <v>8.2600000000000007E-2</v>
      </c>
      <c r="O649" t="s">
        <v>56</v>
      </c>
      <c r="P649" t="s">
        <v>57</v>
      </c>
      <c r="Q649" t="s">
        <v>58</v>
      </c>
      <c r="R649" t="s">
        <v>59</v>
      </c>
      <c r="S649" t="s">
        <v>2375</v>
      </c>
      <c r="T649" t="s">
        <v>61</v>
      </c>
      <c r="U649">
        <v>1.613</v>
      </c>
      <c r="V649" t="s">
        <v>62</v>
      </c>
      <c r="W649">
        <v>0</v>
      </c>
      <c r="X649">
        <v>31.111999999999998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2376</v>
      </c>
      <c r="B650" t="s">
        <v>49</v>
      </c>
      <c r="C650" t="s">
        <v>50</v>
      </c>
      <c r="D650">
        <v>440387.3751</v>
      </c>
      <c r="E650">
        <v>1828037.9972999999</v>
      </c>
      <c r="F650">
        <v>32.491999999999997</v>
      </c>
      <c r="G650" t="s">
        <v>2377</v>
      </c>
      <c r="H650" t="s">
        <v>52</v>
      </c>
      <c r="I650">
        <v>32.491999999999997</v>
      </c>
      <c r="J650" t="s">
        <v>53</v>
      </c>
      <c r="K650">
        <v>0</v>
      </c>
      <c r="L650" t="s">
        <v>2263</v>
      </c>
      <c r="M650" t="s">
        <v>2378</v>
      </c>
      <c r="N650">
        <v>8.2600000000000007E-2</v>
      </c>
      <c r="O650" t="s">
        <v>56</v>
      </c>
      <c r="P650" t="s">
        <v>57</v>
      </c>
      <c r="Q650" t="s">
        <v>58</v>
      </c>
      <c r="R650" t="s">
        <v>59</v>
      </c>
      <c r="S650" t="s">
        <v>2379</v>
      </c>
      <c r="T650" t="s">
        <v>61</v>
      </c>
      <c r="U650">
        <v>1.4852000000000001</v>
      </c>
      <c r="V650" t="s">
        <v>62</v>
      </c>
      <c r="W650">
        <v>0</v>
      </c>
      <c r="X650">
        <v>31.007000000000001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2380</v>
      </c>
      <c r="B651" t="s">
        <v>105</v>
      </c>
      <c r="C651" t="s">
        <v>50</v>
      </c>
      <c r="D651">
        <v>440387.60009999998</v>
      </c>
      <c r="E651">
        <v>1828019.3914999999</v>
      </c>
      <c r="F651">
        <v>32.417000000000002</v>
      </c>
      <c r="G651" t="s">
        <v>2381</v>
      </c>
      <c r="H651" t="s">
        <v>52</v>
      </c>
      <c r="I651">
        <v>32.417000000000002</v>
      </c>
      <c r="J651" t="s">
        <v>53</v>
      </c>
      <c r="K651">
        <v>0</v>
      </c>
      <c r="L651" t="s">
        <v>246</v>
      </c>
      <c r="M651" t="s">
        <v>2382</v>
      </c>
      <c r="N651">
        <v>-0.22500000000000001</v>
      </c>
      <c r="O651" t="s">
        <v>56</v>
      </c>
      <c r="P651" t="s">
        <v>57</v>
      </c>
      <c r="Q651" t="s">
        <v>59</v>
      </c>
      <c r="R651" t="s">
        <v>109</v>
      </c>
      <c r="S651" t="s">
        <v>2383</v>
      </c>
      <c r="T651" t="s">
        <v>61</v>
      </c>
      <c r="U651">
        <v>1.5719000000000001</v>
      </c>
      <c r="V651" t="s">
        <v>62</v>
      </c>
      <c r="W651">
        <v>0</v>
      </c>
      <c r="X651">
        <v>30.844999999999999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111</v>
      </c>
      <c r="AG651" t="s">
        <v>65</v>
      </c>
      <c r="AH651" t="s">
        <v>65</v>
      </c>
      <c r="AI651" t="s">
        <v>67</v>
      </c>
      <c r="AK651" t="s">
        <v>66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105</v>
      </c>
      <c r="AT651" t="s">
        <v>71</v>
      </c>
      <c r="AU651">
        <v>0</v>
      </c>
      <c r="AV651">
        <v>0</v>
      </c>
    </row>
    <row r="652" spans="1:48" x14ac:dyDescent="0.25">
      <c r="A652" t="s">
        <v>2384</v>
      </c>
      <c r="B652" t="s">
        <v>105</v>
      </c>
      <c r="C652" t="s">
        <v>50</v>
      </c>
      <c r="D652">
        <v>440387.60009999998</v>
      </c>
      <c r="E652">
        <v>1828002.6984000001</v>
      </c>
      <c r="F652">
        <v>32.262</v>
      </c>
      <c r="G652" t="s">
        <v>2385</v>
      </c>
      <c r="H652" t="s">
        <v>52</v>
      </c>
      <c r="I652">
        <v>32.262</v>
      </c>
      <c r="J652" t="s">
        <v>53</v>
      </c>
      <c r="K652">
        <v>0</v>
      </c>
      <c r="L652" t="s">
        <v>246</v>
      </c>
      <c r="M652" t="s">
        <v>448</v>
      </c>
      <c r="N652">
        <v>-0.22500000000000001</v>
      </c>
      <c r="O652" t="s">
        <v>56</v>
      </c>
      <c r="P652" t="s">
        <v>57</v>
      </c>
      <c r="Q652" t="s">
        <v>59</v>
      </c>
      <c r="R652" t="s">
        <v>109</v>
      </c>
      <c r="S652" t="s">
        <v>2386</v>
      </c>
      <c r="T652" t="s">
        <v>61</v>
      </c>
      <c r="U652">
        <v>1.5928</v>
      </c>
      <c r="V652" t="s">
        <v>62</v>
      </c>
      <c r="W652">
        <v>0</v>
      </c>
      <c r="X652">
        <v>30.669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111</v>
      </c>
      <c r="AG652" t="s">
        <v>65</v>
      </c>
      <c r="AH652" t="s">
        <v>65</v>
      </c>
      <c r="AI652" t="s">
        <v>67</v>
      </c>
      <c r="AK652" t="s">
        <v>66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105</v>
      </c>
      <c r="AT652" t="s">
        <v>71</v>
      </c>
      <c r="AU652">
        <v>0</v>
      </c>
      <c r="AV652">
        <v>0</v>
      </c>
    </row>
    <row r="653" spans="1:48" x14ac:dyDescent="0.25">
      <c r="A653" t="s">
        <v>2387</v>
      </c>
      <c r="B653" t="s">
        <v>105</v>
      </c>
      <c r="C653" t="s">
        <v>50</v>
      </c>
      <c r="D653">
        <v>440387.60009999998</v>
      </c>
      <c r="E653">
        <v>1827982.6984000001</v>
      </c>
      <c r="F653">
        <v>32.076000000000001</v>
      </c>
      <c r="G653" t="s">
        <v>2388</v>
      </c>
      <c r="H653" t="s">
        <v>52</v>
      </c>
      <c r="I653">
        <v>32.076000000000001</v>
      </c>
      <c r="J653" t="s">
        <v>53</v>
      </c>
      <c r="K653">
        <v>0</v>
      </c>
      <c r="L653" t="s">
        <v>246</v>
      </c>
      <c r="M653" t="s">
        <v>444</v>
      </c>
      <c r="N653">
        <v>-0.22500000000000001</v>
      </c>
      <c r="O653" t="s">
        <v>56</v>
      </c>
      <c r="P653" t="s">
        <v>57</v>
      </c>
      <c r="Q653" t="s">
        <v>59</v>
      </c>
      <c r="R653" t="s">
        <v>109</v>
      </c>
      <c r="S653" t="s">
        <v>2389</v>
      </c>
      <c r="T653" t="s">
        <v>61</v>
      </c>
      <c r="U653">
        <v>1.5929</v>
      </c>
      <c r="V653" t="s">
        <v>62</v>
      </c>
      <c r="W653">
        <v>0</v>
      </c>
      <c r="X653">
        <v>30.483000000000001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111</v>
      </c>
      <c r="AG653" t="s">
        <v>65</v>
      </c>
      <c r="AH653" t="s">
        <v>65</v>
      </c>
      <c r="AI653" t="s">
        <v>67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105</v>
      </c>
      <c r="AT653" t="s">
        <v>71</v>
      </c>
      <c r="AU653">
        <v>0</v>
      </c>
      <c r="AV653">
        <v>0</v>
      </c>
    </row>
    <row r="654" spans="1:48" x14ac:dyDescent="0.25">
      <c r="A654" t="s">
        <v>2390</v>
      </c>
      <c r="B654" t="s">
        <v>105</v>
      </c>
      <c r="C654" t="s">
        <v>50</v>
      </c>
      <c r="D654">
        <v>440387.60009999998</v>
      </c>
      <c r="E654">
        <v>1827962.6984000001</v>
      </c>
      <c r="F654">
        <v>31.89</v>
      </c>
      <c r="G654" t="s">
        <v>2391</v>
      </c>
      <c r="H654" t="s">
        <v>52</v>
      </c>
      <c r="I654">
        <v>31.89</v>
      </c>
      <c r="J654" t="s">
        <v>53</v>
      </c>
      <c r="K654">
        <v>0</v>
      </c>
      <c r="L654" t="s">
        <v>246</v>
      </c>
      <c r="M654" t="s">
        <v>440</v>
      </c>
      <c r="N654">
        <v>-0.22500000000000001</v>
      </c>
      <c r="O654" t="s">
        <v>56</v>
      </c>
      <c r="P654" t="s">
        <v>57</v>
      </c>
      <c r="Q654" t="s">
        <v>59</v>
      </c>
      <c r="R654" t="s">
        <v>109</v>
      </c>
      <c r="S654" t="s">
        <v>2392</v>
      </c>
      <c r="T654" t="s">
        <v>61</v>
      </c>
      <c r="U654">
        <v>1.5629999999999999</v>
      </c>
      <c r="V654" t="s">
        <v>62</v>
      </c>
      <c r="W654">
        <v>0</v>
      </c>
      <c r="X654">
        <v>30.327000000000002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111</v>
      </c>
      <c r="AG654" t="s">
        <v>65</v>
      </c>
      <c r="AH654" t="s">
        <v>65</v>
      </c>
      <c r="AI654" t="s">
        <v>67</v>
      </c>
      <c r="AK654" t="s">
        <v>66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105</v>
      </c>
      <c r="AT654" t="s">
        <v>71</v>
      </c>
      <c r="AU654">
        <v>0</v>
      </c>
      <c r="AV654">
        <v>0</v>
      </c>
    </row>
    <row r="655" spans="1:48" x14ac:dyDescent="0.25">
      <c r="A655" t="s">
        <v>2393</v>
      </c>
      <c r="B655" t="s">
        <v>49</v>
      </c>
      <c r="C655" t="s">
        <v>50</v>
      </c>
      <c r="D655">
        <v>440387.3751</v>
      </c>
      <c r="E655">
        <v>1827925.6609</v>
      </c>
      <c r="F655">
        <v>31.664999999999999</v>
      </c>
      <c r="G655" t="s">
        <v>2394</v>
      </c>
      <c r="H655" t="s">
        <v>52</v>
      </c>
      <c r="I655">
        <v>31.664999999999999</v>
      </c>
      <c r="J655" t="s">
        <v>53</v>
      </c>
      <c r="K655">
        <v>0</v>
      </c>
      <c r="L655" t="s">
        <v>2395</v>
      </c>
      <c r="M655" t="s">
        <v>2378</v>
      </c>
      <c r="N655">
        <v>-2.9999999999999997E-4</v>
      </c>
      <c r="O655" t="s">
        <v>56</v>
      </c>
      <c r="P655" t="s">
        <v>57</v>
      </c>
      <c r="Q655" t="s">
        <v>58</v>
      </c>
      <c r="R655" t="s">
        <v>59</v>
      </c>
      <c r="S655" t="s">
        <v>2396</v>
      </c>
      <c r="T655" t="s">
        <v>61</v>
      </c>
      <c r="U655">
        <v>1.5165</v>
      </c>
      <c r="V655" t="s">
        <v>62</v>
      </c>
      <c r="W655">
        <v>0</v>
      </c>
      <c r="X655">
        <v>30.148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49</v>
      </c>
      <c r="AT655" t="s">
        <v>71</v>
      </c>
      <c r="AU655">
        <v>0</v>
      </c>
      <c r="AV655">
        <v>0</v>
      </c>
    </row>
    <row r="656" spans="1:48" x14ac:dyDescent="0.25">
      <c r="A656" t="s">
        <v>2397</v>
      </c>
      <c r="B656" t="s">
        <v>49</v>
      </c>
      <c r="C656" t="s">
        <v>50</v>
      </c>
      <c r="D656">
        <v>440410.42509999999</v>
      </c>
      <c r="E656">
        <v>1827925.6609</v>
      </c>
      <c r="F656">
        <v>31.536000000000001</v>
      </c>
      <c r="G656" t="s">
        <v>2398</v>
      </c>
      <c r="H656" t="s">
        <v>52</v>
      </c>
      <c r="I656">
        <v>31.536000000000001</v>
      </c>
      <c r="J656" t="s">
        <v>53</v>
      </c>
      <c r="K656">
        <v>0</v>
      </c>
      <c r="L656" t="s">
        <v>2395</v>
      </c>
      <c r="M656" t="s">
        <v>420</v>
      </c>
      <c r="N656">
        <v>-1.01E-2</v>
      </c>
      <c r="O656" t="s">
        <v>56</v>
      </c>
      <c r="P656" t="s">
        <v>57</v>
      </c>
      <c r="Q656" t="s">
        <v>58</v>
      </c>
      <c r="R656" t="s">
        <v>59</v>
      </c>
      <c r="S656" t="s">
        <v>2399</v>
      </c>
      <c r="T656" t="s">
        <v>61</v>
      </c>
      <c r="U656">
        <v>1.4543999999999999</v>
      </c>
      <c r="V656" t="s">
        <v>62</v>
      </c>
      <c r="W656">
        <v>0</v>
      </c>
      <c r="X656">
        <v>30.082000000000001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2400</v>
      </c>
      <c r="B657" t="s">
        <v>49</v>
      </c>
      <c r="C657" t="s">
        <v>50</v>
      </c>
      <c r="D657">
        <v>440430.42509999999</v>
      </c>
      <c r="E657">
        <v>1827925.6609</v>
      </c>
      <c r="F657">
        <v>31.49</v>
      </c>
      <c r="G657" t="s">
        <v>2401</v>
      </c>
      <c r="H657" t="s">
        <v>52</v>
      </c>
      <c r="I657">
        <v>31.49</v>
      </c>
      <c r="J657" t="s">
        <v>53</v>
      </c>
      <c r="K657">
        <v>0</v>
      </c>
      <c r="L657" t="s">
        <v>2395</v>
      </c>
      <c r="M657" t="s">
        <v>424</v>
      </c>
      <c r="N657">
        <v>-1.8499999999999999E-2</v>
      </c>
      <c r="O657" t="s">
        <v>56</v>
      </c>
      <c r="P657" t="s">
        <v>57</v>
      </c>
      <c r="Q657" t="s">
        <v>58</v>
      </c>
      <c r="R657" t="s">
        <v>59</v>
      </c>
      <c r="S657" t="s">
        <v>2402</v>
      </c>
      <c r="T657" t="s">
        <v>61</v>
      </c>
      <c r="U657">
        <v>1.5128999999999999</v>
      </c>
      <c r="V657" t="s">
        <v>62</v>
      </c>
      <c r="W657">
        <v>0</v>
      </c>
      <c r="X657">
        <v>29.977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0</v>
      </c>
      <c r="AV657">
        <v>0</v>
      </c>
    </row>
    <row r="658" spans="1:48" x14ac:dyDescent="0.25">
      <c r="A658" t="s">
        <v>2403</v>
      </c>
      <c r="B658" t="s">
        <v>49</v>
      </c>
      <c r="C658" t="s">
        <v>50</v>
      </c>
      <c r="D658">
        <v>440450.42509999999</v>
      </c>
      <c r="E658">
        <v>1827925.6609</v>
      </c>
      <c r="F658">
        <v>31.37</v>
      </c>
      <c r="G658" t="s">
        <v>2404</v>
      </c>
      <c r="H658" t="s">
        <v>52</v>
      </c>
      <c r="I658">
        <v>31.37</v>
      </c>
      <c r="J658" t="s">
        <v>53</v>
      </c>
      <c r="K658">
        <v>0</v>
      </c>
      <c r="L658" t="s">
        <v>2395</v>
      </c>
      <c r="M658" t="s">
        <v>428</v>
      </c>
      <c r="N658">
        <v>-2.69E-2</v>
      </c>
      <c r="O658" t="s">
        <v>56</v>
      </c>
      <c r="P658" t="s">
        <v>57</v>
      </c>
      <c r="Q658" t="s">
        <v>58</v>
      </c>
      <c r="R658" t="s">
        <v>59</v>
      </c>
      <c r="S658" t="s">
        <v>2405</v>
      </c>
      <c r="T658" t="s">
        <v>61</v>
      </c>
      <c r="U658">
        <v>1.4534</v>
      </c>
      <c r="V658" t="s">
        <v>62</v>
      </c>
      <c r="W658">
        <v>0</v>
      </c>
      <c r="X658">
        <v>29.917000000000002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66</v>
      </c>
      <c r="AG658" t="s">
        <v>65</v>
      </c>
      <c r="AH658" t="s">
        <v>65</v>
      </c>
      <c r="AI658" t="s">
        <v>67</v>
      </c>
      <c r="AK658" t="s">
        <v>68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49</v>
      </c>
      <c r="AT658" t="s">
        <v>71</v>
      </c>
      <c r="AU658">
        <v>0</v>
      </c>
      <c r="AV658">
        <v>0</v>
      </c>
    </row>
    <row r="659" spans="1:48" x14ac:dyDescent="0.25">
      <c r="A659" t="s">
        <v>2406</v>
      </c>
      <c r="B659" t="s">
        <v>49</v>
      </c>
      <c r="C659" t="s">
        <v>50</v>
      </c>
      <c r="D659">
        <v>440470.42509999999</v>
      </c>
      <c r="E659">
        <v>1827925.6609</v>
      </c>
      <c r="F659">
        <v>31.395</v>
      </c>
      <c r="G659" t="s">
        <v>2407</v>
      </c>
      <c r="H659" t="s">
        <v>52</v>
      </c>
      <c r="I659">
        <v>31.395</v>
      </c>
      <c r="J659" t="s">
        <v>53</v>
      </c>
      <c r="K659">
        <v>0</v>
      </c>
      <c r="L659" t="s">
        <v>2395</v>
      </c>
      <c r="M659" t="s">
        <v>432</v>
      </c>
      <c r="N659">
        <v>-3.5400000000000001E-2</v>
      </c>
      <c r="O659" t="s">
        <v>56</v>
      </c>
      <c r="P659" t="s">
        <v>57</v>
      </c>
      <c r="Q659" t="s">
        <v>58</v>
      </c>
      <c r="R659" t="s">
        <v>59</v>
      </c>
      <c r="S659" t="s">
        <v>2408</v>
      </c>
      <c r="T659" t="s">
        <v>61</v>
      </c>
      <c r="U659">
        <v>1.4978</v>
      </c>
      <c r="V659" t="s">
        <v>62</v>
      </c>
      <c r="W659">
        <v>0</v>
      </c>
      <c r="X659">
        <v>29.896999999999998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66</v>
      </c>
      <c r="AG659" t="s">
        <v>65</v>
      </c>
      <c r="AH659" t="s">
        <v>65</v>
      </c>
      <c r="AI659" t="s">
        <v>67</v>
      </c>
      <c r="AK659" t="s">
        <v>68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49</v>
      </c>
      <c r="AT659" t="s">
        <v>71</v>
      </c>
      <c r="AU659">
        <v>0</v>
      </c>
      <c r="AV659">
        <v>0</v>
      </c>
    </row>
    <row r="660" spans="1:48" x14ac:dyDescent="0.25">
      <c r="A660" t="s">
        <v>2409</v>
      </c>
      <c r="B660" t="s">
        <v>49</v>
      </c>
      <c r="C660" t="s">
        <v>50</v>
      </c>
      <c r="D660">
        <v>440490.42509999999</v>
      </c>
      <c r="E660">
        <v>1827925.6609</v>
      </c>
      <c r="F660">
        <v>31.35</v>
      </c>
      <c r="G660" t="s">
        <v>2410</v>
      </c>
      <c r="H660" t="s">
        <v>52</v>
      </c>
      <c r="I660">
        <v>31.35</v>
      </c>
      <c r="J660" t="s">
        <v>53</v>
      </c>
      <c r="K660">
        <v>0</v>
      </c>
      <c r="L660" t="s">
        <v>2395</v>
      </c>
      <c r="M660" t="s">
        <v>597</v>
      </c>
      <c r="N660">
        <v>-4.3799999999999999E-2</v>
      </c>
      <c r="O660" t="s">
        <v>56</v>
      </c>
      <c r="P660" t="s">
        <v>57</v>
      </c>
      <c r="Q660" t="s">
        <v>58</v>
      </c>
      <c r="R660" t="s">
        <v>59</v>
      </c>
      <c r="S660" t="s">
        <v>2411</v>
      </c>
      <c r="T660" t="s">
        <v>61</v>
      </c>
      <c r="U660">
        <v>1.4732000000000001</v>
      </c>
      <c r="V660" t="s">
        <v>62</v>
      </c>
      <c r="W660">
        <v>0</v>
      </c>
      <c r="X660">
        <v>29.876999999999999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66</v>
      </c>
      <c r="AG660" t="s">
        <v>65</v>
      </c>
      <c r="AH660" t="s">
        <v>65</v>
      </c>
      <c r="AI660" t="s">
        <v>67</v>
      </c>
      <c r="AK660" t="s">
        <v>68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49</v>
      </c>
      <c r="AT660" t="s">
        <v>71</v>
      </c>
      <c r="AU660">
        <v>0</v>
      </c>
      <c r="AV660">
        <v>0</v>
      </c>
    </row>
    <row r="661" spans="1:48" x14ac:dyDescent="0.25">
      <c r="A661" t="s">
        <v>2412</v>
      </c>
      <c r="B661" t="s">
        <v>49</v>
      </c>
      <c r="C661" t="s">
        <v>50</v>
      </c>
      <c r="D661">
        <v>440510.42509999999</v>
      </c>
      <c r="E661">
        <v>1827925.6609</v>
      </c>
      <c r="F661">
        <v>31.303999999999998</v>
      </c>
      <c r="G661" t="s">
        <v>2413</v>
      </c>
      <c r="H661" t="s">
        <v>52</v>
      </c>
      <c r="I661">
        <v>31.303999999999998</v>
      </c>
      <c r="J661" t="s">
        <v>53</v>
      </c>
      <c r="K661">
        <v>0</v>
      </c>
      <c r="L661" t="s">
        <v>2395</v>
      </c>
      <c r="M661" t="s">
        <v>440</v>
      </c>
      <c r="N661">
        <v>-5.2299999999999999E-2</v>
      </c>
      <c r="O661" t="s">
        <v>56</v>
      </c>
      <c r="P661" t="s">
        <v>57</v>
      </c>
      <c r="Q661" t="s">
        <v>58</v>
      </c>
      <c r="R661" t="s">
        <v>59</v>
      </c>
      <c r="S661" t="s">
        <v>2414</v>
      </c>
      <c r="T661" t="s">
        <v>61</v>
      </c>
      <c r="U661">
        <v>1.4537</v>
      </c>
      <c r="V661" t="s">
        <v>62</v>
      </c>
      <c r="W661">
        <v>0</v>
      </c>
      <c r="X661">
        <v>29.85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66</v>
      </c>
      <c r="AG661" t="s">
        <v>65</v>
      </c>
      <c r="AH661" t="s">
        <v>65</v>
      </c>
      <c r="AI661" t="s">
        <v>67</v>
      </c>
      <c r="AK661" t="s">
        <v>68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49</v>
      </c>
      <c r="AT661" t="s">
        <v>71</v>
      </c>
      <c r="AU661">
        <v>0</v>
      </c>
      <c r="AV661">
        <v>0</v>
      </c>
    </row>
    <row r="662" spans="1:48" x14ac:dyDescent="0.25">
      <c r="A662" t="s">
        <v>2415</v>
      </c>
      <c r="B662" t="s">
        <v>49</v>
      </c>
      <c r="C662" t="s">
        <v>50</v>
      </c>
      <c r="D662">
        <v>440520.22509999998</v>
      </c>
      <c r="E662">
        <v>1827925.6609</v>
      </c>
      <c r="F662">
        <v>31.280999999999999</v>
      </c>
      <c r="G662" t="s">
        <v>2416</v>
      </c>
      <c r="H662" t="s">
        <v>52</v>
      </c>
      <c r="I662">
        <v>31.280999999999999</v>
      </c>
      <c r="J662" t="s">
        <v>53</v>
      </c>
      <c r="K662">
        <v>0</v>
      </c>
      <c r="L662" t="s">
        <v>2395</v>
      </c>
      <c r="M662" t="s">
        <v>2417</v>
      </c>
      <c r="N662">
        <v>-5.6399999999999999E-2</v>
      </c>
      <c r="O662" t="s">
        <v>56</v>
      </c>
      <c r="P662" t="s">
        <v>57</v>
      </c>
      <c r="Q662" t="s">
        <v>58</v>
      </c>
      <c r="R662" t="s">
        <v>59</v>
      </c>
      <c r="S662" t="s">
        <v>2418</v>
      </c>
      <c r="T662" t="s">
        <v>61</v>
      </c>
      <c r="U662">
        <v>1.8688</v>
      </c>
      <c r="V662" t="s">
        <v>62</v>
      </c>
      <c r="W662">
        <v>0</v>
      </c>
      <c r="X662">
        <v>29.411999999999999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66</v>
      </c>
      <c r="AG662" t="s">
        <v>65</v>
      </c>
      <c r="AH662" t="s">
        <v>65</v>
      </c>
      <c r="AI662" t="s">
        <v>67</v>
      </c>
      <c r="AK662" t="s">
        <v>68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49</v>
      </c>
      <c r="AT662" t="s">
        <v>71</v>
      </c>
      <c r="AU662">
        <v>0</v>
      </c>
      <c r="AV662">
        <v>0</v>
      </c>
    </row>
    <row r="663" spans="1:48" x14ac:dyDescent="0.25">
      <c r="A663" t="s">
        <v>2419</v>
      </c>
      <c r="B663" t="s">
        <v>49</v>
      </c>
      <c r="C663" t="s">
        <v>50</v>
      </c>
      <c r="D663">
        <v>440539.21629999997</v>
      </c>
      <c r="E663">
        <v>1827925.6609</v>
      </c>
      <c r="F663">
        <v>31.236999999999998</v>
      </c>
      <c r="G663" t="s">
        <v>2420</v>
      </c>
      <c r="H663" t="s">
        <v>52</v>
      </c>
      <c r="I663">
        <v>31.236999999999998</v>
      </c>
      <c r="J663" t="s">
        <v>53</v>
      </c>
      <c r="K663">
        <v>0</v>
      </c>
      <c r="L663" t="s">
        <v>2395</v>
      </c>
      <c r="M663" t="s">
        <v>2421</v>
      </c>
      <c r="N663">
        <v>-6.4399999999999999E-2</v>
      </c>
      <c r="O663" t="s">
        <v>56</v>
      </c>
      <c r="P663" t="s">
        <v>57</v>
      </c>
      <c r="Q663" t="s">
        <v>58</v>
      </c>
      <c r="R663" t="s">
        <v>59</v>
      </c>
      <c r="S663" t="s">
        <v>2422</v>
      </c>
      <c r="T663" t="s">
        <v>61</v>
      </c>
      <c r="U663">
        <v>1.8435999999999999</v>
      </c>
      <c r="V663" t="s">
        <v>62</v>
      </c>
      <c r="W663">
        <v>0</v>
      </c>
      <c r="X663">
        <v>29.393000000000001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66</v>
      </c>
      <c r="AG663" t="s">
        <v>65</v>
      </c>
      <c r="AH663" t="s">
        <v>65</v>
      </c>
      <c r="AI663" t="s">
        <v>67</v>
      </c>
      <c r="AK663" t="s">
        <v>68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49</v>
      </c>
      <c r="AT663" t="s">
        <v>71</v>
      </c>
      <c r="AU663">
        <v>0</v>
      </c>
      <c r="AV663">
        <v>0</v>
      </c>
    </row>
    <row r="664" spans="1:48" x14ac:dyDescent="0.25">
      <c r="A664" t="s">
        <v>2423</v>
      </c>
      <c r="B664" t="s">
        <v>49</v>
      </c>
      <c r="C664" t="s">
        <v>50</v>
      </c>
      <c r="D664">
        <v>440558.8983</v>
      </c>
      <c r="E664">
        <v>1827925.6609</v>
      </c>
      <c r="F664">
        <v>31.125</v>
      </c>
      <c r="G664" t="s">
        <v>2424</v>
      </c>
      <c r="H664" t="s">
        <v>52</v>
      </c>
      <c r="I664">
        <v>31.125</v>
      </c>
      <c r="J664" t="s">
        <v>53</v>
      </c>
      <c r="K664">
        <v>0</v>
      </c>
      <c r="L664" t="s">
        <v>2395</v>
      </c>
      <c r="M664" s="1" t="s">
        <v>2425</v>
      </c>
      <c r="N664">
        <v>-7.2700000000000001E-2</v>
      </c>
      <c r="O664" t="s">
        <v>56</v>
      </c>
      <c r="P664" t="s">
        <v>57</v>
      </c>
      <c r="Q664" t="s">
        <v>58</v>
      </c>
      <c r="R664" t="s">
        <v>59</v>
      </c>
      <c r="S664" t="s">
        <v>2426</v>
      </c>
      <c r="T664" t="s">
        <v>61</v>
      </c>
      <c r="U664">
        <v>1.9388000000000001</v>
      </c>
      <c r="V664" t="s">
        <v>62</v>
      </c>
      <c r="W664">
        <v>0</v>
      </c>
      <c r="X664">
        <v>29.186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49</v>
      </c>
      <c r="AT664" t="s">
        <v>71</v>
      </c>
      <c r="AU664">
        <v>0</v>
      </c>
      <c r="AV664">
        <v>0</v>
      </c>
    </row>
    <row r="665" spans="1:48" x14ac:dyDescent="0.25">
      <c r="A665" t="s">
        <v>2427</v>
      </c>
      <c r="B665" t="s">
        <v>49</v>
      </c>
      <c r="C665" t="s">
        <v>50</v>
      </c>
      <c r="D665">
        <v>440578.6911</v>
      </c>
      <c r="E665">
        <v>1827925.6609</v>
      </c>
      <c r="F665">
        <v>30.879000000000001</v>
      </c>
      <c r="G665" t="s">
        <v>2428</v>
      </c>
      <c r="H665" t="s">
        <v>52</v>
      </c>
      <c r="I665">
        <v>30.879000000000001</v>
      </c>
      <c r="J665" t="s">
        <v>53</v>
      </c>
      <c r="K665">
        <v>0</v>
      </c>
      <c r="L665" t="s">
        <v>2395</v>
      </c>
      <c r="M665" s="1" t="s">
        <v>2429</v>
      </c>
      <c r="N665">
        <v>-8.1100000000000005E-2</v>
      </c>
      <c r="O665" t="s">
        <v>56</v>
      </c>
      <c r="P665" t="s">
        <v>57</v>
      </c>
      <c r="Q665" t="s">
        <v>58</v>
      </c>
      <c r="R665" t="s">
        <v>59</v>
      </c>
      <c r="S665" t="s">
        <v>2430</v>
      </c>
      <c r="T665" t="s">
        <v>61</v>
      </c>
      <c r="U665">
        <v>2.1347999999999998</v>
      </c>
      <c r="V665" t="s">
        <v>62</v>
      </c>
      <c r="W665">
        <v>0</v>
      </c>
      <c r="X665">
        <v>28.744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49</v>
      </c>
      <c r="AT665" t="s">
        <v>71</v>
      </c>
      <c r="AU665">
        <v>0</v>
      </c>
      <c r="AV665">
        <v>0</v>
      </c>
    </row>
    <row r="666" spans="1:48" x14ac:dyDescent="0.25">
      <c r="A666" t="s">
        <v>2431</v>
      </c>
      <c r="B666" t="s">
        <v>49</v>
      </c>
      <c r="C666" t="s">
        <v>50</v>
      </c>
      <c r="D666">
        <v>440594.92509999999</v>
      </c>
      <c r="E666">
        <v>1827925.6609</v>
      </c>
      <c r="F666">
        <v>30.643000000000001</v>
      </c>
      <c r="G666" t="s">
        <v>2432</v>
      </c>
      <c r="H666" t="s">
        <v>52</v>
      </c>
      <c r="I666">
        <v>30.643000000000001</v>
      </c>
      <c r="J666" t="s">
        <v>53</v>
      </c>
      <c r="K666">
        <v>0</v>
      </c>
      <c r="L666" t="s">
        <v>2395</v>
      </c>
      <c r="M666">
        <f>0+4.5</f>
        <v>4.5</v>
      </c>
      <c r="N666">
        <v>-8.7900000000000006E-2</v>
      </c>
      <c r="O666" t="s">
        <v>56</v>
      </c>
      <c r="P666" t="s">
        <v>57</v>
      </c>
      <c r="Q666" t="s">
        <v>58</v>
      </c>
      <c r="R666" t="s">
        <v>59</v>
      </c>
      <c r="S666" t="s">
        <v>2433</v>
      </c>
      <c r="T666" t="s">
        <v>61</v>
      </c>
      <c r="U666">
        <v>2.0945</v>
      </c>
      <c r="V666" t="s">
        <v>62</v>
      </c>
      <c r="W666">
        <v>0</v>
      </c>
      <c r="X666">
        <v>28.548999999999999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68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49</v>
      </c>
      <c r="AT666" t="s">
        <v>71</v>
      </c>
      <c r="AU666">
        <v>0</v>
      </c>
      <c r="AV666">
        <v>0</v>
      </c>
    </row>
    <row r="667" spans="1:48" x14ac:dyDescent="0.25">
      <c r="A667" t="s">
        <v>2434</v>
      </c>
      <c r="B667" t="s">
        <v>73</v>
      </c>
      <c r="C667" t="s">
        <v>50</v>
      </c>
      <c r="D667">
        <v>440529.52510000003</v>
      </c>
      <c r="E667">
        <v>1828034.4182</v>
      </c>
      <c r="F667">
        <v>31.975999999999999</v>
      </c>
      <c r="G667" t="s">
        <v>2435</v>
      </c>
      <c r="H667" t="s">
        <v>52</v>
      </c>
      <c r="I667">
        <v>31.975999999999999</v>
      </c>
      <c r="J667" t="s">
        <v>53</v>
      </c>
      <c r="K667">
        <v>0</v>
      </c>
      <c r="L667" t="s">
        <v>2436</v>
      </c>
      <c r="M667" t="s">
        <v>2437</v>
      </c>
      <c r="N667">
        <v>0.12659999999999999</v>
      </c>
      <c r="O667" t="s">
        <v>56</v>
      </c>
      <c r="P667" t="s">
        <v>57</v>
      </c>
      <c r="Q667" t="s">
        <v>59</v>
      </c>
      <c r="R667" t="s">
        <v>58</v>
      </c>
      <c r="S667" t="s">
        <v>2438</v>
      </c>
      <c r="T667" t="s">
        <v>61</v>
      </c>
      <c r="U667">
        <v>1.5415000000000001</v>
      </c>
      <c r="V667" t="s">
        <v>62</v>
      </c>
      <c r="W667">
        <v>0</v>
      </c>
      <c r="X667">
        <v>30.434000000000001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66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73</v>
      </c>
      <c r="AT667" t="s">
        <v>71</v>
      </c>
      <c r="AU667">
        <v>0</v>
      </c>
      <c r="AV667">
        <v>0</v>
      </c>
    </row>
    <row r="668" spans="1:48" x14ac:dyDescent="0.25">
      <c r="A668" t="s">
        <v>2439</v>
      </c>
      <c r="B668" t="s">
        <v>73</v>
      </c>
      <c r="C668" t="s">
        <v>50</v>
      </c>
      <c r="D668">
        <v>440529.52510000003</v>
      </c>
      <c r="E668">
        <v>1828015.9413000001</v>
      </c>
      <c r="F668">
        <v>31.837</v>
      </c>
      <c r="G668" t="s">
        <v>2440</v>
      </c>
      <c r="H668" t="s">
        <v>52</v>
      </c>
      <c r="I668">
        <v>31.837</v>
      </c>
      <c r="J668" t="s">
        <v>53</v>
      </c>
      <c r="K668">
        <v>0</v>
      </c>
      <c r="L668" t="s">
        <v>2436</v>
      </c>
      <c r="M668" t="s">
        <v>2441</v>
      </c>
      <c r="N668">
        <v>0.12659999999999999</v>
      </c>
      <c r="O668" t="s">
        <v>56</v>
      </c>
      <c r="P668" t="s">
        <v>57</v>
      </c>
      <c r="Q668" t="s">
        <v>59</v>
      </c>
      <c r="R668" t="s">
        <v>58</v>
      </c>
      <c r="S668" t="s">
        <v>2442</v>
      </c>
      <c r="T668" t="s">
        <v>61</v>
      </c>
      <c r="U668">
        <v>1.5038</v>
      </c>
      <c r="V668" t="s">
        <v>62</v>
      </c>
      <c r="W668">
        <v>0</v>
      </c>
      <c r="X668">
        <v>30.332999999999998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66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73</v>
      </c>
      <c r="AT668" t="s">
        <v>71</v>
      </c>
      <c r="AU668">
        <v>0</v>
      </c>
      <c r="AV668">
        <v>0</v>
      </c>
    </row>
    <row r="669" spans="1:48" x14ac:dyDescent="0.25">
      <c r="A669" t="s">
        <v>2443</v>
      </c>
      <c r="B669" t="s">
        <v>73</v>
      </c>
      <c r="C669" t="s">
        <v>50</v>
      </c>
      <c r="D669">
        <v>440529.52510000003</v>
      </c>
      <c r="E669">
        <v>1827998.4774</v>
      </c>
      <c r="F669">
        <v>31.721</v>
      </c>
      <c r="G669" t="s">
        <v>2444</v>
      </c>
      <c r="H669" t="s">
        <v>52</v>
      </c>
      <c r="I669">
        <v>31.721</v>
      </c>
      <c r="J669" t="s">
        <v>53</v>
      </c>
      <c r="K669">
        <v>0</v>
      </c>
      <c r="L669" t="s">
        <v>2436</v>
      </c>
      <c r="M669" t="s">
        <v>2445</v>
      </c>
      <c r="N669">
        <v>0.12659999999999999</v>
      </c>
      <c r="O669" t="s">
        <v>56</v>
      </c>
      <c r="P669" t="s">
        <v>57</v>
      </c>
      <c r="Q669" t="s">
        <v>59</v>
      </c>
      <c r="R669" t="s">
        <v>58</v>
      </c>
      <c r="S669" t="s">
        <v>2446</v>
      </c>
      <c r="T669" t="s">
        <v>61</v>
      </c>
      <c r="U669">
        <v>1.5111000000000001</v>
      </c>
      <c r="V669" t="s">
        <v>62</v>
      </c>
      <c r="W669">
        <v>0</v>
      </c>
      <c r="X669">
        <v>30.21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66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73</v>
      </c>
      <c r="AT669" t="s">
        <v>71</v>
      </c>
      <c r="AU669">
        <v>0</v>
      </c>
      <c r="AV669">
        <v>0</v>
      </c>
    </row>
    <row r="670" spans="1:48" x14ac:dyDescent="0.25">
      <c r="A670" t="s">
        <v>2447</v>
      </c>
      <c r="B670" t="s">
        <v>73</v>
      </c>
      <c r="C670" t="s">
        <v>50</v>
      </c>
      <c r="D670">
        <v>440529.52510000003</v>
      </c>
      <c r="E670">
        <v>1827982.6984000001</v>
      </c>
      <c r="F670">
        <v>31.617000000000001</v>
      </c>
      <c r="G670" t="s">
        <v>2448</v>
      </c>
      <c r="H670" t="s">
        <v>52</v>
      </c>
      <c r="I670">
        <v>31.617000000000001</v>
      </c>
      <c r="J670" t="s">
        <v>53</v>
      </c>
      <c r="K670">
        <v>0</v>
      </c>
      <c r="L670" t="s">
        <v>2436</v>
      </c>
      <c r="M670" t="s">
        <v>444</v>
      </c>
      <c r="N670">
        <v>0.12659999999999999</v>
      </c>
      <c r="O670" t="s">
        <v>56</v>
      </c>
      <c r="P670" t="s">
        <v>57</v>
      </c>
      <c r="Q670" t="s">
        <v>59</v>
      </c>
      <c r="R670" t="s">
        <v>58</v>
      </c>
      <c r="S670" t="s">
        <v>2341</v>
      </c>
      <c r="T670" t="s">
        <v>61</v>
      </c>
      <c r="U670">
        <v>1.5266</v>
      </c>
      <c r="V670" t="s">
        <v>62</v>
      </c>
      <c r="W670">
        <v>0</v>
      </c>
      <c r="X670">
        <v>30.09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73</v>
      </c>
      <c r="AT670" t="s">
        <v>71</v>
      </c>
      <c r="AU670">
        <v>0</v>
      </c>
      <c r="AV670">
        <v>0</v>
      </c>
    </row>
    <row r="671" spans="1:48" x14ac:dyDescent="0.25">
      <c r="A671" t="s">
        <v>2449</v>
      </c>
      <c r="B671" t="s">
        <v>73</v>
      </c>
      <c r="C671" t="s">
        <v>50</v>
      </c>
      <c r="D671">
        <v>440529.52510000003</v>
      </c>
      <c r="E671">
        <v>1827962.6984000001</v>
      </c>
      <c r="F671">
        <v>31.484000000000002</v>
      </c>
      <c r="G671" t="s">
        <v>2450</v>
      </c>
      <c r="H671" t="s">
        <v>52</v>
      </c>
      <c r="I671">
        <v>31.484000000000002</v>
      </c>
      <c r="J671" t="s">
        <v>53</v>
      </c>
      <c r="K671">
        <v>0</v>
      </c>
      <c r="L671" t="s">
        <v>2436</v>
      </c>
      <c r="M671" t="s">
        <v>440</v>
      </c>
      <c r="N671">
        <v>0.12659999999999999</v>
      </c>
      <c r="O671" t="s">
        <v>56</v>
      </c>
      <c r="P671" t="s">
        <v>57</v>
      </c>
      <c r="Q671" t="s">
        <v>59</v>
      </c>
      <c r="R671" t="s">
        <v>58</v>
      </c>
      <c r="S671" t="s">
        <v>2344</v>
      </c>
      <c r="T671" t="s">
        <v>61</v>
      </c>
      <c r="U671">
        <v>1.5262</v>
      </c>
      <c r="V671" t="s">
        <v>62</v>
      </c>
      <c r="W671">
        <v>0</v>
      </c>
      <c r="X671">
        <v>29.957999999999998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66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73</v>
      </c>
      <c r="AT671" t="s">
        <v>71</v>
      </c>
      <c r="AU671">
        <v>0</v>
      </c>
      <c r="AV671">
        <v>0</v>
      </c>
    </row>
    <row r="672" spans="1:48" x14ac:dyDescent="0.25">
      <c r="A672" t="s">
        <v>2451</v>
      </c>
      <c r="B672" t="s">
        <v>73</v>
      </c>
      <c r="C672" t="s">
        <v>50</v>
      </c>
      <c r="D672">
        <v>440529.52510000003</v>
      </c>
      <c r="E672">
        <v>1827942.6984000001</v>
      </c>
      <c r="F672">
        <v>31.352</v>
      </c>
      <c r="G672" t="s">
        <v>2452</v>
      </c>
      <c r="H672" t="s">
        <v>52</v>
      </c>
      <c r="I672">
        <v>31.352</v>
      </c>
      <c r="J672" t="s">
        <v>53</v>
      </c>
      <c r="K672">
        <v>0</v>
      </c>
      <c r="L672" t="s">
        <v>2436</v>
      </c>
      <c r="M672" t="s">
        <v>597</v>
      </c>
      <c r="N672">
        <v>0.12659999999999999</v>
      </c>
      <c r="O672" t="s">
        <v>56</v>
      </c>
      <c r="P672" t="s">
        <v>57</v>
      </c>
      <c r="Q672" t="s">
        <v>59</v>
      </c>
      <c r="R672" t="s">
        <v>58</v>
      </c>
      <c r="S672" t="s">
        <v>2347</v>
      </c>
      <c r="T672" t="s">
        <v>61</v>
      </c>
      <c r="U672">
        <v>1.6067</v>
      </c>
      <c r="V672" t="s">
        <v>62</v>
      </c>
      <c r="W672">
        <v>0</v>
      </c>
      <c r="X672">
        <v>29.745000000000001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66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73</v>
      </c>
      <c r="AT672" t="s">
        <v>71</v>
      </c>
      <c r="AU672">
        <v>0</v>
      </c>
      <c r="AV672">
        <v>0</v>
      </c>
    </row>
    <row r="673" spans="1:48" x14ac:dyDescent="0.25">
      <c r="A673" t="s">
        <v>2453</v>
      </c>
      <c r="B673" t="s">
        <v>49</v>
      </c>
      <c r="C673" t="s">
        <v>50</v>
      </c>
      <c r="D673">
        <v>440529.67509999999</v>
      </c>
      <c r="E673">
        <v>1827935.0608999999</v>
      </c>
      <c r="F673">
        <v>31.163</v>
      </c>
      <c r="G673" t="s">
        <v>2454</v>
      </c>
      <c r="H673" t="s">
        <v>52</v>
      </c>
      <c r="I673">
        <v>31.163</v>
      </c>
      <c r="J673" t="s">
        <v>53</v>
      </c>
      <c r="K673">
        <v>0</v>
      </c>
      <c r="L673" t="s">
        <v>241</v>
      </c>
      <c r="M673" t="s">
        <v>2455</v>
      </c>
      <c r="N673">
        <v>0.1</v>
      </c>
      <c r="O673" t="s">
        <v>56</v>
      </c>
      <c r="P673" t="s">
        <v>57</v>
      </c>
      <c r="Q673" t="s">
        <v>58</v>
      </c>
      <c r="R673" t="s">
        <v>59</v>
      </c>
      <c r="S673" t="s">
        <v>2456</v>
      </c>
      <c r="T673" t="s">
        <v>61</v>
      </c>
      <c r="U673">
        <v>1.4419999999999999</v>
      </c>
      <c r="V673" t="s">
        <v>62</v>
      </c>
      <c r="W673">
        <v>0</v>
      </c>
      <c r="X673">
        <v>29.721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68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49</v>
      </c>
      <c r="AT673" t="s">
        <v>71</v>
      </c>
      <c r="AU673">
        <v>0</v>
      </c>
      <c r="AV673">
        <v>0</v>
      </c>
    </row>
    <row r="674" spans="1:48" x14ac:dyDescent="0.25">
      <c r="A674" t="s">
        <v>2457</v>
      </c>
      <c r="B674" t="s">
        <v>49</v>
      </c>
      <c r="C674" t="s">
        <v>50</v>
      </c>
      <c r="D674">
        <v>440548.35820000002</v>
      </c>
      <c r="E674">
        <v>1827935.0608999999</v>
      </c>
      <c r="F674">
        <v>31.201000000000001</v>
      </c>
      <c r="G674" t="s">
        <v>2458</v>
      </c>
      <c r="H674" t="s">
        <v>52</v>
      </c>
      <c r="I674">
        <v>31.201000000000001</v>
      </c>
      <c r="J674" t="s">
        <v>53</v>
      </c>
      <c r="K674">
        <v>0</v>
      </c>
      <c r="L674" t="s">
        <v>241</v>
      </c>
      <c r="M674" t="s">
        <v>2459</v>
      </c>
      <c r="N674">
        <v>0.1</v>
      </c>
      <c r="O674" t="s">
        <v>56</v>
      </c>
      <c r="P674" t="s">
        <v>57</v>
      </c>
      <c r="Q674" t="s">
        <v>58</v>
      </c>
      <c r="R674" t="s">
        <v>59</v>
      </c>
      <c r="S674" t="s">
        <v>2460</v>
      </c>
      <c r="T674" t="s">
        <v>61</v>
      </c>
      <c r="U674">
        <v>1.5582</v>
      </c>
      <c r="V674" t="s">
        <v>62</v>
      </c>
      <c r="W674">
        <v>0</v>
      </c>
      <c r="X674">
        <v>29.643000000000001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66</v>
      </c>
      <c r="AG674" t="s">
        <v>65</v>
      </c>
      <c r="AH674" t="s">
        <v>65</v>
      </c>
      <c r="AI674" t="s">
        <v>67</v>
      </c>
      <c r="AK674" t="s">
        <v>68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49</v>
      </c>
      <c r="AT674" t="s">
        <v>71</v>
      </c>
      <c r="AU674">
        <v>0</v>
      </c>
      <c r="AV674">
        <v>0</v>
      </c>
    </row>
    <row r="675" spans="1:48" x14ac:dyDescent="0.25">
      <c r="A675" t="s">
        <v>2461</v>
      </c>
      <c r="B675" t="s">
        <v>49</v>
      </c>
      <c r="C675" t="s">
        <v>50</v>
      </c>
      <c r="D675">
        <v>440567.08630000002</v>
      </c>
      <c r="E675">
        <v>1827935.0608999999</v>
      </c>
      <c r="F675">
        <v>31.039000000000001</v>
      </c>
      <c r="G675" t="s">
        <v>2462</v>
      </c>
      <c r="H675" t="s">
        <v>52</v>
      </c>
      <c r="I675">
        <v>31.039000000000001</v>
      </c>
      <c r="J675" t="s">
        <v>53</v>
      </c>
      <c r="K675">
        <v>0</v>
      </c>
      <c r="L675" t="s">
        <v>241</v>
      </c>
      <c r="M675" t="s">
        <v>2463</v>
      </c>
      <c r="N675">
        <v>0.1</v>
      </c>
      <c r="O675" t="s">
        <v>56</v>
      </c>
      <c r="P675" t="s">
        <v>57</v>
      </c>
      <c r="Q675" t="s">
        <v>58</v>
      </c>
      <c r="R675" t="s">
        <v>59</v>
      </c>
      <c r="S675" t="s">
        <v>2464</v>
      </c>
      <c r="T675" t="s">
        <v>61</v>
      </c>
      <c r="U675">
        <v>1.8203</v>
      </c>
      <c r="V675" t="s">
        <v>62</v>
      </c>
      <c r="W675">
        <v>0</v>
      </c>
      <c r="X675">
        <v>29.219000000000001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67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49</v>
      </c>
      <c r="AT675" t="s">
        <v>71</v>
      </c>
      <c r="AU675">
        <v>0</v>
      </c>
      <c r="AV675">
        <v>0</v>
      </c>
    </row>
    <row r="676" spans="1:48" x14ac:dyDescent="0.25">
      <c r="A676" t="s">
        <v>2465</v>
      </c>
      <c r="B676" t="s">
        <v>49</v>
      </c>
      <c r="C676" t="s">
        <v>50</v>
      </c>
      <c r="D676">
        <v>440531.34360000002</v>
      </c>
      <c r="E676">
        <v>1828037.9972999999</v>
      </c>
      <c r="F676">
        <v>31.95</v>
      </c>
      <c r="G676" t="s">
        <v>2466</v>
      </c>
      <c r="H676" t="s">
        <v>52</v>
      </c>
      <c r="I676">
        <v>31.95</v>
      </c>
      <c r="J676" t="s">
        <v>53</v>
      </c>
      <c r="K676">
        <v>0</v>
      </c>
      <c r="L676" t="s">
        <v>2263</v>
      </c>
      <c r="M676" t="s">
        <v>2467</v>
      </c>
      <c r="N676">
        <v>8.2600000000000007E-2</v>
      </c>
      <c r="O676" t="s">
        <v>56</v>
      </c>
      <c r="P676" t="s">
        <v>57</v>
      </c>
      <c r="Q676" t="s">
        <v>58</v>
      </c>
      <c r="R676" t="s">
        <v>59</v>
      </c>
      <c r="S676" t="s">
        <v>2468</v>
      </c>
      <c r="T676" t="s">
        <v>61</v>
      </c>
      <c r="U676">
        <v>1.5968</v>
      </c>
      <c r="V676" t="s">
        <v>62</v>
      </c>
      <c r="W676">
        <v>0</v>
      </c>
      <c r="X676">
        <v>30.353000000000002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66</v>
      </c>
      <c r="AG676" t="s">
        <v>65</v>
      </c>
      <c r="AH676" t="s">
        <v>65</v>
      </c>
      <c r="AI676" t="s">
        <v>67</v>
      </c>
      <c r="AK676" t="s">
        <v>68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49</v>
      </c>
      <c r="AT676" t="s">
        <v>71</v>
      </c>
      <c r="AU676">
        <v>0</v>
      </c>
      <c r="AV676">
        <v>0</v>
      </c>
    </row>
    <row r="677" spans="1:48" x14ac:dyDescent="0.25">
      <c r="A677" t="s">
        <v>2469</v>
      </c>
      <c r="B677" t="s">
        <v>49</v>
      </c>
      <c r="C677" t="s">
        <v>50</v>
      </c>
      <c r="D677">
        <v>440550.42509999999</v>
      </c>
      <c r="E677">
        <v>1828037.9972999999</v>
      </c>
      <c r="F677">
        <v>31.902999999999999</v>
      </c>
      <c r="G677" t="s">
        <v>2470</v>
      </c>
      <c r="H677" t="s">
        <v>52</v>
      </c>
      <c r="I677">
        <v>31.902999999999999</v>
      </c>
      <c r="J677" t="s">
        <v>53</v>
      </c>
      <c r="K677">
        <v>0</v>
      </c>
      <c r="L677" t="s">
        <v>2263</v>
      </c>
      <c r="M677" t="s">
        <v>448</v>
      </c>
      <c r="N677">
        <v>8.2600000000000007E-2</v>
      </c>
      <c r="O677" t="s">
        <v>56</v>
      </c>
      <c r="P677" t="s">
        <v>57</v>
      </c>
      <c r="Q677" t="s">
        <v>58</v>
      </c>
      <c r="R677" t="s">
        <v>59</v>
      </c>
      <c r="S677" t="s">
        <v>2471</v>
      </c>
      <c r="T677" t="s">
        <v>61</v>
      </c>
      <c r="U677">
        <v>1.5685</v>
      </c>
      <c r="V677" t="s">
        <v>62</v>
      </c>
      <c r="W677">
        <v>0</v>
      </c>
      <c r="X677">
        <v>30.334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66</v>
      </c>
      <c r="AG677" t="s">
        <v>65</v>
      </c>
      <c r="AH677" t="s">
        <v>65</v>
      </c>
      <c r="AI677" t="s">
        <v>67</v>
      </c>
      <c r="AK677" t="s">
        <v>68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49</v>
      </c>
      <c r="AT677" t="s">
        <v>71</v>
      </c>
      <c r="AU677">
        <v>0</v>
      </c>
      <c r="AV677">
        <v>0</v>
      </c>
    </row>
    <row r="678" spans="1:48" x14ac:dyDescent="0.25">
      <c r="A678" t="s">
        <v>2472</v>
      </c>
      <c r="B678" t="s">
        <v>49</v>
      </c>
      <c r="C678" t="s">
        <v>50</v>
      </c>
      <c r="D678">
        <v>440570.42509999999</v>
      </c>
      <c r="E678">
        <v>1828037.9972999999</v>
      </c>
      <c r="F678">
        <v>31.873000000000001</v>
      </c>
      <c r="G678" t="s">
        <v>2473</v>
      </c>
      <c r="H678" t="s">
        <v>52</v>
      </c>
      <c r="I678">
        <v>31.873000000000001</v>
      </c>
      <c r="J678" t="s">
        <v>53</v>
      </c>
      <c r="K678">
        <v>0</v>
      </c>
      <c r="L678" t="s">
        <v>2263</v>
      </c>
      <c r="M678" t="s">
        <v>452</v>
      </c>
      <c r="N678">
        <v>8.2600000000000007E-2</v>
      </c>
      <c r="O678" t="s">
        <v>56</v>
      </c>
      <c r="P678" t="s">
        <v>57</v>
      </c>
      <c r="Q678" t="s">
        <v>58</v>
      </c>
      <c r="R678" t="s">
        <v>59</v>
      </c>
      <c r="S678" t="s">
        <v>2474</v>
      </c>
      <c r="T678" t="s">
        <v>61</v>
      </c>
      <c r="U678">
        <v>1.5741000000000001</v>
      </c>
      <c r="V678" t="s">
        <v>62</v>
      </c>
      <c r="W678">
        <v>0</v>
      </c>
      <c r="X678">
        <v>30.298999999999999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66</v>
      </c>
      <c r="AG678" t="s">
        <v>65</v>
      </c>
      <c r="AH678" t="s">
        <v>65</v>
      </c>
      <c r="AI678" t="s">
        <v>67</v>
      </c>
      <c r="AK678" t="s">
        <v>68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49</v>
      </c>
      <c r="AT678" t="s">
        <v>71</v>
      </c>
      <c r="AU678">
        <v>0</v>
      </c>
      <c r="AV678">
        <v>0</v>
      </c>
    </row>
    <row r="679" spans="1:48" x14ac:dyDescent="0.25">
      <c r="A679" t="s">
        <v>2475</v>
      </c>
      <c r="B679" t="s">
        <v>49</v>
      </c>
      <c r="C679" t="s">
        <v>50</v>
      </c>
      <c r="D679">
        <v>440585.57510000002</v>
      </c>
      <c r="E679">
        <v>1828037.9972999999</v>
      </c>
      <c r="F679">
        <v>31.733000000000001</v>
      </c>
      <c r="G679" t="s">
        <v>2476</v>
      </c>
      <c r="H679" t="s">
        <v>52</v>
      </c>
      <c r="I679">
        <v>31.733000000000001</v>
      </c>
      <c r="J679" t="s">
        <v>53</v>
      </c>
      <c r="K679">
        <v>0</v>
      </c>
      <c r="L679" t="s">
        <v>2263</v>
      </c>
      <c r="M679" t="s">
        <v>2477</v>
      </c>
      <c r="N679">
        <v>8.2600000000000007E-2</v>
      </c>
      <c r="O679" t="s">
        <v>56</v>
      </c>
      <c r="P679" t="s">
        <v>57</v>
      </c>
      <c r="Q679" t="s">
        <v>58</v>
      </c>
      <c r="R679" t="s">
        <v>59</v>
      </c>
      <c r="S679" t="s">
        <v>2478</v>
      </c>
      <c r="T679" t="s">
        <v>61</v>
      </c>
      <c r="U679">
        <v>1.5095000000000001</v>
      </c>
      <c r="V679" t="s">
        <v>62</v>
      </c>
      <c r="W679">
        <v>0</v>
      </c>
      <c r="X679">
        <v>30.224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66</v>
      </c>
      <c r="AG679" t="s">
        <v>65</v>
      </c>
      <c r="AH679" t="s">
        <v>65</v>
      </c>
      <c r="AI679" t="s">
        <v>67</v>
      </c>
      <c r="AK679" t="s">
        <v>68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49</v>
      </c>
      <c r="AT679" t="s">
        <v>71</v>
      </c>
      <c r="AU679">
        <v>0</v>
      </c>
      <c r="AV679">
        <v>0</v>
      </c>
    </row>
    <row r="680" spans="1:48" x14ac:dyDescent="0.25">
      <c r="A680" t="s">
        <v>2479</v>
      </c>
      <c r="B680" t="s">
        <v>73</v>
      </c>
      <c r="C680" t="s">
        <v>50</v>
      </c>
      <c r="D680">
        <v>440585.72509999998</v>
      </c>
      <c r="E680">
        <v>1828018.3262</v>
      </c>
      <c r="F680">
        <v>31.620999999999999</v>
      </c>
      <c r="G680" t="s">
        <v>2480</v>
      </c>
      <c r="H680" t="s">
        <v>52</v>
      </c>
      <c r="I680">
        <v>31.620999999999999</v>
      </c>
      <c r="J680" t="s">
        <v>53</v>
      </c>
      <c r="K680">
        <v>0</v>
      </c>
      <c r="L680" t="s">
        <v>2481</v>
      </c>
      <c r="M680" t="s">
        <v>2302</v>
      </c>
      <c r="N680">
        <v>-0.15</v>
      </c>
      <c r="O680" t="s">
        <v>56</v>
      </c>
      <c r="P680" t="s">
        <v>57</v>
      </c>
      <c r="Q680" t="s">
        <v>59</v>
      </c>
      <c r="R680" t="s">
        <v>58</v>
      </c>
      <c r="S680" t="s">
        <v>2482</v>
      </c>
      <c r="T680" t="s">
        <v>61</v>
      </c>
      <c r="U680">
        <v>1.6026</v>
      </c>
      <c r="V680" t="s">
        <v>62</v>
      </c>
      <c r="W680">
        <v>0</v>
      </c>
      <c r="X680">
        <v>30.018000000000001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68</v>
      </c>
      <c r="AG680" t="s">
        <v>65</v>
      </c>
      <c r="AH680" t="s">
        <v>65</v>
      </c>
      <c r="AI680" t="s">
        <v>67</v>
      </c>
      <c r="AK680" t="s">
        <v>66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73</v>
      </c>
      <c r="AT680" t="s">
        <v>71</v>
      </c>
      <c r="AU680">
        <v>0</v>
      </c>
      <c r="AV680">
        <v>0</v>
      </c>
    </row>
    <row r="681" spans="1:48" x14ac:dyDescent="0.25">
      <c r="A681" t="s">
        <v>2483</v>
      </c>
      <c r="B681" t="s">
        <v>73</v>
      </c>
      <c r="C681" t="s">
        <v>50</v>
      </c>
      <c r="D681">
        <v>440585.72509999998</v>
      </c>
      <c r="E681">
        <v>1827998.7505000001</v>
      </c>
      <c r="F681">
        <v>31.393999999999998</v>
      </c>
      <c r="G681" t="s">
        <v>2484</v>
      </c>
      <c r="H681" t="s">
        <v>52</v>
      </c>
      <c r="I681">
        <v>31.393999999999998</v>
      </c>
      <c r="J681" t="s">
        <v>53</v>
      </c>
      <c r="K681">
        <v>0</v>
      </c>
      <c r="L681" t="s">
        <v>2481</v>
      </c>
      <c r="M681" t="s">
        <v>2485</v>
      </c>
      <c r="N681">
        <v>-0.15</v>
      </c>
      <c r="O681" t="s">
        <v>56</v>
      </c>
      <c r="P681" t="s">
        <v>57</v>
      </c>
      <c r="Q681" t="s">
        <v>59</v>
      </c>
      <c r="R681" t="s">
        <v>58</v>
      </c>
      <c r="S681" t="s">
        <v>2486</v>
      </c>
      <c r="T681" t="s">
        <v>61</v>
      </c>
      <c r="U681">
        <v>1.5842000000000001</v>
      </c>
      <c r="V681" t="s">
        <v>62</v>
      </c>
      <c r="W681">
        <v>0</v>
      </c>
      <c r="X681">
        <v>29.81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68</v>
      </c>
      <c r="AG681" t="s">
        <v>65</v>
      </c>
      <c r="AH681" t="s">
        <v>65</v>
      </c>
      <c r="AI681" t="s">
        <v>67</v>
      </c>
      <c r="AK681" t="s">
        <v>66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73</v>
      </c>
      <c r="AT681" t="s">
        <v>71</v>
      </c>
      <c r="AU681">
        <v>0</v>
      </c>
      <c r="AV681">
        <v>0</v>
      </c>
    </row>
    <row r="682" spans="1:48" x14ac:dyDescent="0.25">
      <c r="A682" t="s">
        <v>2487</v>
      </c>
      <c r="B682" t="s">
        <v>73</v>
      </c>
      <c r="C682" t="s">
        <v>50</v>
      </c>
      <c r="D682">
        <v>440585.72509999998</v>
      </c>
      <c r="E682">
        <v>1827982.6984000001</v>
      </c>
      <c r="F682">
        <v>31.215</v>
      </c>
      <c r="G682" t="s">
        <v>2488</v>
      </c>
      <c r="H682" t="s">
        <v>52</v>
      </c>
      <c r="I682">
        <v>31.215</v>
      </c>
      <c r="J682" t="s">
        <v>53</v>
      </c>
      <c r="K682">
        <v>0</v>
      </c>
      <c r="L682" t="s">
        <v>2481</v>
      </c>
      <c r="M682" t="s">
        <v>444</v>
      </c>
      <c r="N682">
        <v>-0.15</v>
      </c>
      <c r="O682" t="s">
        <v>56</v>
      </c>
      <c r="P682" t="s">
        <v>57</v>
      </c>
      <c r="Q682" t="s">
        <v>59</v>
      </c>
      <c r="R682" t="s">
        <v>58</v>
      </c>
      <c r="S682" t="s">
        <v>2489</v>
      </c>
      <c r="T682" t="s">
        <v>61</v>
      </c>
      <c r="U682">
        <v>1.6045</v>
      </c>
      <c r="V682" t="s">
        <v>62</v>
      </c>
      <c r="W682">
        <v>0</v>
      </c>
      <c r="X682">
        <v>29.611000000000001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68</v>
      </c>
      <c r="AG682" t="s">
        <v>65</v>
      </c>
      <c r="AH682" t="s">
        <v>65</v>
      </c>
      <c r="AI682" t="s">
        <v>67</v>
      </c>
      <c r="AK682" t="s">
        <v>66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73</v>
      </c>
      <c r="AT682" t="s">
        <v>71</v>
      </c>
      <c r="AU682">
        <v>0</v>
      </c>
      <c r="AV682">
        <v>0</v>
      </c>
    </row>
    <row r="683" spans="1:48" x14ac:dyDescent="0.25">
      <c r="A683" t="s">
        <v>2490</v>
      </c>
      <c r="B683" t="s">
        <v>73</v>
      </c>
      <c r="C683" t="s">
        <v>50</v>
      </c>
      <c r="D683">
        <v>440585.72509999998</v>
      </c>
      <c r="E683">
        <v>1827962.6984000001</v>
      </c>
      <c r="F683">
        <v>31.004999999999999</v>
      </c>
      <c r="G683" t="s">
        <v>2491</v>
      </c>
      <c r="H683" t="s">
        <v>52</v>
      </c>
      <c r="I683">
        <v>31.004999999999999</v>
      </c>
      <c r="J683" t="s">
        <v>53</v>
      </c>
      <c r="K683">
        <v>0</v>
      </c>
      <c r="L683" t="s">
        <v>2481</v>
      </c>
      <c r="M683" t="s">
        <v>440</v>
      </c>
      <c r="N683">
        <v>-0.15</v>
      </c>
      <c r="O683" t="s">
        <v>56</v>
      </c>
      <c r="P683" t="s">
        <v>57</v>
      </c>
      <c r="Q683" t="s">
        <v>59</v>
      </c>
      <c r="R683" t="s">
        <v>58</v>
      </c>
      <c r="S683" t="s">
        <v>2492</v>
      </c>
      <c r="T683" t="s">
        <v>61</v>
      </c>
      <c r="U683">
        <v>1.5915999999999999</v>
      </c>
      <c r="V683" t="s">
        <v>62</v>
      </c>
      <c r="W683">
        <v>0</v>
      </c>
      <c r="X683">
        <v>29.413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68</v>
      </c>
      <c r="AG683" t="s">
        <v>65</v>
      </c>
      <c r="AH683" t="s">
        <v>65</v>
      </c>
      <c r="AI683" t="s">
        <v>67</v>
      </c>
      <c r="AK683" t="s">
        <v>66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73</v>
      </c>
      <c r="AT683" t="s">
        <v>71</v>
      </c>
      <c r="AU683">
        <v>0</v>
      </c>
      <c r="AV683">
        <v>0</v>
      </c>
    </row>
    <row r="684" spans="1:48" x14ac:dyDescent="0.25">
      <c r="A684" t="s">
        <v>2493</v>
      </c>
      <c r="B684" t="s">
        <v>73</v>
      </c>
      <c r="C684" t="s">
        <v>50</v>
      </c>
      <c r="D684">
        <v>440585.72509999998</v>
      </c>
      <c r="E684">
        <v>1827942.6984000001</v>
      </c>
      <c r="F684">
        <v>30.806999999999999</v>
      </c>
      <c r="G684" t="s">
        <v>2494</v>
      </c>
      <c r="H684" t="s">
        <v>52</v>
      </c>
      <c r="I684">
        <v>30.806999999999999</v>
      </c>
      <c r="J684" t="s">
        <v>53</v>
      </c>
      <c r="K684">
        <v>0</v>
      </c>
      <c r="L684" t="s">
        <v>2481</v>
      </c>
      <c r="M684" t="s">
        <v>597</v>
      </c>
      <c r="N684">
        <v>-0.15</v>
      </c>
      <c r="O684" t="s">
        <v>56</v>
      </c>
      <c r="P684" t="s">
        <v>57</v>
      </c>
      <c r="Q684" t="s">
        <v>59</v>
      </c>
      <c r="R684" t="s">
        <v>58</v>
      </c>
      <c r="S684" t="s">
        <v>2495</v>
      </c>
      <c r="T684" t="s">
        <v>61</v>
      </c>
      <c r="U684">
        <v>1.6209</v>
      </c>
      <c r="V684" t="s">
        <v>62</v>
      </c>
      <c r="W684">
        <v>0</v>
      </c>
      <c r="X684">
        <v>29.186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68</v>
      </c>
      <c r="AG684" t="s">
        <v>65</v>
      </c>
      <c r="AH684" t="s">
        <v>65</v>
      </c>
      <c r="AI684" t="s">
        <v>67</v>
      </c>
      <c r="AK684" t="s">
        <v>66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73</v>
      </c>
      <c r="AT684" t="s">
        <v>71</v>
      </c>
      <c r="AU684">
        <v>0</v>
      </c>
      <c r="AV684">
        <v>0</v>
      </c>
    </row>
    <row r="685" spans="1:48" x14ac:dyDescent="0.25">
      <c r="A685" t="s">
        <v>2496</v>
      </c>
      <c r="B685" t="s">
        <v>49</v>
      </c>
      <c r="C685" t="s">
        <v>50</v>
      </c>
      <c r="D685">
        <v>440585.8296</v>
      </c>
      <c r="E685">
        <v>1827935.0608999999</v>
      </c>
      <c r="F685">
        <v>30.608000000000001</v>
      </c>
      <c r="G685" t="s">
        <v>2497</v>
      </c>
      <c r="H685" t="s">
        <v>52</v>
      </c>
      <c r="I685">
        <v>30.608000000000001</v>
      </c>
      <c r="J685" t="s">
        <v>53</v>
      </c>
      <c r="K685">
        <v>0</v>
      </c>
      <c r="L685" t="s">
        <v>241</v>
      </c>
      <c r="M685" t="s">
        <v>2498</v>
      </c>
      <c r="N685">
        <v>0.1</v>
      </c>
      <c r="O685" t="s">
        <v>56</v>
      </c>
      <c r="P685" t="s">
        <v>57</v>
      </c>
      <c r="Q685" t="s">
        <v>58</v>
      </c>
      <c r="R685" t="s">
        <v>59</v>
      </c>
      <c r="S685" t="s">
        <v>2499</v>
      </c>
      <c r="T685" t="s">
        <v>61</v>
      </c>
      <c r="U685">
        <v>1.7964</v>
      </c>
      <c r="V685" t="s">
        <v>62</v>
      </c>
      <c r="W685">
        <v>0</v>
      </c>
      <c r="X685">
        <v>28.812000000000001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66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49</v>
      </c>
      <c r="AT685" t="s">
        <v>71</v>
      </c>
      <c r="AU685">
        <v>0</v>
      </c>
      <c r="AV685">
        <v>0</v>
      </c>
    </row>
    <row r="686" spans="1:48" x14ac:dyDescent="0.25">
      <c r="A686" t="s">
        <v>2500</v>
      </c>
      <c r="B686" t="s">
        <v>49</v>
      </c>
      <c r="C686" t="s">
        <v>50</v>
      </c>
      <c r="D686">
        <v>440230.42509999999</v>
      </c>
      <c r="E686">
        <v>1828047.3973000001</v>
      </c>
      <c r="F686">
        <v>33.369999999999997</v>
      </c>
      <c r="G686" t="s">
        <v>2501</v>
      </c>
      <c r="H686" t="s">
        <v>52</v>
      </c>
      <c r="I686">
        <v>33.369999999999997</v>
      </c>
      <c r="J686" t="s">
        <v>53</v>
      </c>
      <c r="K686">
        <v>0</v>
      </c>
      <c r="L686" t="s">
        <v>2502</v>
      </c>
      <c r="M686" t="s">
        <v>853</v>
      </c>
      <c r="N686">
        <v>0</v>
      </c>
      <c r="O686" t="s">
        <v>56</v>
      </c>
      <c r="P686" t="s">
        <v>57</v>
      </c>
      <c r="Q686" t="s">
        <v>58</v>
      </c>
      <c r="R686" t="s">
        <v>59</v>
      </c>
      <c r="S686" t="s">
        <v>2503</v>
      </c>
      <c r="T686" t="s">
        <v>61</v>
      </c>
      <c r="U686">
        <v>1.4857</v>
      </c>
      <c r="V686" t="s">
        <v>62</v>
      </c>
      <c r="W686">
        <v>0</v>
      </c>
      <c r="X686">
        <v>31.884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66</v>
      </c>
      <c r="AG686" t="s">
        <v>65</v>
      </c>
      <c r="AH686" t="s">
        <v>65</v>
      </c>
      <c r="AI686" t="s">
        <v>67</v>
      </c>
      <c r="AK686" t="s">
        <v>68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49</v>
      </c>
      <c r="AT686" t="s">
        <v>71</v>
      </c>
      <c r="AU686">
        <v>0</v>
      </c>
      <c r="AV686">
        <v>0</v>
      </c>
    </row>
    <row r="687" spans="1:48" x14ac:dyDescent="0.25">
      <c r="A687" t="s">
        <v>2504</v>
      </c>
      <c r="B687" t="s">
        <v>49</v>
      </c>
      <c r="C687" t="s">
        <v>50</v>
      </c>
      <c r="D687">
        <v>440250.42509999999</v>
      </c>
      <c r="E687">
        <v>1828047.3973000001</v>
      </c>
      <c r="F687">
        <v>33.277999999999999</v>
      </c>
      <c r="G687" t="s">
        <v>2505</v>
      </c>
      <c r="H687" t="s">
        <v>52</v>
      </c>
      <c r="I687">
        <v>33.277999999999999</v>
      </c>
      <c r="J687" t="s">
        <v>53</v>
      </c>
      <c r="K687">
        <v>0</v>
      </c>
      <c r="L687" t="s">
        <v>2502</v>
      </c>
      <c r="M687" t="s">
        <v>1457</v>
      </c>
      <c r="N687">
        <v>0</v>
      </c>
      <c r="O687" t="s">
        <v>56</v>
      </c>
      <c r="P687" t="s">
        <v>57</v>
      </c>
      <c r="Q687" t="s">
        <v>58</v>
      </c>
      <c r="R687" t="s">
        <v>59</v>
      </c>
      <c r="S687" t="s">
        <v>2506</v>
      </c>
      <c r="T687" t="s">
        <v>61</v>
      </c>
      <c r="U687">
        <v>1.4865999999999999</v>
      </c>
      <c r="V687" t="s">
        <v>62</v>
      </c>
      <c r="W687">
        <v>0</v>
      </c>
      <c r="X687">
        <v>31.791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66</v>
      </c>
      <c r="AG687" t="s">
        <v>65</v>
      </c>
      <c r="AH687" t="s">
        <v>65</v>
      </c>
      <c r="AI687" t="s">
        <v>67</v>
      </c>
      <c r="AK687" t="s">
        <v>68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49</v>
      </c>
      <c r="AT687" t="s">
        <v>71</v>
      </c>
      <c r="AU687">
        <v>0</v>
      </c>
      <c r="AV687">
        <v>0</v>
      </c>
    </row>
    <row r="688" spans="1:48" x14ac:dyDescent="0.25">
      <c r="A688" t="s">
        <v>2507</v>
      </c>
      <c r="B688" t="s">
        <v>49</v>
      </c>
      <c r="C688" t="s">
        <v>50</v>
      </c>
      <c r="D688">
        <v>440270.42509999999</v>
      </c>
      <c r="E688">
        <v>1828047.3973000001</v>
      </c>
      <c r="F688">
        <v>33.185000000000002</v>
      </c>
      <c r="G688" t="s">
        <v>2508</v>
      </c>
      <c r="H688" t="s">
        <v>52</v>
      </c>
      <c r="I688">
        <v>33.185000000000002</v>
      </c>
      <c r="J688" t="s">
        <v>53</v>
      </c>
      <c r="K688">
        <v>0</v>
      </c>
      <c r="L688" t="s">
        <v>2502</v>
      </c>
      <c r="M688" t="s">
        <v>1065</v>
      </c>
      <c r="N688">
        <v>0</v>
      </c>
      <c r="O688" t="s">
        <v>56</v>
      </c>
      <c r="P688" t="s">
        <v>57</v>
      </c>
      <c r="Q688" t="s">
        <v>58</v>
      </c>
      <c r="R688" t="s">
        <v>59</v>
      </c>
      <c r="S688" t="s">
        <v>2509</v>
      </c>
      <c r="T688" t="s">
        <v>61</v>
      </c>
      <c r="U688">
        <v>1.4864999999999999</v>
      </c>
      <c r="V688" t="s">
        <v>62</v>
      </c>
      <c r="W688">
        <v>0</v>
      </c>
      <c r="X688">
        <v>31.699000000000002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66</v>
      </c>
      <c r="AG688" t="s">
        <v>65</v>
      </c>
      <c r="AH688" t="s">
        <v>65</v>
      </c>
      <c r="AI688" t="s">
        <v>67</v>
      </c>
      <c r="AK688" t="s">
        <v>68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49</v>
      </c>
      <c r="AT688" t="s">
        <v>71</v>
      </c>
      <c r="AU688">
        <v>0</v>
      </c>
      <c r="AV688">
        <v>0</v>
      </c>
    </row>
    <row r="689" spans="1:48" x14ac:dyDescent="0.25">
      <c r="A689" t="s">
        <v>2510</v>
      </c>
      <c r="B689" t="s">
        <v>49</v>
      </c>
      <c r="C689" t="s">
        <v>50</v>
      </c>
      <c r="D689">
        <v>440290.42509999999</v>
      </c>
      <c r="E689">
        <v>1828047.3973000001</v>
      </c>
      <c r="F689">
        <v>33.093000000000004</v>
      </c>
      <c r="G689" t="s">
        <v>2511</v>
      </c>
      <c r="H689" t="s">
        <v>52</v>
      </c>
      <c r="I689">
        <v>33.093000000000004</v>
      </c>
      <c r="J689" t="s">
        <v>53</v>
      </c>
      <c r="K689">
        <v>0</v>
      </c>
      <c r="L689" t="s">
        <v>2502</v>
      </c>
      <c r="M689" t="s">
        <v>1061</v>
      </c>
      <c r="N689">
        <v>0</v>
      </c>
      <c r="O689" t="s">
        <v>56</v>
      </c>
      <c r="P689" t="s">
        <v>57</v>
      </c>
      <c r="Q689" t="s">
        <v>58</v>
      </c>
      <c r="R689" t="s">
        <v>59</v>
      </c>
      <c r="S689" t="s">
        <v>2512</v>
      </c>
      <c r="T689" t="s">
        <v>61</v>
      </c>
      <c r="U689">
        <v>1.4863999999999999</v>
      </c>
      <c r="V689" t="s">
        <v>62</v>
      </c>
      <c r="W689">
        <v>0</v>
      </c>
      <c r="X689">
        <v>31.606999999999999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66</v>
      </c>
      <c r="AG689" t="s">
        <v>65</v>
      </c>
      <c r="AH689" t="s">
        <v>65</v>
      </c>
      <c r="AI689" t="s">
        <v>67</v>
      </c>
      <c r="AK689" t="s">
        <v>68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49</v>
      </c>
      <c r="AT689" t="s">
        <v>71</v>
      </c>
      <c r="AU689">
        <v>0</v>
      </c>
      <c r="AV689">
        <v>0</v>
      </c>
    </row>
    <row r="690" spans="1:48" x14ac:dyDescent="0.25">
      <c r="A690" t="s">
        <v>2513</v>
      </c>
      <c r="B690" t="s">
        <v>49</v>
      </c>
      <c r="C690" t="s">
        <v>50</v>
      </c>
      <c r="D690">
        <v>440310.42509999999</v>
      </c>
      <c r="E690">
        <v>1828047.3973000001</v>
      </c>
      <c r="F690">
        <v>33.000999999999998</v>
      </c>
      <c r="G690" t="s">
        <v>2514</v>
      </c>
      <c r="H690" t="s">
        <v>52</v>
      </c>
      <c r="I690">
        <v>33.000999999999998</v>
      </c>
      <c r="J690" t="s">
        <v>53</v>
      </c>
      <c r="K690">
        <v>0</v>
      </c>
      <c r="L690" t="s">
        <v>2502</v>
      </c>
      <c r="M690" t="s">
        <v>1057</v>
      </c>
      <c r="N690">
        <v>0</v>
      </c>
      <c r="O690" t="s">
        <v>56</v>
      </c>
      <c r="P690" t="s">
        <v>57</v>
      </c>
      <c r="Q690" t="s">
        <v>58</v>
      </c>
      <c r="R690" t="s">
        <v>59</v>
      </c>
      <c r="S690" t="s">
        <v>2327</v>
      </c>
      <c r="T690" t="s">
        <v>61</v>
      </c>
      <c r="U690">
        <v>1.4863</v>
      </c>
      <c r="V690" t="s">
        <v>62</v>
      </c>
      <c r="W690">
        <v>0</v>
      </c>
      <c r="X690">
        <v>31.515000000000001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66</v>
      </c>
      <c r="AG690" t="s">
        <v>65</v>
      </c>
      <c r="AH690" t="s">
        <v>65</v>
      </c>
      <c r="AI690" t="s">
        <v>67</v>
      </c>
      <c r="AK690" t="s">
        <v>68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49</v>
      </c>
      <c r="AT690" t="s">
        <v>71</v>
      </c>
      <c r="AU690">
        <v>0</v>
      </c>
      <c r="AV690">
        <v>0</v>
      </c>
    </row>
    <row r="691" spans="1:48" x14ac:dyDescent="0.25">
      <c r="A691" t="s">
        <v>2515</v>
      </c>
      <c r="B691" t="s">
        <v>49</v>
      </c>
      <c r="C691" t="s">
        <v>50</v>
      </c>
      <c r="D691">
        <v>440330.42509999999</v>
      </c>
      <c r="E691">
        <v>1828047.3973000001</v>
      </c>
      <c r="F691">
        <v>32.908999999999999</v>
      </c>
      <c r="G691" t="s">
        <v>2516</v>
      </c>
      <c r="H691" t="s">
        <v>52</v>
      </c>
      <c r="I691">
        <v>32.908999999999999</v>
      </c>
      <c r="J691" t="s">
        <v>53</v>
      </c>
      <c r="K691">
        <v>0</v>
      </c>
      <c r="L691" t="s">
        <v>2502</v>
      </c>
      <c r="M691" t="s">
        <v>1444</v>
      </c>
      <c r="N691">
        <v>0</v>
      </c>
      <c r="O691" t="s">
        <v>56</v>
      </c>
      <c r="P691" t="s">
        <v>57</v>
      </c>
      <c r="Q691" t="s">
        <v>58</v>
      </c>
      <c r="R691" t="s">
        <v>59</v>
      </c>
      <c r="S691" t="s">
        <v>2517</v>
      </c>
      <c r="T691" t="s">
        <v>61</v>
      </c>
      <c r="U691">
        <v>1.4861</v>
      </c>
      <c r="V691" t="s">
        <v>62</v>
      </c>
      <c r="W691">
        <v>0</v>
      </c>
      <c r="X691">
        <v>31.422999999999998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66</v>
      </c>
      <c r="AG691" t="s">
        <v>65</v>
      </c>
      <c r="AH691" t="s">
        <v>65</v>
      </c>
      <c r="AI691" t="s">
        <v>67</v>
      </c>
      <c r="AK691" t="s">
        <v>68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49</v>
      </c>
      <c r="AT691" t="s">
        <v>71</v>
      </c>
      <c r="AU691">
        <v>0</v>
      </c>
      <c r="AV691">
        <v>0</v>
      </c>
    </row>
    <row r="692" spans="1:48" x14ac:dyDescent="0.25">
      <c r="A692" t="s">
        <v>2518</v>
      </c>
      <c r="B692" t="s">
        <v>49</v>
      </c>
      <c r="C692" t="s">
        <v>50</v>
      </c>
      <c r="D692">
        <v>440350.42509999999</v>
      </c>
      <c r="E692">
        <v>1828047.3973000001</v>
      </c>
      <c r="F692">
        <v>32.817</v>
      </c>
      <c r="G692" t="s">
        <v>2519</v>
      </c>
      <c r="H692" t="s">
        <v>52</v>
      </c>
      <c r="I692">
        <v>32.817</v>
      </c>
      <c r="J692" t="s">
        <v>53</v>
      </c>
      <c r="K692">
        <v>0</v>
      </c>
      <c r="L692" t="s">
        <v>2502</v>
      </c>
      <c r="M692" t="s">
        <v>525</v>
      </c>
      <c r="N692">
        <v>0</v>
      </c>
      <c r="O692" t="s">
        <v>56</v>
      </c>
      <c r="P692" t="s">
        <v>57</v>
      </c>
      <c r="Q692" t="s">
        <v>58</v>
      </c>
      <c r="R692" t="s">
        <v>59</v>
      </c>
      <c r="S692" t="s">
        <v>2520</v>
      </c>
      <c r="T692" t="s">
        <v>61</v>
      </c>
      <c r="U692">
        <v>1.486</v>
      </c>
      <c r="V692" t="s">
        <v>62</v>
      </c>
      <c r="W692">
        <v>0</v>
      </c>
      <c r="X692">
        <v>31.331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66</v>
      </c>
      <c r="AG692" t="s">
        <v>65</v>
      </c>
      <c r="AH692" t="s">
        <v>65</v>
      </c>
      <c r="AI692" t="s">
        <v>67</v>
      </c>
      <c r="AK692" t="s">
        <v>68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49</v>
      </c>
      <c r="AT692" t="s">
        <v>71</v>
      </c>
      <c r="AU692">
        <v>0</v>
      </c>
      <c r="AV692">
        <v>0</v>
      </c>
    </row>
    <row r="693" spans="1:48" x14ac:dyDescent="0.25">
      <c r="A693" t="s">
        <v>2521</v>
      </c>
      <c r="B693" t="s">
        <v>49</v>
      </c>
      <c r="C693" t="s">
        <v>50</v>
      </c>
      <c r="D693">
        <v>440370.42509999999</v>
      </c>
      <c r="E693">
        <v>1828047.4223</v>
      </c>
      <c r="F693">
        <v>32.725000000000001</v>
      </c>
      <c r="G693" t="s">
        <v>2522</v>
      </c>
      <c r="H693" t="s">
        <v>52</v>
      </c>
      <c r="I693">
        <v>32.725000000000001</v>
      </c>
      <c r="J693" t="s">
        <v>53</v>
      </c>
      <c r="K693">
        <v>0</v>
      </c>
      <c r="L693" t="s">
        <v>2502</v>
      </c>
      <c r="M693" t="s">
        <v>529</v>
      </c>
      <c r="N693">
        <v>2.5000000000000001E-2</v>
      </c>
      <c r="O693" t="s">
        <v>56</v>
      </c>
      <c r="P693" t="s">
        <v>57</v>
      </c>
      <c r="Q693" t="s">
        <v>58</v>
      </c>
      <c r="R693" t="s">
        <v>59</v>
      </c>
      <c r="S693" t="s">
        <v>2523</v>
      </c>
      <c r="T693" t="s">
        <v>61</v>
      </c>
      <c r="U693">
        <v>1.4834000000000001</v>
      </c>
      <c r="V693" t="s">
        <v>62</v>
      </c>
      <c r="W693">
        <v>0</v>
      </c>
      <c r="X693">
        <v>31.242000000000001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66</v>
      </c>
      <c r="AG693" t="s">
        <v>65</v>
      </c>
      <c r="AH693" t="s">
        <v>65</v>
      </c>
      <c r="AI693" t="s">
        <v>67</v>
      </c>
      <c r="AK693" t="s">
        <v>68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49</v>
      </c>
      <c r="AT693" t="s">
        <v>71</v>
      </c>
      <c r="AU693">
        <v>0</v>
      </c>
      <c r="AV693">
        <v>0</v>
      </c>
    </row>
    <row r="694" spans="1:48" x14ac:dyDescent="0.25">
      <c r="A694" t="s">
        <v>2524</v>
      </c>
      <c r="B694" t="s">
        <v>49</v>
      </c>
      <c r="C694" t="s">
        <v>50</v>
      </c>
      <c r="D694">
        <v>440388.42509999999</v>
      </c>
      <c r="E694">
        <v>1828047.4223</v>
      </c>
      <c r="F694">
        <v>32.643000000000001</v>
      </c>
      <c r="G694" t="s">
        <v>2525</v>
      </c>
      <c r="H694" t="s">
        <v>52</v>
      </c>
      <c r="I694">
        <v>32.643000000000001</v>
      </c>
      <c r="J694" t="s">
        <v>53</v>
      </c>
      <c r="K694">
        <v>0</v>
      </c>
      <c r="L694" t="s">
        <v>2502</v>
      </c>
      <c r="M694" t="s">
        <v>2526</v>
      </c>
      <c r="N694">
        <v>2.5000000000000001E-2</v>
      </c>
      <c r="O694" t="s">
        <v>56</v>
      </c>
      <c r="P694" t="s">
        <v>57</v>
      </c>
      <c r="Q694" t="s">
        <v>58</v>
      </c>
      <c r="R694" t="s">
        <v>59</v>
      </c>
      <c r="S694" t="s">
        <v>2527</v>
      </c>
      <c r="T694" t="s">
        <v>61</v>
      </c>
      <c r="U694">
        <v>1.6395</v>
      </c>
      <c r="V694" t="s">
        <v>62</v>
      </c>
      <c r="W694">
        <v>0</v>
      </c>
      <c r="X694">
        <v>31.003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66</v>
      </c>
      <c r="AG694" t="s">
        <v>65</v>
      </c>
      <c r="AH694" t="s">
        <v>65</v>
      </c>
      <c r="AI694" t="s">
        <v>67</v>
      </c>
      <c r="AK694" t="s">
        <v>68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49</v>
      </c>
      <c r="AT694" t="s">
        <v>71</v>
      </c>
      <c r="AU694">
        <v>0</v>
      </c>
      <c r="AV694">
        <v>0</v>
      </c>
    </row>
    <row r="695" spans="1:48" x14ac:dyDescent="0.25">
      <c r="A695" t="s">
        <v>2528</v>
      </c>
      <c r="B695" t="s">
        <v>49</v>
      </c>
      <c r="C695" t="s">
        <v>50</v>
      </c>
      <c r="D695">
        <v>440410.42509999999</v>
      </c>
      <c r="E695">
        <v>1828047.3973000001</v>
      </c>
      <c r="F695">
        <v>32.540999999999997</v>
      </c>
      <c r="G695" t="s">
        <v>2529</v>
      </c>
      <c r="H695" t="s">
        <v>52</v>
      </c>
      <c r="I695">
        <v>32.540999999999997</v>
      </c>
      <c r="J695" t="s">
        <v>53</v>
      </c>
      <c r="K695">
        <v>0</v>
      </c>
      <c r="L695" t="s">
        <v>2502</v>
      </c>
      <c r="M695" t="s">
        <v>420</v>
      </c>
      <c r="N695">
        <v>0</v>
      </c>
      <c r="O695" t="s">
        <v>56</v>
      </c>
      <c r="P695" t="s">
        <v>57</v>
      </c>
      <c r="Q695" t="s">
        <v>58</v>
      </c>
      <c r="R695" t="s">
        <v>59</v>
      </c>
      <c r="S695" t="s">
        <v>2530</v>
      </c>
      <c r="T695" t="s">
        <v>61</v>
      </c>
      <c r="U695">
        <v>1.6367</v>
      </c>
      <c r="V695" t="s">
        <v>62</v>
      </c>
      <c r="W695">
        <v>0</v>
      </c>
      <c r="X695">
        <v>30.904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66</v>
      </c>
      <c r="AG695" t="s">
        <v>65</v>
      </c>
      <c r="AH695" t="s">
        <v>65</v>
      </c>
      <c r="AI695" t="s">
        <v>67</v>
      </c>
      <c r="AK695" t="s">
        <v>68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49</v>
      </c>
      <c r="AT695" t="s">
        <v>71</v>
      </c>
      <c r="AU695">
        <v>0</v>
      </c>
      <c r="AV695">
        <v>0</v>
      </c>
    </row>
    <row r="696" spans="1:48" x14ac:dyDescent="0.25">
      <c r="A696" t="s">
        <v>2531</v>
      </c>
      <c r="B696" t="s">
        <v>49</v>
      </c>
      <c r="C696" t="s">
        <v>50</v>
      </c>
      <c r="D696">
        <v>440430.42509999999</v>
      </c>
      <c r="E696">
        <v>1828047.3973000001</v>
      </c>
      <c r="F696">
        <v>32.448999999999998</v>
      </c>
      <c r="G696" t="s">
        <v>2532</v>
      </c>
      <c r="H696" t="s">
        <v>52</v>
      </c>
      <c r="I696">
        <v>32.448999999999998</v>
      </c>
      <c r="J696" t="s">
        <v>53</v>
      </c>
      <c r="K696">
        <v>0</v>
      </c>
      <c r="L696" t="s">
        <v>2502</v>
      </c>
      <c r="M696" t="s">
        <v>424</v>
      </c>
      <c r="N696">
        <v>0</v>
      </c>
      <c r="O696" t="s">
        <v>56</v>
      </c>
      <c r="P696" t="s">
        <v>57</v>
      </c>
      <c r="Q696" t="s">
        <v>58</v>
      </c>
      <c r="R696" t="s">
        <v>59</v>
      </c>
      <c r="S696" t="s">
        <v>2533</v>
      </c>
      <c r="T696" t="s">
        <v>61</v>
      </c>
      <c r="U696">
        <v>1.6366000000000001</v>
      </c>
      <c r="V696" t="s">
        <v>62</v>
      </c>
      <c r="W696">
        <v>0</v>
      </c>
      <c r="X696">
        <v>30.812000000000001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67</v>
      </c>
      <c r="AK696" t="s">
        <v>68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49</v>
      </c>
      <c r="AT696" t="s">
        <v>71</v>
      </c>
      <c r="AU696">
        <v>0</v>
      </c>
      <c r="AV696">
        <v>0</v>
      </c>
    </row>
    <row r="697" spans="1:48" x14ac:dyDescent="0.25">
      <c r="A697" t="s">
        <v>2534</v>
      </c>
      <c r="B697" t="s">
        <v>49</v>
      </c>
      <c r="C697" t="s">
        <v>50</v>
      </c>
      <c r="D697">
        <v>440450.42509999999</v>
      </c>
      <c r="E697">
        <v>1828047.3973000001</v>
      </c>
      <c r="F697">
        <v>32.356000000000002</v>
      </c>
      <c r="G697" t="s">
        <v>2535</v>
      </c>
      <c r="H697" t="s">
        <v>52</v>
      </c>
      <c r="I697">
        <v>32.356000000000002</v>
      </c>
      <c r="J697" t="s">
        <v>53</v>
      </c>
      <c r="K697">
        <v>0</v>
      </c>
      <c r="L697" t="s">
        <v>2502</v>
      </c>
      <c r="M697" t="s">
        <v>428</v>
      </c>
      <c r="N697">
        <v>0</v>
      </c>
      <c r="O697" t="s">
        <v>56</v>
      </c>
      <c r="P697" t="s">
        <v>57</v>
      </c>
      <c r="Q697" t="s">
        <v>58</v>
      </c>
      <c r="R697" t="s">
        <v>59</v>
      </c>
      <c r="S697" t="s">
        <v>2536</v>
      </c>
      <c r="T697" t="s">
        <v>61</v>
      </c>
      <c r="U697">
        <v>1.6364000000000001</v>
      </c>
      <c r="V697" t="s">
        <v>62</v>
      </c>
      <c r="W697">
        <v>0</v>
      </c>
      <c r="X697">
        <v>30.72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68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49</v>
      </c>
      <c r="AT697" t="s">
        <v>71</v>
      </c>
      <c r="AU697">
        <v>0</v>
      </c>
      <c r="AV697">
        <v>0</v>
      </c>
    </row>
    <row r="698" spans="1:48" x14ac:dyDescent="0.25">
      <c r="A698" t="s">
        <v>2537</v>
      </c>
      <c r="B698" t="s">
        <v>49</v>
      </c>
      <c r="C698" t="s">
        <v>50</v>
      </c>
      <c r="D698">
        <v>440470.42509999999</v>
      </c>
      <c r="E698">
        <v>1828047.3973000001</v>
      </c>
      <c r="F698">
        <v>32.264000000000003</v>
      </c>
      <c r="G698" t="s">
        <v>2538</v>
      </c>
      <c r="H698" t="s">
        <v>52</v>
      </c>
      <c r="I698">
        <v>32.264000000000003</v>
      </c>
      <c r="J698" t="s">
        <v>53</v>
      </c>
      <c r="K698">
        <v>0</v>
      </c>
      <c r="L698" t="s">
        <v>2502</v>
      </c>
      <c r="M698" t="s">
        <v>432</v>
      </c>
      <c r="N698">
        <v>0</v>
      </c>
      <c r="O698" t="s">
        <v>56</v>
      </c>
      <c r="P698" t="s">
        <v>57</v>
      </c>
      <c r="Q698" t="s">
        <v>58</v>
      </c>
      <c r="R698" t="s">
        <v>59</v>
      </c>
      <c r="S698" t="s">
        <v>2539</v>
      </c>
      <c r="T698" t="s">
        <v>61</v>
      </c>
      <c r="U698">
        <v>1.6363000000000001</v>
      </c>
      <c r="V698" t="s">
        <v>62</v>
      </c>
      <c r="W698">
        <v>0</v>
      </c>
      <c r="X698">
        <v>30.628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66</v>
      </c>
      <c r="AG698" t="s">
        <v>65</v>
      </c>
      <c r="AH698" t="s">
        <v>65</v>
      </c>
      <c r="AI698" t="s">
        <v>67</v>
      </c>
      <c r="AK698" t="s">
        <v>68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49</v>
      </c>
      <c r="AT698" t="s">
        <v>71</v>
      </c>
      <c r="AU698">
        <v>0</v>
      </c>
      <c r="AV698">
        <v>0</v>
      </c>
    </row>
    <row r="699" spans="1:48" x14ac:dyDescent="0.25">
      <c r="A699" t="s">
        <v>2540</v>
      </c>
      <c r="B699" t="s">
        <v>49</v>
      </c>
      <c r="C699" t="s">
        <v>50</v>
      </c>
      <c r="D699">
        <v>440490.42509999999</v>
      </c>
      <c r="E699">
        <v>1828047.3973000001</v>
      </c>
      <c r="F699">
        <v>32.171999999999997</v>
      </c>
      <c r="G699" t="s">
        <v>2541</v>
      </c>
      <c r="H699" t="s">
        <v>52</v>
      </c>
      <c r="I699">
        <v>32.171999999999997</v>
      </c>
      <c r="J699" t="s">
        <v>53</v>
      </c>
      <c r="K699">
        <v>0</v>
      </c>
      <c r="L699" t="s">
        <v>2502</v>
      </c>
      <c r="M699" t="s">
        <v>597</v>
      </c>
      <c r="N699">
        <v>0</v>
      </c>
      <c r="O699" t="s">
        <v>56</v>
      </c>
      <c r="P699" t="s">
        <v>57</v>
      </c>
      <c r="Q699" t="s">
        <v>58</v>
      </c>
      <c r="R699" t="s">
        <v>59</v>
      </c>
      <c r="S699" t="s">
        <v>2542</v>
      </c>
      <c r="T699" t="s">
        <v>61</v>
      </c>
      <c r="U699">
        <v>1.6362000000000001</v>
      </c>
      <c r="V699" t="s">
        <v>62</v>
      </c>
      <c r="W699">
        <v>0</v>
      </c>
      <c r="X699">
        <v>30.536000000000001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67</v>
      </c>
      <c r="AK699" t="s">
        <v>68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49</v>
      </c>
      <c r="AT699" t="s">
        <v>71</v>
      </c>
      <c r="AU699">
        <v>0</v>
      </c>
      <c r="AV699">
        <v>0</v>
      </c>
    </row>
    <row r="700" spans="1:48" x14ac:dyDescent="0.25">
      <c r="A700" t="s">
        <v>2543</v>
      </c>
      <c r="B700" t="s">
        <v>49</v>
      </c>
      <c r="C700" t="s">
        <v>50</v>
      </c>
      <c r="D700">
        <v>440510.42509999999</v>
      </c>
      <c r="E700">
        <v>1828047.3973000001</v>
      </c>
      <c r="F700">
        <v>32.08</v>
      </c>
      <c r="G700" t="s">
        <v>2544</v>
      </c>
      <c r="H700" t="s">
        <v>52</v>
      </c>
      <c r="I700">
        <v>32.08</v>
      </c>
      <c r="J700" t="s">
        <v>53</v>
      </c>
      <c r="K700">
        <v>0</v>
      </c>
      <c r="L700" t="s">
        <v>2502</v>
      </c>
      <c r="M700" t="s">
        <v>440</v>
      </c>
      <c r="N700">
        <v>0</v>
      </c>
      <c r="O700" t="s">
        <v>56</v>
      </c>
      <c r="P700" t="s">
        <v>57</v>
      </c>
      <c r="Q700" t="s">
        <v>58</v>
      </c>
      <c r="R700" t="s">
        <v>59</v>
      </c>
      <c r="S700" t="s">
        <v>2545</v>
      </c>
      <c r="T700" t="s">
        <v>61</v>
      </c>
      <c r="U700">
        <v>1.6361000000000001</v>
      </c>
      <c r="V700" t="s">
        <v>62</v>
      </c>
      <c r="W700">
        <v>0</v>
      </c>
      <c r="X700">
        <v>30.443999999999999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68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49</v>
      </c>
      <c r="AT700" t="s">
        <v>71</v>
      </c>
      <c r="AU700">
        <v>0</v>
      </c>
      <c r="AV700">
        <v>0</v>
      </c>
    </row>
    <row r="701" spans="1:48" x14ac:dyDescent="0.25">
      <c r="A701" t="s">
        <v>2546</v>
      </c>
      <c r="B701" t="s">
        <v>49</v>
      </c>
      <c r="C701" t="s">
        <v>50</v>
      </c>
      <c r="D701">
        <v>440530.42509999999</v>
      </c>
      <c r="E701">
        <v>1828047.3973000001</v>
      </c>
      <c r="F701">
        <v>31.988</v>
      </c>
      <c r="G701" t="s">
        <v>2547</v>
      </c>
      <c r="H701" t="s">
        <v>52</v>
      </c>
      <c r="I701">
        <v>31.988</v>
      </c>
      <c r="J701" t="s">
        <v>53</v>
      </c>
      <c r="K701">
        <v>0</v>
      </c>
      <c r="L701" t="s">
        <v>2502</v>
      </c>
      <c r="M701" t="s">
        <v>444</v>
      </c>
      <c r="N701">
        <v>0</v>
      </c>
      <c r="O701" t="s">
        <v>56</v>
      </c>
      <c r="P701" t="s">
        <v>57</v>
      </c>
      <c r="Q701" t="s">
        <v>58</v>
      </c>
      <c r="R701" t="s">
        <v>59</v>
      </c>
      <c r="S701" t="s">
        <v>2548</v>
      </c>
      <c r="T701" t="s">
        <v>61</v>
      </c>
      <c r="U701">
        <v>2.08</v>
      </c>
      <c r="V701" t="s">
        <v>62</v>
      </c>
      <c r="W701">
        <v>0</v>
      </c>
      <c r="X701">
        <v>29.908000000000001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66</v>
      </c>
      <c r="AG701" t="s">
        <v>65</v>
      </c>
      <c r="AH701" t="s">
        <v>65</v>
      </c>
      <c r="AI701" t="s">
        <v>67</v>
      </c>
      <c r="AK701" t="s">
        <v>68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49</v>
      </c>
      <c r="AT701" t="s">
        <v>71</v>
      </c>
      <c r="AU701">
        <v>0</v>
      </c>
      <c r="AV701">
        <v>0</v>
      </c>
    </row>
    <row r="702" spans="1:48" x14ac:dyDescent="0.25">
      <c r="A702" t="s">
        <v>2549</v>
      </c>
      <c r="B702" t="s">
        <v>49</v>
      </c>
      <c r="C702" t="s">
        <v>50</v>
      </c>
      <c r="D702">
        <v>440550.42509999999</v>
      </c>
      <c r="E702">
        <v>1828047.3973000001</v>
      </c>
      <c r="F702">
        <v>31.902999999999999</v>
      </c>
      <c r="G702" t="s">
        <v>2550</v>
      </c>
      <c r="H702" t="s">
        <v>52</v>
      </c>
      <c r="I702">
        <v>31.902999999999999</v>
      </c>
      <c r="J702" t="s">
        <v>53</v>
      </c>
      <c r="K702">
        <v>0</v>
      </c>
      <c r="L702" t="s">
        <v>2502</v>
      </c>
      <c r="M702" t="s">
        <v>448</v>
      </c>
      <c r="N702">
        <v>0</v>
      </c>
      <c r="O702" t="s">
        <v>56</v>
      </c>
      <c r="P702" t="s">
        <v>57</v>
      </c>
      <c r="Q702" t="s">
        <v>58</v>
      </c>
      <c r="R702" t="s">
        <v>59</v>
      </c>
      <c r="S702" t="s">
        <v>2551</v>
      </c>
      <c r="T702" t="s">
        <v>61</v>
      </c>
      <c r="U702">
        <v>2.2035</v>
      </c>
      <c r="V702" t="s">
        <v>62</v>
      </c>
      <c r="W702">
        <v>0</v>
      </c>
      <c r="X702">
        <v>29.699000000000002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66</v>
      </c>
      <c r="AG702" t="s">
        <v>65</v>
      </c>
      <c r="AH702" t="s">
        <v>65</v>
      </c>
      <c r="AI702" t="s">
        <v>67</v>
      </c>
      <c r="AK702" t="s">
        <v>68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49</v>
      </c>
      <c r="AT702" t="s">
        <v>71</v>
      </c>
      <c r="AU702">
        <v>0</v>
      </c>
      <c r="AV702">
        <v>0</v>
      </c>
    </row>
    <row r="703" spans="1:48" x14ac:dyDescent="0.25">
      <c r="A703" t="s">
        <v>2552</v>
      </c>
      <c r="B703" t="s">
        <v>49</v>
      </c>
      <c r="C703" t="s">
        <v>50</v>
      </c>
      <c r="D703">
        <v>440570.42509999999</v>
      </c>
      <c r="E703">
        <v>1828047.3973000001</v>
      </c>
      <c r="F703">
        <v>31.873000000000001</v>
      </c>
      <c r="G703" t="s">
        <v>2553</v>
      </c>
      <c r="H703" t="s">
        <v>52</v>
      </c>
      <c r="I703">
        <v>31.873000000000001</v>
      </c>
      <c r="J703" t="s">
        <v>53</v>
      </c>
      <c r="K703">
        <v>0</v>
      </c>
      <c r="L703" t="s">
        <v>2502</v>
      </c>
      <c r="M703" s="1" t="s">
        <v>452</v>
      </c>
      <c r="N703">
        <v>0</v>
      </c>
      <c r="O703" t="s">
        <v>56</v>
      </c>
      <c r="P703" t="s">
        <v>57</v>
      </c>
      <c r="Q703" t="s">
        <v>58</v>
      </c>
      <c r="R703" t="s">
        <v>59</v>
      </c>
      <c r="S703" t="s">
        <v>2554</v>
      </c>
      <c r="T703" t="s">
        <v>61</v>
      </c>
      <c r="U703">
        <v>2.504</v>
      </c>
      <c r="V703" t="s">
        <v>62</v>
      </c>
      <c r="W703">
        <v>0</v>
      </c>
      <c r="X703">
        <v>29.369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66</v>
      </c>
      <c r="AG703" t="s">
        <v>65</v>
      </c>
      <c r="AH703" t="s">
        <v>65</v>
      </c>
      <c r="AI703" t="s">
        <v>67</v>
      </c>
      <c r="AK703" t="s">
        <v>68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49</v>
      </c>
      <c r="AT703" t="s">
        <v>71</v>
      </c>
      <c r="AU703">
        <v>0</v>
      </c>
      <c r="AV703">
        <v>0</v>
      </c>
    </row>
    <row r="704" spans="1:48" x14ac:dyDescent="0.25">
      <c r="A704" t="s">
        <v>2555</v>
      </c>
      <c r="B704" t="s">
        <v>49</v>
      </c>
      <c r="C704" t="s">
        <v>50</v>
      </c>
      <c r="D704">
        <v>440584.46799999999</v>
      </c>
      <c r="E704">
        <v>1828047.3973000001</v>
      </c>
      <c r="F704">
        <v>31.875</v>
      </c>
      <c r="G704" t="s">
        <v>2556</v>
      </c>
      <c r="H704" t="s">
        <v>52</v>
      </c>
      <c r="I704">
        <v>31.875</v>
      </c>
      <c r="J704" t="s">
        <v>53</v>
      </c>
      <c r="K704">
        <v>0</v>
      </c>
      <c r="L704" t="s">
        <v>2502</v>
      </c>
      <c r="M704" s="1" t="s">
        <v>2557</v>
      </c>
      <c r="N704">
        <v>0</v>
      </c>
      <c r="O704" t="s">
        <v>56</v>
      </c>
      <c r="P704" t="s">
        <v>57</v>
      </c>
      <c r="Q704" t="s">
        <v>58</v>
      </c>
      <c r="R704" t="s">
        <v>59</v>
      </c>
      <c r="S704" t="s">
        <v>2558</v>
      </c>
      <c r="T704" t="s">
        <v>61</v>
      </c>
      <c r="U704">
        <v>2.52</v>
      </c>
      <c r="V704" t="s">
        <v>62</v>
      </c>
      <c r="W704">
        <v>0</v>
      </c>
      <c r="X704">
        <v>29.355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68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49</v>
      </c>
      <c r="AT704" t="s">
        <v>71</v>
      </c>
      <c r="AU704">
        <v>0</v>
      </c>
      <c r="AV704">
        <v>0</v>
      </c>
    </row>
    <row r="705" spans="1:48" x14ac:dyDescent="0.25">
      <c r="A705" t="s">
        <v>2559</v>
      </c>
      <c r="B705" t="s">
        <v>49</v>
      </c>
      <c r="C705" t="s">
        <v>50</v>
      </c>
      <c r="D705">
        <v>440595.0001</v>
      </c>
      <c r="E705">
        <v>1828047.3973000001</v>
      </c>
      <c r="F705">
        <v>31.93</v>
      </c>
      <c r="G705" t="s">
        <v>2560</v>
      </c>
      <c r="H705" t="s">
        <v>52</v>
      </c>
      <c r="I705">
        <v>31.93</v>
      </c>
      <c r="J705" t="s">
        <v>53</v>
      </c>
      <c r="K705">
        <v>0</v>
      </c>
      <c r="L705" t="s">
        <v>2502</v>
      </c>
      <c r="M705">
        <f>0+4.57</f>
        <v>4.57</v>
      </c>
      <c r="N705">
        <v>0</v>
      </c>
      <c r="O705" t="s">
        <v>56</v>
      </c>
      <c r="P705" t="s">
        <v>57</v>
      </c>
      <c r="Q705" t="s">
        <v>58</v>
      </c>
      <c r="R705" t="s">
        <v>59</v>
      </c>
      <c r="S705" t="s">
        <v>2561</v>
      </c>
      <c r="T705" t="s">
        <v>61</v>
      </c>
      <c r="U705">
        <v>2.5863999999999998</v>
      </c>
      <c r="V705" t="s">
        <v>62</v>
      </c>
      <c r="W705">
        <v>0</v>
      </c>
      <c r="X705">
        <v>29.344000000000001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68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49</v>
      </c>
      <c r="AT705" t="s">
        <v>71</v>
      </c>
      <c r="AU705">
        <v>0</v>
      </c>
      <c r="AV705">
        <v>0</v>
      </c>
    </row>
    <row r="706" spans="1:48" x14ac:dyDescent="0.25">
      <c r="A706" t="s">
        <v>2562</v>
      </c>
      <c r="B706" t="s">
        <v>73</v>
      </c>
      <c r="C706" t="s">
        <v>50</v>
      </c>
      <c r="D706">
        <v>440595.1251</v>
      </c>
      <c r="E706">
        <v>1828012.7723999999</v>
      </c>
      <c r="F706">
        <v>31.556000000000001</v>
      </c>
      <c r="G706" t="s">
        <v>2563</v>
      </c>
      <c r="H706" t="s">
        <v>52</v>
      </c>
      <c r="I706">
        <v>31.556000000000001</v>
      </c>
      <c r="J706" t="s">
        <v>53</v>
      </c>
      <c r="K706">
        <v>0</v>
      </c>
      <c r="L706" t="s">
        <v>251</v>
      </c>
      <c r="M706" t="s">
        <v>2564</v>
      </c>
      <c r="N706">
        <v>-0.125</v>
      </c>
      <c r="O706" t="s">
        <v>56</v>
      </c>
      <c r="P706" t="s">
        <v>57</v>
      </c>
      <c r="Q706" t="s">
        <v>59</v>
      </c>
      <c r="R706" t="s">
        <v>58</v>
      </c>
      <c r="S706" t="s">
        <v>2565</v>
      </c>
      <c r="T706" t="s">
        <v>61</v>
      </c>
      <c r="U706">
        <v>2.5611999999999999</v>
      </c>
      <c r="V706" t="s">
        <v>62</v>
      </c>
      <c r="W706">
        <v>0</v>
      </c>
      <c r="X706">
        <v>28.995000000000001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68</v>
      </c>
      <c r="AG706" t="s">
        <v>65</v>
      </c>
      <c r="AH706" t="s">
        <v>65</v>
      </c>
      <c r="AI706" t="s">
        <v>67</v>
      </c>
      <c r="AK706" t="s">
        <v>66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73</v>
      </c>
      <c r="AT706" t="s">
        <v>71</v>
      </c>
      <c r="AU706">
        <v>0</v>
      </c>
      <c r="AV706">
        <v>0</v>
      </c>
    </row>
    <row r="707" spans="1:48" x14ac:dyDescent="0.25">
      <c r="A707" t="s">
        <v>2566</v>
      </c>
      <c r="B707" t="s">
        <v>73</v>
      </c>
      <c r="C707" t="s">
        <v>50</v>
      </c>
      <c r="D707">
        <v>440595.1251</v>
      </c>
      <c r="E707">
        <v>1827992.7723999999</v>
      </c>
      <c r="F707">
        <v>31.327000000000002</v>
      </c>
      <c r="G707" t="s">
        <v>2567</v>
      </c>
      <c r="H707" t="s">
        <v>52</v>
      </c>
      <c r="I707">
        <v>31.327000000000002</v>
      </c>
      <c r="J707" t="s">
        <v>53</v>
      </c>
      <c r="K707">
        <v>0</v>
      </c>
      <c r="L707" t="s">
        <v>251</v>
      </c>
      <c r="M707" t="s">
        <v>2568</v>
      </c>
      <c r="N707">
        <v>-0.125</v>
      </c>
      <c r="O707" t="s">
        <v>56</v>
      </c>
      <c r="P707" t="s">
        <v>57</v>
      </c>
      <c r="Q707" t="s">
        <v>59</v>
      </c>
      <c r="R707" t="s">
        <v>58</v>
      </c>
      <c r="S707" t="s">
        <v>2569</v>
      </c>
      <c r="T707" t="s">
        <v>61</v>
      </c>
      <c r="U707">
        <v>2.5556000000000001</v>
      </c>
      <c r="V707" t="s">
        <v>62</v>
      </c>
      <c r="W707">
        <v>0</v>
      </c>
      <c r="X707">
        <v>28.771000000000001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68</v>
      </c>
      <c r="AG707" t="s">
        <v>65</v>
      </c>
      <c r="AH707" t="s">
        <v>65</v>
      </c>
      <c r="AI707" t="s">
        <v>67</v>
      </c>
      <c r="AK707" t="s">
        <v>66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73</v>
      </c>
      <c r="AT707" t="s">
        <v>71</v>
      </c>
      <c r="AU707">
        <v>0</v>
      </c>
      <c r="AV707">
        <v>0</v>
      </c>
    </row>
    <row r="708" spans="1:48" x14ac:dyDescent="0.25">
      <c r="A708" t="s">
        <v>2570</v>
      </c>
      <c r="B708" t="s">
        <v>73</v>
      </c>
      <c r="C708" t="s">
        <v>50</v>
      </c>
      <c r="D708">
        <v>440595.1251</v>
      </c>
      <c r="E708">
        <v>1827972.7723999999</v>
      </c>
      <c r="F708">
        <v>31.109000000000002</v>
      </c>
      <c r="G708" t="s">
        <v>2571</v>
      </c>
      <c r="H708" t="s">
        <v>52</v>
      </c>
      <c r="I708">
        <v>31.109000000000002</v>
      </c>
      <c r="J708" t="s">
        <v>53</v>
      </c>
      <c r="K708">
        <v>0</v>
      </c>
      <c r="L708" t="s">
        <v>251</v>
      </c>
      <c r="M708" s="1" t="s">
        <v>2572</v>
      </c>
      <c r="N708">
        <v>-0.125</v>
      </c>
      <c r="O708" t="s">
        <v>56</v>
      </c>
      <c r="P708" t="s">
        <v>57</v>
      </c>
      <c r="Q708" t="s">
        <v>59</v>
      </c>
      <c r="R708" t="s">
        <v>58</v>
      </c>
      <c r="S708" t="s">
        <v>2573</v>
      </c>
      <c r="T708" t="s">
        <v>61</v>
      </c>
      <c r="U708">
        <v>2.5482</v>
      </c>
      <c r="V708" t="s">
        <v>62</v>
      </c>
      <c r="W708">
        <v>0</v>
      </c>
      <c r="X708">
        <v>28.561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68</v>
      </c>
      <c r="AG708" t="s">
        <v>65</v>
      </c>
      <c r="AH708" t="s">
        <v>65</v>
      </c>
      <c r="AI708" t="s">
        <v>67</v>
      </c>
      <c r="AK708" t="s">
        <v>66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73</v>
      </c>
      <c r="AT708" t="s">
        <v>71</v>
      </c>
      <c r="AU708">
        <v>0</v>
      </c>
      <c r="AV708">
        <v>0</v>
      </c>
    </row>
    <row r="709" spans="1:48" x14ac:dyDescent="0.25">
      <c r="A709" t="s">
        <v>2574</v>
      </c>
      <c r="B709" t="s">
        <v>73</v>
      </c>
      <c r="C709" t="s">
        <v>50</v>
      </c>
      <c r="D709">
        <v>440595.1251</v>
      </c>
      <c r="E709">
        <v>1827952.7723999999</v>
      </c>
      <c r="F709">
        <v>30.905000000000001</v>
      </c>
      <c r="G709" t="s">
        <v>2575</v>
      </c>
      <c r="H709" t="s">
        <v>52</v>
      </c>
      <c r="I709">
        <v>30.905000000000001</v>
      </c>
      <c r="J709" t="s">
        <v>53</v>
      </c>
      <c r="K709">
        <v>0</v>
      </c>
      <c r="L709" t="s">
        <v>251</v>
      </c>
      <c r="M709" s="1" t="s">
        <v>2576</v>
      </c>
      <c r="N709">
        <v>-0.125</v>
      </c>
      <c r="O709" t="s">
        <v>56</v>
      </c>
      <c r="P709" t="s">
        <v>57</v>
      </c>
      <c r="Q709" t="s">
        <v>59</v>
      </c>
      <c r="R709" t="s">
        <v>58</v>
      </c>
      <c r="S709" t="s">
        <v>2577</v>
      </c>
      <c r="T709" t="s">
        <v>61</v>
      </c>
      <c r="U709">
        <v>2.5419</v>
      </c>
      <c r="V709" t="s">
        <v>62</v>
      </c>
      <c r="W709">
        <v>0</v>
      </c>
      <c r="X709">
        <v>28.363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68</v>
      </c>
      <c r="AG709" t="s">
        <v>65</v>
      </c>
      <c r="AH709" t="s">
        <v>65</v>
      </c>
      <c r="AI709" t="s">
        <v>67</v>
      </c>
      <c r="AK709" t="s">
        <v>66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73</v>
      </c>
      <c r="AT709" t="s">
        <v>71</v>
      </c>
      <c r="AU709">
        <v>0</v>
      </c>
      <c r="AV709">
        <v>0</v>
      </c>
    </row>
    <row r="710" spans="1:48" x14ac:dyDescent="0.25">
      <c r="A710" t="s">
        <v>2578</v>
      </c>
      <c r="B710" t="s">
        <v>49</v>
      </c>
      <c r="C710" t="s">
        <v>50</v>
      </c>
      <c r="D710">
        <v>440594.8175</v>
      </c>
      <c r="E710">
        <v>1827935.0617</v>
      </c>
      <c r="F710">
        <v>30.728999999999999</v>
      </c>
      <c r="G710" t="s">
        <v>2579</v>
      </c>
      <c r="H710" t="s">
        <v>52</v>
      </c>
      <c r="I710">
        <v>30.728999999999999</v>
      </c>
      <c r="J710" t="s">
        <v>53</v>
      </c>
      <c r="K710">
        <v>0</v>
      </c>
      <c r="L710" t="s">
        <v>241</v>
      </c>
      <c r="M710">
        <f>0+4.39</f>
        <v>4.3899999999999997</v>
      </c>
      <c r="N710">
        <v>0.1008</v>
      </c>
      <c r="O710" t="s">
        <v>56</v>
      </c>
      <c r="P710" t="s">
        <v>57</v>
      </c>
      <c r="Q710" t="s">
        <v>58</v>
      </c>
      <c r="R710" t="s">
        <v>59</v>
      </c>
      <c r="S710" t="s">
        <v>2580</v>
      </c>
      <c r="T710" t="s">
        <v>61</v>
      </c>
      <c r="U710">
        <v>2.6478000000000002</v>
      </c>
      <c r="V710" t="s">
        <v>62</v>
      </c>
      <c r="W710">
        <v>0</v>
      </c>
      <c r="X710">
        <v>28.081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66</v>
      </c>
      <c r="AG710" t="s">
        <v>65</v>
      </c>
      <c r="AH710" t="s">
        <v>65</v>
      </c>
      <c r="AI710" t="s">
        <v>67</v>
      </c>
      <c r="AK710" t="s">
        <v>68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49</v>
      </c>
      <c r="AT710" t="s">
        <v>71</v>
      </c>
      <c r="AU710">
        <v>0</v>
      </c>
      <c r="AV710">
        <v>0</v>
      </c>
    </row>
    <row r="711" spans="1:48" x14ac:dyDescent="0.25">
      <c r="A711" t="s">
        <v>2581</v>
      </c>
      <c r="B711" t="s">
        <v>73</v>
      </c>
      <c r="C711" t="s">
        <v>50</v>
      </c>
      <c r="D711">
        <v>440529.52510000003</v>
      </c>
      <c r="E711">
        <v>1827850.0696</v>
      </c>
      <c r="F711">
        <v>30.718</v>
      </c>
      <c r="G711" t="s">
        <v>2582</v>
      </c>
      <c r="H711" t="s">
        <v>52</v>
      </c>
      <c r="I711">
        <v>30.718</v>
      </c>
      <c r="J711" t="s">
        <v>53</v>
      </c>
      <c r="K711">
        <v>0</v>
      </c>
      <c r="L711" t="s">
        <v>2583</v>
      </c>
      <c r="M711" t="s">
        <v>2584</v>
      </c>
      <c r="N711">
        <v>0.15</v>
      </c>
      <c r="O711" t="s">
        <v>56</v>
      </c>
      <c r="P711" t="s">
        <v>57</v>
      </c>
      <c r="Q711" t="s">
        <v>59</v>
      </c>
      <c r="R711" t="s">
        <v>58</v>
      </c>
      <c r="S711" t="s">
        <v>2585</v>
      </c>
      <c r="T711" t="s">
        <v>61</v>
      </c>
      <c r="U711">
        <v>2.0472000000000001</v>
      </c>
      <c r="V711" t="s">
        <v>62</v>
      </c>
      <c r="W711">
        <v>0</v>
      </c>
      <c r="X711">
        <v>28.670999999999999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68</v>
      </c>
      <c r="AG711" t="s">
        <v>65</v>
      </c>
      <c r="AH711" t="s">
        <v>65</v>
      </c>
      <c r="AI711" t="s">
        <v>67</v>
      </c>
      <c r="AK711" t="s">
        <v>66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73</v>
      </c>
      <c r="AT711" t="s">
        <v>71</v>
      </c>
      <c r="AU711">
        <v>0</v>
      </c>
      <c r="AV711">
        <v>0</v>
      </c>
    </row>
    <row r="712" spans="1:48" x14ac:dyDescent="0.25">
      <c r="A712" t="s">
        <v>2586</v>
      </c>
      <c r="B712" t="s">
        <v>73</v>
      </c>
      <c r="C712" t="s">
        <v>50</v>
      </c>
      <c r="D712">
        <v>440529.52510000003</v>
      </c>
      <c r="E712">
        <v>1827869.7609000001</v>
      </c>
      <c r="F712">
        <v>30.882999999999999</v>
      </c>
      <c r="G712" t="s">
        <v>2587</v>
      </c>
      <c r="H712" t="s">
        <v>52</v>
      </c>
      <c r="I712">
        <v>30.882999999999999</v>
      </c>
      <c r="J712" t="s">
        <v>53</v>
      </c>
      <c r="K712">
        <v>0</v>
      </c>
      <c r="L712" t="s">
        <v>2583</v>
      </c>
      <c r="M712" t="s">
        <v>452</v>
      </c>
      <c r="N712">
        <v>0.15</v>
      </c>
      <c r="O712" t="s">
        <v>56</v>
      </c>
      <c r="P712" t="s">
        <v>57</v>
      </c>
      <c r="Q712" t="s">
        <v>59</v>
      </c>
      <c r="R712" t="s">
        <v>58</v>
      </c>
      <c r="S712" t="s">
        <v>2588</v>
      </c>
      <c r="T712" t="s">
        <v>61</v>
      </c>
      <c r="U712">
        <v>2.2323</v>
      </c>
      <c r="V712" t="s">
        <v>62</v>
      </c>
      <c r="W712">
        <v>0</v>
      </c>
      <c r="X712">
        <v>28.651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68</v>
      </c>
      <c r="AG712" t="s">
        <v>65</v>
      </c>
      <c r="AH712" t="s">
        <v>65</v>
      </c>
      <c r="AI712" t="s">
        <v>67</v>
      </c>
      <c r="AK712" t="s">
        <v>66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73</v>
      </c>
      <c r="AT712" t="s">
        <v>71</v>
      </c>
      <c r="AU712">
        <v>0</v>
      </c>
      <c r="AV712">
        <v>0</v>
      </c>
    </row>
    <row r="713" spans="1:48" x14ac:dyDescent="0.25">
      <c r="A713" t="s">
        <v>2589</v>
      </c>
      <c r="B713" t="s">
        <v>73</v>
      </c>
      <c r="C713" t="s">
        <v>50</v>
      </c>
      <c r="D713">
        <v>440520.1251</v>
      </c>
      <c r="E713">
        <v>1827850.0316000001</v>
      </c>
      <c r="F713">
        <v>30.718</v>
      </c>
      <c r="G713" t="s">
        <v>2590</v>
      </c>
      <c r="H713" t="s">
        <v>52</v>
      </c>
      <c r="I713">
        <v>30.718</v>
      </c>
      <c r="J713" t="s">
        <v>53</v>
      </c>
      <c r="K713">
        <v>0</v>
      </c>
      <c r="L713" t="s">
        <v>2591</v>
      </c>
      <c r="M713" t="s">
        <v>2592</v>
      </c>
      <c r="N713">
        <v>-0.248</v>
      </c>
      <c r="O713" t="s">
        <v>56</v>
      </c>
      <c r="P713" t="s">
        <v>57</v>
      </c>
      <c r="Q713" t="s">
        <v>59</v>
      </c>
      <c r="R713" t="s">
        <v>58</v>
      </c>
      <c r="S713" t="s">
        <v>2593</v>
      </c>
      <c r="T713" t="s">
        <v>61</v>
      </c>
      <c r="U713">
        <v>2.0468999999999999</v>
      </c>
      <c r="V713" t="s">
        <v>62</v>
      </c>
      <c r="W713">
        <v>0</v>
      </c>
      <c r="X713">
        <v>28.670999999999999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68</v>
      </c>
      <c r="AG713" t="s">
        <v>65</v>
      </c>
      <c r="AH713" t="s">
        <v>65</v>
      </c>
      <c r="AI713" t="s">
        <v>67</v>
      </c>
      <c r="AK713" t="s">
        <v>66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73</v>
      </c>
      <c r="AT713" t="s">
        <v>71</v>
      </c>
      <c r="AU713">
        <v>0</v>
      </c>
      <c r="AV713">
        <v>0</v>
      </c>
    </row>
    <row r="714" spans="1:48" x14ac:dyDescent="0.25">
      <c r="A714" t="s">
        <v>2594</v>
      </c>
      <c r="B714" t="s">
        <v>73</v>
      </c>
      <c r="C714" t="s">
        <v>50</v>
      </c>
      <c r="D714">
        <v>440520.1251</v>
      </c>
      <c r="E714">
        <v>1827869.7609000001</v>
      </c>
      <c r="F714">
        <v>30.882999999999999</v>
      </c>
      <c r="G714" t="s">
        <v>2595</v>
      </c>
      <c r="H714" t="s">
        <v>52</v>
      </c>
      <c r="I714">
        <v>30.882999999999999</v>
      </c>
      <c r="J714" t="s">
        <v>53</v>
      </c>
      <c r="K714">
        <v>0</v>
      </c>
      <c r="L714" t="s">
        <v>2591</v>
      </c>
      <c r="M714" t="s">
        <v>452</v>
      </c>
      <c r="N714">
        <v>-0.248</v>
      </c>
      <c r="O714" t="s">
        <v>56</v>
      </c>
      <c r="P714" t="s">
        <v>57</v>
      </c>
      <c r="Q714" t="s">
        <v>59</v>
      </c>
      <c r="R714" t="s">
        <v>58</v>
      </c>
      <c r="S714" t="s">
        <v>2588</v>
      </c>
      <c r="T714" t="s">
        <v>61</v>
      </c>
      <c r="U714">
        <v>2.2323</v>
      </c>
      <c r="V714" t="s">
        <v>62</v>
      </c>
      <c r="W714">
        <v>0</v>
      </c>
      <c r="X714">
        <v>28.651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68</v>
      </c>
      <c r="AG714" t="s">
        <v>65</v>
      </c>
      <c r="AH714" t="s">
        <v>65</v>
      </c>
      <c r="AI714" t="s">
        <v>67</v>
      </c>
      <c r="AK714" t="s">
        <v>66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73</v>
      </c>
      <c r="AT714" t="s">
        <v>71</v>
      </c>
      <c r="AU714">
        <v>0</v>
      </c>
      <c r="AV714">
        <v>0</v>
      </c>
    </row>
    <row r="715" spans="1:48" x14ac:dyDescent="0.25">
      <c r="A715" t="s">
        <v>2596</v>
      </c>
      <c r="B715" t="s">
        <v>73</v>
      </c>
      <c r="C715" t="s">
        <v>50</v>
      </c>
      <c r="D715">
        <v>440463.92509999999</v>
      </c>
      <c r="E715">
        <v>1827842.6987000001</v>
      </c>
      <c r="F715">
        <v>30.724</v>
      </c>
      <c r="G715" t="s">
        <v>2597</v>
      </c>
      <c r="H715" t="s">
        <v>52</v>
      </c>
      <c r="I715">
        <v>30.724</v>
      </c>
      <c r="J715" t="s">
        <v>53</v>
      </c>
      <c r="K715">
        <v>0</v>
      </c>
      <c r="L715" t="s">
        <v>210</v>
      </c>
      <c r="M715" t="s">
        <v>416</v>
      </c>
      <c r="N715">
        <v>0.15</v>
      </c>
      <c r="O715" t="s">
        <v>56</v>
      </c>
      <c r="P715" t="s">
        <v>57</v>
      </c>
      <c r="Q715" t="s">
        <v>59</v>
      </c>
      <c r="R715" t="s">
        <v>58</v>
      </c>
      <c r="S715" t="s">
        <v>2598</v>
      </c>
      <c r="T715" t="s">
        <v>61</v>
      </c>
      <c r="U715">
        <v>1.5645</v>
      </c>
      <c r="V715" t="s">
        <v>62</v>
      </c>
      <c r="W715">
        <v>0</v>
      </c>
      <c r="X715">
        <v>29.16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68</v>
      </c>
      <c r="AG715" t="s">
        <v>65</v>
      </c>
      <c r="AH715" t="s">
        <v>65</v>
      </c>
      <c r="AI715" t="s">
        <v>67</v>
      </c>
      <c r="AK715" t="s">
        <v>66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73</v>
      </c>
      <c r="AT715" t="s">
        <v>71</v>
      </c>
      <c r="AU715">
        <v>0</v>
      </c>
      <c r="AV715">
        <v>0</v>
      </c>
    </row>
    <row r="716" spans="1:48" x14ac:dyDescent="0.25">
      <c r="A716" t="s">
        <v>2599</v>
      </c>
      <c r="B716" t="s">
        <v>73</v>
      </c>
      <c r="C716" t="s">
        <v>50</v>
      </c>
      <c r="D716">
        <v>440454.52510000003</v>
      </c>
      <c r="E716">
        <v>1827842.6987000001</v>
      </c>
      <c r="F716">
        <v>30.724</v>
      </c>
      <c r="G716" t="s">
        <v>2600</v>
      </c>
      <c r="H716" t="s">
        <v>52</v>
      </c>
      <c r="I716">
        <v>30.724</v>
      </c>
      <c r="J716" t="s">
        <v>53</v>
      </c>
      <c r="K716">
        <v>0</v>
      </c>
      <c r="L716" t="s">
        <v>232</v>
      </c>
      <c r="M716" t="s">
        <v>416</v>
      </c>
      <c r="N716">
        <v>2.8400000000000002E-2</v>
      </c>
      <c r="O716" t="s">
        <v>56</v>
      </c>
      <c r="P716" t="s">
        <v>57</v>
      </c>
      <c r="Q716" t="s">
        <v>59</v>
      </c>
      <c r="R716" t="s">
        <v>58</v>
      </c>
      <c r="S716" t="s">
        <v>2598</v>
      </c>
      <c r="T716" t="s">
        <v>61</v>
      </c>
      <c r="U716">
        <v>1.5645</v>
      </c>
      <c r="V716" t="s">
        <v>62</v>
      </c>
      <c r="W716">
        <v>0</v>
      </c>
      <c r="X716">
        <v>29.16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68</v>
      </c>
      <c r="AG716" t="s">
        <v>65</v>
      </c>
      <c r="AH716" t="s">
        <v>65</v>
      </c>
      <c r="AI716" t="s">
        <v>67</v>
      </c>
      <c r="AK716" t="s">
        <v>66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73</v>
      </c>
      <c r="AT716" t="s">
        <v>71</v>
      </c>
      <c r="AU716">
        <v>0</v>
      </c>
      <c r="AV716">
        <v>0</v>
      </c>
    </row>
    <row r="717" spans="1:48" x14ac:dyDescent="0.25">
      <c r="A717" t="s">
        <v>2601</v>
      </c>
      <c r="B717" t="s">
        <v>49</v>
      </c>
      <c r="C717" t="s">
        <v>50</v>
      </c>
      <c r="D717">
        <v>440410.42509999999</v>
      </c>
      <c r="E717">
        <v>1827885.0608999999</v>
      </c>
      <c r="F717">
        <v>30.876000000000001</v>
      </c>
      <c r="G717" t="s">
        <v>2602</v>
      </c>
      <c r="H717" t="s">
        <v>52</v>
      </c>
      <c r="I717">
        <v>30.876000000000001</v>
      </c>
      <c r="J717" t="s">
        <v>53</v>
      </c>
      <c r="K717">
        <v>0</v>
      </c>
      <c r="L717" t="s">
        <v>844</v>
      </c>
      <c r="M717" t="s">
        <v>420</v>
      </c>
      <c r="N717">
        <v>7.4999999999999997E-2</v>
      </c>
      <c r="O717" t="s">
        <v>56</v>
      </c>
      <c r="P717" t="s">
        <v>57</v>
      </c>
      <c r="Q717" t="s">
        <v>58</v>
      </c>
      <c r="R717" t="s">
        <v>59</v>
      </c>
      <c r="S717" t="s">
        <v>2603</v>
      </c>
      <c r="T717" t="s">
        <v>61</v>
      </c>
      <c r="U717">
        <v>1.5684</v>
      </c>
      <c r="V717" t="s">
        <v>62</v>
      </c>
      <c r="W717">
        <v>0</v>
      </c>
      <c r="X717">
        <v>29.308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66</v>
      </c>
      <c r="AG717" t="s">
        <v>65</v>
      </c>
      <c r="AH717" t="s">
        <v>65</v>
      </c>
      <c r="AI717" t="s">
        <v>67</v>
      </c>
      <c r="AK717" t="s">
        <v>68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49</v>
      </c>
      <c r="AT717" t="s">
        <v>71</v>
      </c>
      <c r="AU717">
        <v>0</v>
      </c>
      <c r="AV717">
        <v>0</v>
      </c>
    </row>
    <row r="718" spans="1:48" x14ac:dyDescent="0.25">
      <c r="A718" t="s">
        <v>2604</v>
      </c>
      <c r="B718" t="s">
        <v>49</v>
      </c>
      <c r="C718" t="s">
        <v>50</v>
      </c>
      <c r="D718">
        <v>440430.42509999999</v>
      </c>
      <c r="E718">
        <v>1827885.0608999999</v>
      </c>
      <c r="F718">
        <v>30.966999999999999</v>
      </c>
      <c r="G718" t="s">
        <v>2605</v>
      </c>
      <c r="H718" t="s">
        <v>52</v>
      </c>
      <c r="I718">
        <v>30.966999999999999</v>
      </c>
      <c r="J718" t="s">
        <v>53</v>
      </c>
      <c r="K718">
        <v>0</v>
      </c>
      <c r="L718" t="s">
        <v>844</v>
      </c>
      <c r="M718" t="s">
        <v>424</v>
      </c>
      <c r="N718">
        <v>7.4999999999999997E-2</v>
      </c>
      <c r="O718" t="s">
        <v>56</v>
      </c>
      <c r="P718" t="s">
        <v>57</v>
      </c>
      <c r="Q718" t="s">
        <v>58</v>
      </c>
      <c r="R718" t="s">
        <v>59</v>
      </c>
      <c r="S718" t="s">
        <v>2606</v>
      </c>
      <c r="T718" t="s">
        <v>61</v>
      </c>
      <c r="U718">
        <v>1.7158</v>
      </c>
      <c r="V718" t="s">
        <v>62</v>
      </c>
      <c r="W718">
        <v>0</v>
      </c>
      <c r="X718">
        <v>29.251000000000001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66</v>
      </c>
      <c r="AG718" t="s">
        <v>65</v>
      </c>
      <c r="AH718" t="s">
        <v>65</v>
      </c>
      <c r="AI718" t="s">
        <v>67</v>
      </c>
      <c r="AK718" t="s">
        <v>68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49</v>
      </c>
      <c r="AT718" t="s">
        <v>71</v>
      </c>
      <c r="AU718">
        <v>0</v>
      </c>
      <c r="AV718">
        <v>0</v>
      </c>
    </row>
    <row r="719" spans="1:48" x14ac:dyDescent="0.25">
      <c r="A719" t="s">
        <v>2607</v>
      </c>
      <c r="B719" t="s">
        <v>49</v>
      </c>
      <c r="C719" t="s">
        <v>50</v>
      </c>
      <c r="D719">
        <v>440451.37060000002</v>
      </c>
      <c r="E719">
        <v>1827885.0608999999</v>
      </c>
      <c r="F719">
        <v>31.033999999999999</v>
      </c>
      <c r="G719" t="s">
        <v>2608</v>
      </c>
      <c r="H719" t="s">
        <v>52</v>
      </c>
      <c r="I719">
        <v>31.033999999999999</v>
      </c>
      <c r="J719" t="s">
        <v>53</v>
      </c>
      <c r="K719">
        <v>0</v>
      </c>
      <c r="L719" t="s">
        <v>844</v>
      </c>
      <c r="M719" t="s">
        <v>2609</v>
      </c>
      <c r="N719">
        <v>7.4999999999999997E-2</v>
      </c>
      <c r="O719" t="s">
        <v>56</v>
      </c>
      <c r="P719" t="s">
        <v>57</v>
      </c>
      <c r="Q719" t="s">
        <v>58</v>
      </c>
      <c r="R719" t="s">
        <v>59</v>
      </c>
      <c r="S719" t="s">
        <v>2610</v>
      </c>
      <c r="T719" t="s">
        <v>61</v>
      </c>
      <c r="U719">
        <v>1.8180000000000001</v>
      </c>
      <c r="V719" t="s">
        <v>62</v>
      </c>
      <c r="W719">
        <v>0</v>
      </c>
      <c r="X719">
        <v>29.216000000000001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66</v>
      </c>
      <c r="AG719" t="s">
        <v>65</v>
      </c>
      <c r="AH719" t="s">
        <v>65</v>
      </c>
      <c r="AI719" t="s">
        <v>67</v>
      </c>
      <c r="AK719" t="s">
        <v>68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49</v>
      </c>
      <c r="AT719" t="s">
        <v>71</v>
      </c>
      <c r="AU719">
        <v>0</v>
      </c>
      <c r="AV719">
        <v>0</v>
      </c>
    </row>
    <row r="720" spans="1:48" x14ac:dyDescent="0.25">
      <c r="A720" t="s">
        <v>2611</v>
      </c>
      <c r="B720" t="s">
        <v>49</v>
      </c>
      <c r="C720" t="s">
        <v>50</v>
      </c>
      <c r="D720">
        <v>440470.67950000003</v>
      </c>
      <c r="E720">
        <v>1827885.0608999999</v>
      </c>
      <c r="F720">
        <v>31.125</v>
      </c>
      <c r="G720" t="s">
        <v>2612</v>
      </c>
      <c r="H720" t="s">
        <v>52</v>
      </c>
      <c r="I720">
        <v>31.125</v>
      </c>
      <c r="J720" t="s">
        <v>53</v>
      </c>
      <c r="K720">
        <v>0</v>
      </c>
      <c r="L720" t="s">
        <v>844</v>
      </c>
      <c r="M720" t="s">
        <v>2613</v>
      </c>
      <c r="N720">
        <v>7.4999999999999997E-2</v>
      </c>
      <c r="O720" t="s">
        <v>56</v>
      </c>
      <c r="P720" t="s">
        <v>57</v>
      </c>
      <c r="Q720" t="s">
        <v>58</v>
      </c>
      <c r="R720" t="s">
        <v>59</v>
      </c>
      <c r="S720" t="s">
        <v>2614</v>
      </c>
      <c r="T720" t="s">
        <v>61</v>
      </c>
      <c r="U720">
        <v>1.9311</v>
      </c>
      <c r="V720" t="s">
        <v>62</v>
      </c>
      <c r="W720">
        <v>0</v>
      </c>
      <c r="X720">
        <v>29.193999999999999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66</v>
      </c>
      <c r="AG720" t="s">
        <v>65</v>
      </c>
      <c r="AH720" t="s">
        <v>65</v>
      </c>
      <c r="AI720" t="s">
        <v>67</v>
      </c>
      <c r="AK720" t="s">
        <v>68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49</v>
      </c>
      <c r="AT720" t="s">
        <v>71</v>
      </c>
      <c r="AU720">
        <v>0</v>
      </c>
      <c r="AV720">
        <v>0</v>
      </c>
    </row>
    <row r="721" spans="1:48" x14ac:dyDescent="0.25">
      <c r="A721" t="s">
        <v>2615</v>
      </c>
      <c r="B721" t="s">
        <v>49</v>
      </c>
      <c r="C721" t="s">
        <v>50</v>
      </c>
      <c r="D721">
        <v>440490.42509999999</v>
      </c>
      <c r="E721">
        <v>1827885.0608999999</v>
      </c>
      <c r="F721">
        <v>31.215</v>
      </c>
      <c r="G721" t="s">
        <v>2616</v>
      </c>
      <c r="H721" t="s">
        <v>52</v>
      </c>
      <c r="I721">
        <v>31.215</v>
      </c>
      <c r="J721" t="s">
        <v>53</v>
      </c>
      <c r="K721">
        <v>0</v>
      </c>
      <c r="L721" t="s">
        <v>844</v>
      </c>
      <c r="M721" t="s">
        <v>597</v>
      </c>
      <c r="N721">
        <v>7.4999999999999997E-2</v>
      </c>
      <c r="O721" t="s">
        <v>56</v>
      </c>
      <c r="P721" t="s">
        <v>57</v>
      </c>
      <c r="Q721" t="s">
        <v>58</v>
      </c>
      <c r="R721" t="s">
        <v>59</v>
      </c>
      <c r="S721" t="s">
        <v>2617</v>
      </c>
      <c r="T721" t="s">
        <v>61</v>
      </c>
      <c r="U721">
        <v>2.0436000000000001</v>
      </c>
      <c r="V721" t="s">
        <v>62</v>
      </c>
      <c r="W721">
        <v>0</v>
      </c>
      <c r="X721">
        <v>29.170999999999999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66</v>
      </c>
      <c r="AG721" t="s">
        <v>65</v>
      </c>
      <c r="AH721" t="s">
        <v>65</v>
      </c>
      <c r="AI721" t="s">
        <v>67</v>
      </c>
      <c r="AK721" t="s">
        <v>68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49</v>
      </c>
      <c r="AT721" t="s">
        <v>71</v>
      </c>
      <c r="AU721">
        <v>0</v>
      </c>
      <c r="AV721">
        <v>0</v>
      </c>
    </row>
    <row r="722" spans="1:48" x14ac:dyDescent="0.25">
      <c r="A722" t="s">
        <v>2618</v>
      </c>
      <c r="B722" t="s">
        <v>49</v>
      </c>
      <c r="C722" t="s">
        <v>50</v>
      </c>
      <c r="D722">
        <v>440510.42509999999</v>
      </c>
      <c r="E722">
        <v>1827885.0608999999</v>
      </c>
      <c r="F722">
        <v>31.164999999999999</v>
      </c>
      <c r="G722" t="s">
        <v>2619</v>
      </c>
      <c r="H722" t="s">
        <v>52</v>
      </c>
      <c r="I722">
        <v>31.164999999999999</v>
      </c>
      <c r="J722" t="s">
        <v>53</v>
      </c>
      <c r="K722">
        <v>0</v>
      </c>
      <c r="L722" t="s">
        <v>844</v>
      </c>
      <c r="M722" t="s">
        <v>440</v>
      </c>
      <c r="N722">
        <v>7.4999999999999997E-2</v>
      </c>
      <c r="O722" t="s">
        <v>56</v>
      </c>
      <c r="P722" t="s">
        <v>57</v>
      </c>
      <c r="Q722" t="s">
        <v>58</v>
      </c>
      <c r="R722" t="s">
        <v>59</v>
      </c>
      <c r="S722" t="s">
        <v>2620</v>
      </c>
      <c r="T722" t="s">
        <v>61</v>
      </c>
      <c r="U722">
        <v>2.0158</v>
      </c>
      <c r="V722" t="s">
        <v>62</v>
      </c>
      <c r="W722">
        <v>0</v>
      </c>
      <c r="X722">
        <v>29.149000000000001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49</v>
      </c>
      <c r="AT722" t="s">
        <v>71</v>
      </c>
      <c r="AU722">
        <v>0</v>
      </c>
      <c r="AV722">
        <v>0</v>
      </c>
    </row>
    <row r="723" spans="1:48" x14ac:dyDescent="0.25">
      <c r="A723" t="s">
        <v>2621</v>
      </c>
      <c r="B723" t="s">
        <v>49</v>
      </c>
      <c r="C723" t="s">
        <v>50</v>
      </c>
      <c r="D723">
        <v>440519.97509999998</v>
      </c>
      <c r="E723">
        <v>1827885.0608999999</v>
      </c>
      <c r="F723">
        <v>30.959</v>
      </c>
      <c r="G723" t="s">
        <v>2622</v>
      </c>
      <c r="H723" t="s">
        <v>52</v>
      </c>
      <c r="I723">
        <v>30.959</v>
      </c>
      <c r="J723" t="s">
        <v>53</v>
      </c>
      <c r="K723">
        <v>0</v>
      </c>
      <c r="L723" t="s">
        <v>844</v>
      </c>
      <c r="M723" t="s">
        <v>2333</v>
      </c>
      <c r="N723">
        <v>7.4999999999999997E-2</v>
      </c>
      <c r="O723" t="s">
        <v>56</v>
      </c>
      <c r="P723" t="s">
        <v>57</v>
      </c>
      <c r="Q723" t="s">
        <v>58</v>
      </c>
      <c r="R723" t="s">
        <v>59</v>
      </c>
      <c r="S723" t="s">
        <v>2623</v>
      </c>
      <c r="T723" t="s">
        <v>61</v>
      </c>
      <c r="U723">
        <v>2.3241999999999998</v>
      </c>
      <c r="V723" t="s">
        <v>62</v>
      </c>
      <c r="W723">
        <v>0</v>
      </c>
      <c r="X723">
        <v>28.635000000000002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66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49</v>
      </c>
      <c r="AT723" t="s">
        <v>71</v>
      </c>
      <c r="AU723">
        <v>0</v>
      </c>
      <c r="AV723">
        <v>0</v>
      </c>
    </row>
    <row r="724" spans="1:48" x14ac:dyDescent="0.25">
      <c r="A724" t="s">
        <v>2624</v>
      </c>
      <c r="B724" t="s">
        <v>49</v>
      </c>
      <c r="C724" t="s">
        <v>50</v>
      </c>
      <c r="D724">
        <v>440529.67509999999</v>
      </c>
      <c r="E724">
        <v>1827885.0608999999</v>
      </c>
      <c r="F724">
        <v>30.817</v>
      </c>
      <c r="G724" t="s">
        <v>2625</v>
      </c>
      <c r="H724" t="s">
        <v>52</v>
      </c>
      <c r="I724">
        <v>30.817</v>
      </c>
      <c r="J724" t="s">
        <v>53</v>
      </c>
      <c r="K724">
        <v>0</v>
      </c>
      <c r="L724" t="s">
        <v>844</v>
      </c>
      <c r="M724" t="s">
        <v>2455</v>
      </c>
      <c r="N724">
        <v>7.4999999999999997E-2</v>
      </c>
      <c r="O724" t="s">
        <v>56</v>
      </c>
      <c r="P724" t="s">
        <v>57</v>
      </c>
      <c r="Q724" t="s">
        <v>58</v>
      </c>
      <c r="R724" t="s">
        <v>59</v>
      </c>
      <c r="S724" t="s">
        <v>2626</v>
      </c>
      <c r="T724" t="s">
        <v>61</v>
      </c>
      <c r="U724">
        <v>2.3412000000000002</v>
      </c>
      <c r="V724" t="s">
        <v>62</v>
      </c>
      <c r="W724">
        <v>0</v>
      </c>
      <c r="X724">
        <v>28.475999999999999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66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49</v>
      </c>
      <c r="AT724" t="s">
        <v>71</v>
      </c>
      <c r="AU724">
        <v>0</v>
      </c>
      <c r="AV724">
        <v>0</v>
      </c>
    </row>
    <row r="725" spans="1:48" x14ac:dyDescent="0.25">
      <c r="A725" t="s">
        <v>2627</v>
      </c>
      <c r="B725" t="s">
        <v>49</v>
      </c>
      <c r="C725" t="s">
        <v>50</v>
      </c>
      <c r="D725">
        <v>440550.42509999999</v>
      </c>
      <c r="E725">
        <v>1827885.0608999999</v>
      </c>
      <c r="F725">
        <v>30.763999999999999</v>
      </c>
      <c r="G725" t="s">
        <v>2628</v>
      </c>
      <c r="H725" t="s">
        <v>52</v>
      </c>
      <c r="I725">
        <v>30.763999999999999</v>
      </c>
      <c r="J725" t="s">
        <v>53</v>
      </c>
      <c r="K725">
        <v>0</v>
      </c>
      <c r="L725" t="s">
        <v>844</v>
      </c>
      <c r="M725" t="s">
        <v>448</v>
      </c>
      <c r="N725">
        <v>7.4999999999999997E-2</v>
      </c>
      <c r="O725" t="s">
        <v>56</v>
      </c>
      <c r="P725" t="s">
        <v>57</v>
      </c>
      <c r="Q725" t="s">
        <v>58</v>
      </c>
      <c r="R725" t="s">
        <v>59</v>
      </c>
      <c r="S725" t="s">
        <v>2629</v>
      </c>
      <c r="T725" t="s">
        <v>61</v>
      </c>
      <c r="U725">
        <v>2.3090000000000002</v>
      </c>
      <c r="V725" t="s">
        <v>62</v>
      </c>
      <c r="W725">
        <v>0</v>
      </c>
      <c r="X725">
        <v>28.454999999999998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2630</v>
      </c>
      <c r="B726" t="s">
        <v>49</v>
      </c>
      <c r="C726" t="s">
        <v>50</v>
      </c>
      <c r="D726">
        <v>440568.5673</v>
      </c>
      <c r="E726">
        <v>1827885.0608999999</v>
      </c>
      <c r="F726">
        <v>30.559000000000001</v>
      </c>
      <c r="G726" t="s">
        <v>2631</v>
      </c>
      <c r="H726" t="s">
        <v>52</v>
      </c>
      <c r="I726">
        <v>30.559000000000001</v>
      </c>
      <c r="J726" t="s">
        <v>53</v>
      </c>
      <c r="K726">
        <v>0</v>
      </c>
      <c r="L726" t="s">
        <v>844</v>
      </c>
      <c r="M726" t="s">
        <v>2632</v>
      </c>
      <c r="N726">
        <v>7.4999999999999997E-2</v>
      </c>
      <c r="O726" t="s">
        <v>56</v>
      </c>
      <c r="P726" t="s">
        <v>57</v>
      </c>
      <c r="Q726" t="s">
        <v>58</v>
      </c>
      <c r="R726" t="s">
        <v>59</v>
      </c>
      <c r="S726" t="s">
        <v>2633</v>
      </c>
      <c r="T726" t="s">
        <v>61</v>
      </c>
      <c r="U726">
        <v>2.1223999999999998</v>
      </c>
      <c r="V726" t="s">
        <v>1033</v>
      </c>
      <c r="W726">
        <v>0</v>
      </c>
      <c r="X726">
        <v>28.437000000000001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2634</v>
      </c>
      <c r="B727" t="s">
        <v>73</v>
      </c>
      <c r="C727" t="s">
        <v>50</v>
      </c>
      <c r="D727">
        <v>440585.72509999998</v>
      </c>
      <c r="E727">
        <v>1827842.6984000001</v>
      </c>
      <c r="F727">
        <v>30.088000000000001</v>
      </c>
      <c r="G727" t="s">
        <v>2635</v>
      </c>
      <c r="H727" t="s">
        <v>52</v>
      </c>
      <c r="I727">
        <v>30.088000000000001</v>
      </c>
      <c r="J727" t="s">
        <v>53</v>
      </c>
      <c r="K727">
        <v>0</v>
      </c>
      <c r="L727" t="s">
        <v>2481</v>
      </c>
      <c r="M727" t="s">
        <v>416</v>
      </c>
      <c r="N727">
        <v>-0.15</v>
      </c>
      <c r="O727" t="s">
        <v>56</v>
      </c>
      <c r="P727" t="s">
        <v>57</v>
      </c>
      <c r="Q727" t="s">
        <v>59</v>
      </c>
      <c r="R727" t="s">
        <v>58</v>
      </c>
      <c r="S727" t="s">
        <v>2636</v>
      </c>
      <c r="T727" t="s">
        <v>61</v>
      </c>
      <c r="U727">
        <v>1.5638000000000001</v>
      </c>
      <c r="V727" t="s">
        <v>62</v>
      </c>
      <c r="W727">
        <v>0</v>
      </c>
      <c r="X727">
        <v>28.524000000000001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68</v>
      </c>
      <c r="AG727" t="s">
        <v>65</v>
      </c>
      <c r="AH727" t="s">
        <v>65</v>
      </c>
      <c r="AI727" t="s">
        <v>67</v>
      </c>
      <c r="AK727" t="s">
        <v>66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73</v>
      </c>
      <c r="AT727" t="s">
        <v>71</v>
      </c>
      <c r="AU727">
        <v>0</v>
      </c>
      <c r="AV727">
        <v>0</v>
      </c>
    </row>
    <row r="728" spans="1:48" x14ac:dyDescent="0.25">
      <c r="A728" t="s">
        <v>2637</v>
      </c>
      <c r="B728" t="s">
        <v>73</v>
      </c>
      <c r="C728" t="s">
        <v>50</v>
      </c>
      <c r="D728">
        <v>440585.72509999998</v>
      </c>
      <c r="E728">
        <v>1827859.6144000001</v>
      </c>
      <c r="F728">
        <v>30.120999999999999</v>
      </c>
      <c r="G728" t="s">
        <v>2638</v>
      </c>
      <c r="H728" t="s">
        <v>52</v>
      </c>
      <c r="I728">
        <v>30.120999999999999</v>
      </c>
      <c r="J728" t="s">
        <v>53</v>
      </c>
      <c r="K728">
        <v>0</v>
      </c>
      <c r="L728" t="s">
        <v>2481</v>
      </c>
      <c r="M728" t="s">
        <v>2639</v>
      </c>
      <c r="N728">
        <v>-0.15</v>
      </c>
      <c r="O728" t="s">
        <v>56</v>
      </c>
      <c r="P728" t="s">
        <v>57</v>
      </c>
      <c r="Q728" t="s">
        <v>59</v>
      </c>
      <c r="R728" t="s">
        <v>58</v>
      </c>
      <c r="S728" t="s">
        <v>2640</v>
      </c>
      <c r="T728" t="s">
        <v>61</v>
      </c>
      <c r="U728">
        <v>1.4544999999999999</v>
      </c>
      <c r="V728" t="s">
        <v>62</v>
      </c>
      <c r="W728">
        <v>0</v>
      </c>
      <c r="X728">
        <v>28.666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68</v>
      </c>
      <c r="AG728" t="s">
        <v>65</v>
      </c>
      <c r="AH728" t="s">
        <v>65</v>
      </c>
      <c r="AI728" t="s">
        <v>67</v>
      </c>
      <c r="AK728" t="s">
        <v>66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73</v>
      </c>
      <c r="AT728" t="s">
        <v>71</v>
      </c>
      <c r="AU728">
        <v>0</v>
      </c>
      <c r="AV728">
        <v>0</v>
      </c>
    </row>
    <row r="729" spans="1:48" x14ac:dyDescent="0.25">
      <c r="A729" t="s">
        <v>2641</v>
      </c>
      <c r="B729" t="s">
        <v>73</v>
      </c>
      <c r="C729" t="s">
        <v>50</v>
      </c>
      <c r="D729">
        <v>440585.72509999998</v>
      </c>
      <c r="E729">
        <v>1827874.9624999999</v>
      </c>
      <c r="F729">
        <v>30.196999999999999</v>
      </c>
      <c r="G729" t="s">
        <v>2642</v>
      </c>
      <c r="H729" t="s">
        <v>52</v>
      </c>
      <c r="I729">
        <v>30.196999999999999</v>
      </c>
      <c r="J729" t="s">
        <v>53</v>
      </c>
      <c r="K729">
        <v>0</v>
      </c>
      <c r="L729" t="s">
        <v>2481</v>
      </c>
      <c r="M729" t="s">
        <v>2643</v>
      </c>
      <c r="N729">
        <v>-0.15</v>
      </c>
      <c r="O729" t="s">
        <v>56</v>
      </c>
      <c r="P729" t="s">
        <v>57</v>
      </c>
      <c r="Q729" t="s">
        <v>59</v>
      </c>
      <c r="R729" t="s">
        <v>58</v>
      </c>
      <c r="S729" t="s">
        <v>2644</v>
      </c>
      <c r="T729" t="s">
        <v>61</v>
      </c>
      <c r="U729">
        <v>1.4853000000000001</v>
      </c>
      <c r="V729" t="s">
        <v>62</v>
      </c>
      <c r="W729">
        <v>0</v>
      </c>
      <c r="X729">
        <v>28.712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68</v>
      </c>
      <c r="AG729" t="s">
        <v>65</v>
      </c>
      <c r="AH729" t="s">
        <v>65</v>
      </c>
      <c r="AI729" t="s">
        <v>67</v>
      </c>
      <c r="AK729" t="s">
        <v>66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73</v>
      </c>
      <c r="AT729" t="s">
        <v>71</v>
      </c>
      <c r="AU729">
        <v>0</v>
      </c>
      <c r="AV729">
        <v>0</v>
      </c>
    </row>
    <row r="730" spans="1:48" x14ac:dyDescent="0.25">
      <c r="A730" t="s">
        <v>2645</v>
      </c>
      <c r="B730" t="s">
        <v>73</v>
      </c>
      <c r="C730" t="s">
        <v>50</v>
      </c>
      <c r="D730">
        <v>440595.1251</v>
      </c>
      <c r="E730">
        <v>1827842.6984000001</v>
      </c>
      <c r="F730">
        <v>30.088000000000001</v>
      </c>
      <c r="G730" t="s">
        <v>2646</v>
      </c>
      <c r="H730" t="s">
        <v>52</v>
      </c>
      <c r="I730">
        <v>30.088000000000001</v>
      </c>
      <c r="J730" t="s">
        <v>53</v>
      </c>
      <c r="K730">
        <v>0</v>
      </c>
      <c r="L730" t="s">
        <v>251</v>
      </c>
      <c r="M730" t="s">
        <v>416</v>
      </c>
      <c r="N730">
        <v>-0.125</v>
      </c>
      <c r="O730" t="s">
        <v>56</v>
      </c>
      <c r="P730" t="s">
        <v>57</v>
      </c>
      <c r="Q730" t="s">
        <v>59</v>
      </c>
      <c r="R730" t="s">
        <v>58</v>
      </c>
      <c r="S730" t="s">
        <v>2636</v>
      </c>
      <c r="T730" t="s">
        <v>61</v>
      </c>
      <c r="U730">
        <v>1.5638000000000001</v>
      </c>
      <c r="V730" t="s">
        <v>62</v>
      </c>
      <c r="W730">
        <v>0</v>
      </c>
      <c r="X730">
        <v>28.524000000000001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68</v>
      </c>
      <c r="AG730" t="s">
        <v>65</v>
      </c>
      <c r="AH730" t="s">
        <v>65</v>
      </c>
      <c r="AI730" t="s">
        <v>67</v>
      </c>
      <c r="AK730" t="s">
        <v>66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73</v>
      </c>
      <c r="AT730" t="s">
        <v>71</v>
      </c>
      <c r="AU730">
        <v>0</v>
      </c>
      <c r="AV730">
        <v>0</v>
      </c>
    </row>
    <row r="731" spans="1:48" x14ac:dyDescent="0.25">
      <c r="A731" t="s">
        <v>2647</v>
      </c>
      <c r="B731" t="s">
        <v>73</v>
      </c>
      <c r="C731" t="s">
        <v>50</v>
      </c>
      <c r="D731">
        <v>440595.1251</v>
      </c>
      <c r="E731">
        <v>1827862.6984000001</v>
      </c>
      <c r="F731">
        <v>30.132000000000001</v>
      </c>
      <c r="G731" t="s">
        <v>2648</v>
      </c>
      <c r="H731" t="s">
        <v>52</v>
      </c>
      <c r="I731">
        <v>30.132000000000001</v>
      </c>
      <c r="J731" t="s">
        <v>53</v>
      </c>
      <c r="K731">
        <v>0</v>
      </c>
      <c r="L731" t="s">
        <v>251</v>
      </c>
      <c r="M731" t="s">
        <v>420</v>
      </c>
      <c r="N731">
        <v>-0.125</v>
      </c>
      <c r="O731" t="s">
        <v>56</v>
      </c>
      <c r="P731" t="s">
        <v>57</v>
      </c>
      <c r="Q731" t="s">
        <v>59</v>
      </c>
      <c r="R731" t="s">
        <v>58</v>
      </c>
      <c r="S731" t="s">
        <v>2649</v>
      </c>
      <c r="T731" t="s">
        <v>61</v>
      </c>
      <c r="U731">
        <v>1.4542999999999999</v>
      </c>
      <c r="V731" t="s">
        <v>62</v>
      </c>
      <c r="W731">
        <v>0</v>
      </c>
      <c r="X731">
        <v>28.678000000000001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68</v>
      </c>
      <c r="AG731" t="s">
        <v>65</v>
      </c>
      <c r="AH731" t="s">
        <v>65</v>
      </c>
      <c r="AI731" t="s">
        <v>67</v>
      </c>
      <c r="AK731" t="s">
        <v>66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73</v>
      </c>
      <c r="AT731" t="s">
        <v>71</v>
      </c>
      <c r="AU731">
        <v>0</v>
      </c>
      <c r="AV731">
        <v>0</v>
      </c>
    </row>
    <row r="732" spans="1:48" x14ac:dyDescent="0.25">
      <c r="A732" t="s">
        <v>2650</v>
      </c>
      <c r="B732" t="s">
        <v>73</v>
      </c>
      <c r="C732" t="s">
        <v>50</v>
      </c>
      <c r="D732">
        <v>440595.1251</v>
      </c>
      <c r="E732">
        <v>1827874.7729</v>
      </c>
      <c r="F732">
        <v>30.196000000000002</v>
      </c>
      <c r="G732" t="s">
        <v>2651</v>
      </c>
      <c r="H732" t="s">
        <v>52</v>
      </c>
      <c r="I732">
        <v>30.196000000000002</v>
      </c>
      <c r="J732" t="s">
        <v>53</v>
      </c>
      <c r="K732">
        <v>0</v>
      </c>
      <c r="L732" t="s">
        <v>251</v>
      </c>
      <c r="M732" s="1" t="s">
        <v>2652</v>
      </c>
      <c r="N732">
        <v>-0.125</v>
      </c>
      <c r="O732" t="s">
        <v>56</v>
      </c>
      <c r="P732" t="s">
        <v>57</v>
      </c>
      <c r="Q732" t="s">
        <v>59</v>
      </c>
      <c r="R732" t="s">
        <v>58</v>
      </c>
      <c r="S732" t="s">
        <v>2653</v>
      </c>
      <c r="T732" t="s">
        <v>61</v>
      </c>
      <c r="U732">
        <v>1.482</v>
      </c>
      <c r="V732" t="s">
        <v>62</v>
      </c>
      <c r="W732">
        <v>0</v>
      </c>
      <c r="X732">
        <v>28.713999999999999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68</v>
      </c>
      <c r="AG732" t="s">
        <v>65</v>
      </c>
      <c r="AH732" t="s">
        <v>65</v>
      </c>
      <c r="AI732" t="s">
        <v>67</v>
      </c>
      <c r="AK732" t="s">
        <v>66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73</v>
      </c>
      <c r="AT732" t="s">
        <v>71</v>
      </c>
      <c r="AU732">
        <v>0</v>
      </c>
      <c r="AV732">
        <v>0</v>
      </c>
    </row>
    <row r="733" spans="1:48" x14ac:dyDescent="0.25">
      <c r="A733" t="s">
        <v>2654</v>
      </c>
      <c r="B733" t="s">
        <v>49</v>
      </c>
      <c r="C733" t="s">
        <v>50</v>
      </c>
      <c r="D733">
        <v>440585.84620000003</v>
      </c>
      <c r="E733">
        <v>1827885.0608999999</v>
      </c>
      <c r="F733">
        <v>30.100999999999999</v>
      </c>
      <c r="G733" t="s">
        <v>2655</v>
      </c>
      <c r="H733" t="s">
        <v>52</v>
      </c>
      <c r="I733">
        <v>30.100999999999999</v>
      </c>
      <c r="J733" t="s">
        <v>53</v>
      </c>
      <c r="K733">
        <v>0</v>
      </c>
      <c r="L733" t="s">
        <v>844</v>
      </c>
      <c r="M733" s="1" t="s">
        <v>2656</v>
      </c>
      <c r="N733">
        <v>7.4999999999999997E-2</v>
      </c>
      <c r="O733" t="s">
        <v>56</v>
      </c>
      <c r="P733" t="s">
        <v>57</v>
      </c>
      <c r="Q733" t="s">
        <v>58</v>
      </c>
      <c r="R733" t="s">
        <v>59</v>
      </c>
      <c r="S733" t="s">
        <v>2657</v>
      </c>
      <c r="T733" t="s">
        <v>61</v>
      </c>
      <c r="U733">
        <v>1.6906000000000001</v>
      </c>
      <c r="V733" t="s">
        <v>1033</v>
      </c>
      <c r="W733">
        <v>0</v>
      </c>
      <c r="X733">
        <v>28.41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2658</v>
      </c>
      <c r="B734" t="s">
        <v>49</v>
      </c>
      <c r="C734" t="s">
        <v>50</v>
      </c>
      <c r="D734">
        <v>440410.42509999999</v>
      </c>
      <c r="E734">
        <v>1827894.4609000001</v>
      </c>
      <c r="F734">
        <v>30.876000000000001</v>
      </c>
      <c r="G734" t="s">
        <v>2659</v>
      </c>
      <c r="H734" t="s">
        <v>52</v>
      </c>
      <c r="I734">
        <v>30.876000000000001</v>
      </c>
      <c r="J734" t="s">
        <v>53</v>
      </c>
      <c r="K734">
        <v>0</v>
      </c>
      <c r="L734" t="s">
        <v>260</v>
      </c>
      <c r="M734" t="s">
        <v>420</v>
      </c>
      <c r="N734">
        <v>-1.4E-2</v>
      </c>
      <c r="O734" t="s">
        <v>56</v>
      </c>
      <c r="P734" t="s">
        <v>57</v>
      </c>
      <c r="Q734" t="s">
        <v>58</v>
      </c>
      <c r="R734" t="s">
        <v>59</v>
      </c>
      <c r="S734" t="s">
        <v>2660</v>
      </c>
      <c r="T734" t="s">
        <v>61</v>
      </c>
      <c r="U734">
        <v>1.7423999999999999</v>
      </c>
      <c r="V734" t="s">
        <v>62</v>
      </c>
      <c r="W734">
        <v>0</v>
      </c>
      <c r="X734">
        <v>29.134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66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49</v>
      </c>
      <c r="AT734" t="s">
        <v>71</v>
      </c>
      <c r="AU734">
        <v>0</v>
      </c>
      <c r="AV734">
        <v>0</v>
      </c>
    </row>
    <row r="735" spans="1:48" x14ac:dyDescent="0.25">
      <c r="A735" t="s">
        <v>2661</v>
      </c>
      <c r="B735" t="s">
        <v>49</v>
      </c>
      <c r="C735" t="s">
        <v>50</v>
      </c>
      <c r="D735">
        <v>440430.42509999999</v>
      </c>
      <c r="E735">
        <v>1827894.4609000001</v>
      </c>
      <c r="F735">
        <v>30.966999999999999</v>
      </c>
      <c r="G735" t="s">
        <v>2662</v>
      </c>
      <c r="H735" t="s">
        <v>52</v>
      </c>
      <c r="I735">
        <v>30.966999999999999</v>
      </c>
      <c r="J735" t="s">
        <v>53</v>
      </c>
      <c r="K735">
        <v>0</v>
      </c>
      <c r="L735" t="s">
        <v>260</v>
      </c>
      <c r="M735" t="s">
        <v>424</v>
      </c>
      <c r="N735">
        <v>-2.6200000000000001E-2</v>
      </c>
      <c r="O735" t="s">
        <v>56</v>
      </c>
      <c r="P735" t="s">
        <v>57</v>
      </c>
      <c r="Q735" t="s">
        <v>58</v>
      </c>
      <c r="R735" t="s">
        <v>59</v>
      </c>
      <c r="S735" t="s">
        <v>2663</v>
      </c>
      <c r="T735" t="s">
        <v>61</v>
      </c>
      <c r="U735">
        <v>1.8528</v>
      </c>
      <c r="V735" t="s">
        <v>62</v>
      </c>
      <c r="W735">
        <v>0</v>
      </c>
      <c r="X735">
        <v>29.114000000000001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2664</v>
      </c>
      <c r="B736" t="s">
        <v>49</v>
      </c>
      <c r="C736" t="s">
        <v>50</v>
      </c>
      <c r="D736">
        <v>440450.42509999999</v>
      </c>
      <c r="E736">
        <v>1827894.4609000001</v>
      </c>
      <c r="F736">
        <v>31.129000000000001</v>
      </c>
      <c r="G736" t="s">
        <v>2665</v>
      </c>
      <c r="H736" t="s">
        <v>52</v>
      </c>
      <c r="I736">
        <v>31.129000000000001</v>
      </c>
      <c r="J736" t="s">
        <v>53</v>
      </c>
      <c r="K736">
        <v>0</v>
      </c>
      <c r="L736" t="s">
        <v>260</v>
      </c>
      <c r="M736" t="s">
        <v>428</v>
      </c>
      <c r="N736">
        <v>-3.85E-2</v>
      </c>
      <c r="O736" t="s">
        <v>56</v>
      </c>
      <c r="P736" t="s">
        <v>57</v>
      </c>
      <c r="Q736" t="s">
        <v>58</v>
      </c>
      <c r="R736" t="s">
        <v>59</v>
      </c>
      <c r="S736" t="s">
        <v>2666</v>
      </c>
      <c r="T736" t="s">
        <v>61</v>
      </c>
      <c r="U736">
        <v>2.0350000000000001</v>
      </c>
      <c r="V736" t="s">
        <v>62</v>
      </c>
      <c r="W736">
        <v>0</v>
      </c>
      <c r="X736">
        <v>29.094000000000001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66</v>
      </c>
      <c r="AG736" t="s">
        <v>65</v>
      </c>
      <c r="AH736" t="s">
        <v>65</v>
      </c>
      <c r="AI736" t="s">
        <v>67</v>
      </c>
      <c r="AK736" t="s">
        <v>68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49</v>
      </c>
      <c r="AT736" t="s">
        <v>71</v>
      </c>
      <c r="AU736">
        <v>0</v>
      </c>
      <c r="AV736">
        <v>0</v>
      </c>
    </row>
    <row r="737" spans="1:48" x14ac:dyDescent="0.25">
      <c r="A737" t="s">
        <v>2667</v>
      </c>
      <c r="B737" t="s">
        <v>49</v>
      </c>
      <c r="C737" t="s">
        <v>50</v>
      </c>
      <c r="D737">
        <v>440470.42509999999</v>
      </c>
      <c r="E737">
        <v>1827894.4609000001</v>
      </c>
      <c r="F737">
        <v>31.132999999999999</v>
      </c>
      <c r="G737" t="s">
        <v>2668</v>
      </c>
      <c r="H737" t="s">
        <v>52</v>
      </c>
      <c r="I737">
        <v>31.132999999999999</v>
      </c>
      <c r="J737" t="s">
        <v>53</v>
      </c>
      <c r="K737">
        <v>0</v>
      </c>
      <c r="L737" t="s">
        <v>260</v>
      </c>
      <c r="M737" t="s">
        <v>432</v>
      </c>
      <c r="N737">
        <v>-5.0700000000000002E-2</v>
      </c>
      <c r="O737" t="s">
        <v>56</v>
      </c>
      <c r="P737" t="s">
        <v>57</v>
      </c>
      <c r="Q737" t="s">
        <v>58</v>
      </c>
      <c r="R737" t="s">
        <v>59</v>
      </c>
      <c r="S737" t="s">
        <v>2669</v>
      </c>
      <c r="T737" t="s">
        <v>61</v>
      </c>
      <c r="U737">
        <v>2.0813999999999999</v>
      </c>
      <c r="V737" t="s">
        <v>62</v>
      </c>
      <c r="W737">
        <v>0</v>
      </c>
      <c r="X737">
        <v>29.052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66</v>
      </c>
      <c r="AG737" t="s">
        <v>65</v>
      </c>
      <c r="AH737" t="s">
        <v>65</v>
      </c>
      <c r="AI737" t="s">
        <v>67</v>
      </c>
      <c r="AK737" t="s">
        <v>68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49</v>
      </c>
      <c r="AT737" t="s">
        <v>71</v>
      </c>
      <c r="AU737">
        <v>0</v>
      </c>
      <c r="AV737">
        <v>0</v>
      </c>
    </row>
    <row r="738" spans="1:48" x14ac:dyDescent="0.25">
      <c r="A738" t="s">
        <v>2670</v>
      </c>
      <c r="B738" t="s">
        <v>49</v>
      </c>
      <c r="C738" t="s">
        <v>50</v>
      </c>
      <c r="D738">
        <v>440490.42509999999</v>
      </c>
      <c r="E738">
        <v>1827894.4609000001</v>
      </c>
      <c r="F738">
        <v>31.215</v>
      </c>
      <c r="G738" t="s">
        <v>2671</v>
      </c>
      <c r="H738" t="s">
        <v>52</v>
      </c>
      <c r="I738">
        <v>31.215</v>
      </c>
      <c r="J738" t="s">
        <v>53</v>
      </c>
      <c r="K738">
        <v>0</v>
      </c>
      <c r="L738" t="s">
        <v>260</v>
      </c>
      <c r="M738" t="s">
        <v>597</v>
      </c>
      <c r="N738">
        <v>-6.2899999999999998E-2</v>
      </c>
      <c r="O738" t="s">
        <v>56</v>
      </c>
      <c r="P738" t="s">
        <v>57</v>
      </c>
      <c r="Q738" t="s">
        <v>58</v>
      </c>
      <c r="R738" t="s">
        <v>59</v>
      </c>
      <c r="S738" t="s">
        <v>2672</v>
      </c>
      <c r="T738" t="s">
        <v>61</v>
      </c>
      <c r="U738">
        <v>2.1936</v>
      </c>
      <c r="V738" t="s">
        <v>62</v>
      </c>
      <c r="W738">
        <v>0</v>
      </c>
      <c r="X738">
        <v>29.021000000000001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66</v>
      </c>
      <c r="AG738" t="s">
        <v>65</v>
      </c>
      <c r="AH738" t="s">
        <v>65</v>
      </c>
      <c r="AI738" t="s">
        <v>67</v>
      </c>
      <c r="AK738" t="s">
        <v>68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49</v>
      </c>
      <c r="AT738" t="s">
        <v>71</v>
      </c>
      <c r="AU738">
        <v>0</v>
      </c>
      <c r="AV738">
        <v>0</v>
      </c>
    </row>
    <row r="739" spans="1:48" x14ac:dyDescent="0.25">
      <c r="A739" t="s">
        <v>2673</v>
      </c>
      <c r="B739" t="s">
        <v>49</v>
      </c>
      <c r="C739" t="s">
        <v>50</v>
      </c>
      <c r="D739">
        <v>440510.42509999999</v>
      </c>
      <c r="E739">
        <v>1827894.4609000001</v>
      </c>
      <c r="F739">
        <v>31.164999999999999</v>
      </c>
      <c r="G739" t="s">
        <v>2674</v>
      </c>
      <c r="H739" t="s">
        <v>52</v>
      </c>
      <c r="I739">
        <v>31.164999999999999</v>
      </c>
      <c r="J739" t="s">
        <v>53</v>
      </c>
      <c r="K739">
        <v>0</v>
      </c>
      <c r="L739" t="s">
        <v>260</v>
      </c>
      <c r="M739" t="s">
        <v>440</v>
      </c>
      <c r="N739">
        <v>-7.51E-2</v>
      </c>
      <c r="O739" t="s">
        <v>56</v>
      </c>
      <c r="P739" t="s">
        <v>57</v>
      </c>
      <c r="Q739" t="s">
        <v>58</v>
      </c>
      <c r="R739" t="s">
        <v>59</v>
      </c>
      <c r="S739" t="s">
        <v>2675</v>
      </c>
      <c r="T739" t="s">
        <v>61</v>
      </c>
      <c r="U739">
        <v>2.1728000000000001</v>
      </c>
      <c r="V739" t="s">
        <v>62</v>
      </c>
      <c r="W739">
        <v>0</v>
      </c>
      <c r="X739">
        <v>28.992000000000001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66</v>
      </c>
      <c r="AG739" t="s">
        <v>65</v>
      </c>
      <c r="AH739" t="s">
        <v>65</v>
      </c>
      <c r="AI739" t="s">
        <v>67</v>
      </c>
      <c r="AK739" t="s">
        <v>68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49</v>
      </c>
      <c r="AT739" t="s">
        <v>71</v>
      </c>
      <c r="AU739">
        <v>0</v>
      </c>
      <c r="AV739">
        <v>0</v>
      </c>
    </row>
    <row r="740" spans="1:48" x14ac:dyDescent="0.25">
      <c r="A740" t="s">
        <v>2676</v>
      </c>
      <c r="B740" t="s">
        <v>49</v>
      </c>
      <c r="C740" t="s">
        <v>50</v>
      </c>
      <c r="D740">
        <v>440530.42509999999</v>
      </c>
      <c r="E740">
        <v>1827894.4609000001</v>
      </c>
      <c r="F740">
        <v>30.989000000000001</v>
      </c>
      <c r="G740" t="s">
        <v>2677</v>
      </c>
      <c r="H740" t="s">
        <v>52</v>
      </c>
      <c r="I740">
        <v>30.989000000000001</v>
      </c>
      <c r="J740" t="s">
        <v>53</v>
      </c>
      <c r="K740">
        <v>0</v>
      </c>
      <c r="L740" t="s">
        <v>260</v>
      </c>
      <c r="M740" t="s">
        <v>444</v>
      </c>
      <c r="N740">
        <v>-8.7400000000000005E-2</v>
      </c>
      <c r="O740" t="s">
        <v>56</v>
      </c>
      <c r="P740" t="s">
        <v>57</v>
      </c>
      <c r="Q740" t="s">
        <v>58</v>
      </c>
      <c r="R740" t="s">
        <v>59</v>
      </c>
      <c r="S740" t="s">
        <v>2678</v>
      </c>
      <c r="T740" t="s">
        <v>61</v>
      </c>
      <c r="U740">
        <v>2.0245000000000002</v>
      </c>
      <c r="V740" t="s">
        <v>62</v>
      </c>
      <c r="W740">
        <v>0</v>
      </c>
      <c r="X740">
        <v>28.965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66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49</v>
      </c>
      <c r="AT740" t="s">
        <v>71</v>
      </c>
      <c r="AU740">
        <v>0</v>
      </c>
      <c r="AV740">
        <v>0</v>
      </c>
    </row>
    <row r="741" spans="1:48" x14ac:dyDescent="0.25">
      <c r="A741" t="s">
        <v>2679</v>
      </c>
      <c r="B741" t="s">
        <v>49</v>
      </c>
      <c r="C741" t="s">
        <v>50</v>
      </c>
      <c r="D741">
        <v>440550.42509999999</v>
      </c>
      <c r="E741">
        <v>1827894.4609000001</v>
      </c>
      <c r="F741">
        <v>30.763999999999999</v>
      </c>
      <c r="G741" t="s">
        <v>2680</v>
      </c>
      <c r="H741" t="s">
        <v>52</v>
      </c>
      <c r="I741">
        <v>30.763999999999999</v>
      </c>
      <c r="J741" t="s">
        <v>53</v>
      </c>
      <c r="K741">
        <v>0</v>
      </c>
      <c r="L741" t="s">
        <v>260</v>
      </c>
      <c r="M741" s="1" t="s">
        <v>448</v>
      </c>
      <c r="N741">
        <v>-9.9599999999999994E-2</v>
      </c>
      <c r="O741" t="s">
        <v>56</v>
      </c>
      <c r="P741" t="s">
        <v>57</v>
      </c>
      <c r="Q741" t="s">
        <v>58</v>
      </c>
      <c r="R741" t="s">
        <v>59</v>
      </c>
      <c r="S741" t="s">
        <v>2681</v>
      </c>
      <c r="T741" t="s">
        <v>61</v>
      </c>
      <c r="U741">
        <v>1.823</v>
      </c>
      <c r="V741" t="s">
        <v>62</v>
      </c>
      <c r="W741">
        <v>0</v>
      </c>
      <c r="X741">
        <v>28.940999999999999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66</v>
      </c>
      <c r="AG741" t="s">
        <v>65</v>
      </c>
      <c r="AH741" t="s">
        <v>65</v>
      </c>
      <c r="AI741" t="s">
        <v>67</v>
      </c>
      <c r="AK741" t="s">
        <v>68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49</v>
      </c>
      <c r="AT741" t="s">
        <v>71</v>
      </c>
      <c r="AU741">
        <v>0</v>
      </c>
      <c r="AV741">
        <v>0</v>
      </c>
    </row>
    <row r="742" spans="1:48" x14ac:dyDescent="0.25">
      <c r="A742" t="s">
        <v>2682</v>
      </c>
      <c r="B742" t="s">
        <v>49</v>
      </c>
      <c r="C742" t="s">
        <v>50</v>
      </c>
      <c r="D742">
        <v>440568.08419999998</v>
      </c>
      <c r="E742">
        <v>1827894.4609000001</v>
      </c>
      <c r="F742">
        <v>30.565000000000001</v>
      </c>
      <c r="G742" t="s">
        <v>2683</v>
      </c>
      <c r="H742" t="s">
        <v>52</v>
      </c>
      <c r="I742">
        <v>30.565000000000001</v>
      </c>
      <c r="J742" t="s">
        <v>53</v>
      </c>
      <c r="K742">
        <v>0</v>
      </c>
      <c r="L742" t="s">
        <v>260</v>
      </c>
      <c r="M742" s="1" t="s">
        <v>2684</v>
      </c>
      <c r="N742">
        <v>-0.1104</v>
      </c>
      <c r="O742" t="s">
        <v>56</v>
      </c>
      <c r="P742" t="s">
        <v>57</v>
      </c>
      <c r="Q742" t="s">
        <v>58</v>
      </c>
      <c r="R742" t="s">
        <v>59</v>
      </c>
      <c r="S742" t="s">
        <v>2685</v>
      </c>
      <c r="T742" t="s">
        <v>61</v>
      </c>
      <c r="U742">
        <v>1.6438999999999999</v>
      </c>
      <c r="V742" t="s">
        <v>62</v>
      </c>
      <c r="W742">
        <v>0</v>
      </c>
      <c r="X742">
        <v>28.920999999999999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66</v>
      </c>
      <c r="AG742" t="s">
        <v>65</v>
      </c>
      <c r="AH742" t="s">
        <v>65</v>
      </c>
      <c r="AI742" t="s">
        <v>67</v>
      </c>
      <c r="AK742" t="s">
        <v>68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49</v>
      </c>
      <c r="AT742" t="s">
        <v>71</v>
      </c>
      <c r="AU742">
        <v>0</v>
      </c>
      <c r="AV742">
        <v>0</v>
      </c>
    </row>
    <row r="743" spans="1:48" x14ac:dyDescent="0.25">
      <c r="A743" t="s">
        <v>2686</v>
      </c>
      <c r="B743" t="s">
        <v>49</v>
      </c>
      <c r="C743" t="s">
        <v>50</v>
      </c>
      <c r="D743">
        <v>440594.92509999999</v>
      </c>
      <c r="E743">
        <v>1827894.4609000001</v>
      </c>
      <c r="F743">
        <v>30.353000000000002</v>
      </c>
      <c r="G743" t="s">
        <v>2687</v>
      </c>
      <c r="H743" t="s">
        <v>52</v>
      </c>
      <c r="I743">
        <v>30.353000000000002</v>
      </c>
      <c r="J743" t="s">
        <v>53</v>
      </c>
      <c r="K743">
        <v>0</v>
      </c>
      <c r="L743" t="s">
        <v>260</v>
      </c>
      <c r="M743">
        <f>0+4.5</f>
        <v>4.5</v>
      </c>
      <c r="N743">
        <v>-0.1268</v>
      </c>
      <c r="O743" t="s">
        <v>56</v>
      </c>
      <c r="P743" t="s">
        <v>57</v>
      </c>
      <c r="Q743" t="s">
        <v>58</v>
      </c>
      <c r="R743" t="s">
        <v>59</v>
      </c>
      <c r="S743" t="s">
        <v>2688</v>
      </c>
      <c r="T743" t="s">
        <v>61</v>
      </c>
      <c r="U743">
        <v>1.7323</v>
      </c>
      <c r="V743" t="s">
        <v>62</v>
      </c>
      <c r="W743">
        <v>0</v>
      </c>
      <c r="X743">
        <v>28.620999999999999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66</v>
      </c>
      <c r="AG743" t="s">
        <v>65</v>
      </c>
      <c r="AH743" t="s">
        <v>65</v>
      </c>
      <c r="AI743" t="s">
        <v>67</v>
      </c>
      <c r="AK743" t="s">
        <v>68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49</v>
      </c>
      <c r="AT743" t="s">
        <v>71</v>
      </c>
      <c r="AU743">
        <v>0</v>
      </c>
      <c r="AV743">
        <v>0</v>
      </c>
    </row>
    <row r="744" spans="1:48" x14ac:dyDescent="0.25">
      <c r="A744" t="s">
        <v>2689</v>
      </c>
      <c r="B744" t="s">
        <v>49</v>
      </c>
      <c r="C744" t="s">
        <v>50</v>
      </c>
      <c r="D744">
        <v>440410.42509999999</v>
      </c>
      <c r="E744">
        <v>1827769.1257</v>
      </c>
      <c r="F744">
        <v>30.885999999999999</v>
      </c>
      <c r="G744" t="s">
        <v>2690</v>
      </c>
      <c r="H744" t="s">
        <v>52</v>
      </c>
      <c r="I744">
        <v>30.885999999999999</v>
      </c>
      <c r="J744" t="s">
        <v>53</v>
      </c>
      <c r="K744">
        <v>0</v>
      </c>
      <c r="L744" t="s">
        <v>205</v>
      </c>
      <c r="M744" t="s">
        <v>420</v>
      </c>
      <c r="N744">
        <v>7.4999999999999997E-2</v>
      </c>
      <c r="O744" t="s">
        <v>56</v>
      </c>
      <c r="P744" t="s">
        <v>57</v>
      </c>
      <c r="Q744" t="s">
        <v>58</v>
      </c>
      <c r="R744" t="s">
        <v>59</v>
      </c>
      <c r="S744" t="s">
        <v>2691</v>
      </c>
      <c r="T744" t="s">
        <v>61</v>
      </c>
      <c r="U744">
        <v>1.6207</v>
      </c>
      <c r="V744" t="s">
        <v>62</v>
      </c>
      <c r="W744">
        <v>0</v>
      </c>
      <c r="X744">
        <v>29.265000000000001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66</v>
      </c>
      <c r="AG744" t="s">
        <v>65</v>
      </c>
      <c r="AH744" t="s">
        <v>65</v>
      </c>
      <c r="AI744" t="s">
        <v>67</v>
      </c>
      <c r="AK744" t="s">
        <v>68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49</v>
      </c>
      <c r="AT744" t="s">
        <v>71</v>
      </c>
      <c r="AU744">
        <v>0</v>
      </c>
      <c r="AV744">
        <v>0</v>
      </c>
    </row>
    <row r="745" spans="1:48" x14ac:dyDescent="0.25">
      <c r="A745" t="s">
        <v>2692</v>
      </c>
      <c r="B745" t="s">
        <v>49</v>
      </c>
      <c r="C745" t="s">
        <v>50</v>
      </c>
      <c r="D745">
        <v>440430.42509999999</v>
      </c>
      <c r="E745">
        <v>1827769.1257</v>
      </c>
      <c r="F745">
        <v>30.658999999999999</v>
      </c>
      <c r="G745" t="s">
        <v>2693</v>
      </c>
      <c r="H745" t="s">
        <v>52</v>
      </c>
      <c r="I745">
        <v>30.658999999999999</v>
      </c>
      <c r="J745" t="s">
        <v>53</v>
      </c>
      <c r="K745">
        <v>0</v>
      </c>
      <c r="L745" t="s">
        <v>205</v>
      </c>
      <c r="M745" t="s">
        <v>424</v>
      </c>
      <c r="N745">
        <v>7.4999999999999997E-2</v>
      </c>
      <c r="O745" t="s">
        <v>56</v>
      </c>
      <c r="P745" t="s">
        <v>57</v>
      </c>
      <c r="Q745" t="s">
        <v>58</v>
      </c>
      <c r="R745" t="s">
        <v>59</v>
      </c>
      <c r="S745" t="s">
        <v>2694</v>
      </c>
      <c r="T745" t="s">
        <v>61</v>
      </c>
      <c r="U745">
        <v>1.5450999999999999</v>
      </c>
      <c r="V745" t="s">
        <v>62</v>
      </c>
      <c r="W745">
        <v>0</v>
      </c>
      <c r="X745">
        <v>29.114000000000001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66</v>
      </c>
      <c r="AG745" t="s">
        <v>65</v>
      </c>
      <c r="AH745" t="s">
        <v>65</v>
      </c>
      <c r="AI745" t="s">
        <v>67</v>
      </c>
      <c r="AK745" t="s">
        <v>68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49</v>
      </c>
      <c r="AT745" t="s">
        <v>71</v>
      </c>
      <c r="AU745">
        <v>0</v>
      </c>
      <c r="AV745">
        <v>0</v>
      </c>
    </row>
    <row r="746" spans="1:48" x14ac:dyDescent="0.25">
      <c r="A746" t="s">
        <v>2695</v>
      </c>
      <c r="B746" t="s">
        <v>49</v>
      </c>
      <c r="C746" t="s">
        <v>50</v>
      </c>
      <c r="D746">
        <v>440410.42509999999</v>
      </c>
      <c r="E746">
        <v>1827778.5257000001</v>
      </c>
      <c r="F746">
        <v>30.885999999999999</v>
      </c>
      <c r="G746" t="s">
        <v>2696</v>
      </c>
      <c r="H746" t="s">
        <v>52</v>
      </c>
      <c r="I746">
        <v>30.885999999999999</v>
      </c>
      <c r="J746" t="s">
        <v>53</v>
      </c>
      <c r="K746">
        <v>0</v>
      </c>
      <c r="L746" t="s">
        <v>200</v>
      </c>
      <c r="M746" t="s">
        <v>420</v>
      </c>
      <c r="N746">
        <v>-2.9999999999999997E-4</v>
      </c>
      <c r="O746" t="s">
        <v>56</v>
      </c>
      <c r="P746" t="s">
        <v>57</v>
      </c>
      <c r="Q746" t="s">
        <v>58</v>
      </c>
      <c r="R746" t="s">
        <v>59</v>
      </c>
      <c r="S746" t="s">
        <v>2691</v>
      </c>
      <c r="T746" t="s">
        <v>61</v>
      </c>
      <c r="U746">
        <v>1.6207</v>
      </c>
      <c r="V746" t="s">
        <v>62</v>
      </c>
      <c r="W746">
        <v>0</v>
      </c>
      <c r="X746">
        <v>29.265000000000001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66</v>
      </c>
      <c r="AG746" t="s">
        <v>65</v>
      </c>
      <c r="AH746" t="s">
        <v>65</v>
      </c>
      <c r="AI746" t="s">
        <v>67</v>
      </c>
      <c r="AK746" t="s">
        <v>68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49</v>
      </c>
      <c r="AT746" t="s">
        <v>71</v>
      </c>
      <c r="AU746">
        <v>0</v>
      </c>
      <c r="AV746">
        <v>0</v>
      </c>
    </row>
    <row r="747" spans="1:48" x14ac:dyDescent="0.25">
      <c r="A747" t="s">
        <v>2697</v>
      </c>
      <c r="B747" t="s">
        <v>49</v>
      </c>
      <c r="C747" t="s">
        <v>50</v>
      </c>
      <c r="D747">
        <v>440430.42509999999</v>
      </c>
      <c r="E747">
        <v>1827778.5257000001</v>
      </c>
      <c r="F747">
        <v>30.658999999999999</v>
      </c>
      <c r="G747" t="s">
        <v>2698</v>
      </c>
      <c r="H747" t="s">
        <v>52</v>
      </c>
      <c r="I747">
        <v>30.658999999999999</v>
      </c>
      <c r="J747" t="s">
        <v>53</v>
      </c>
      <c r="K747">
        <v>0</v>
      </c>
      <c r="L747" t="s">
        <v>200</v>
      </c>
      <c r="M747" t="s">
        <v>424</v>
      </c>
      <c r="N747">
        <v>-7.1000000000000004E-3</v>
      </c>
      <c r="O747" t="s">
        <v>56</v>
      </c>
      <c r="P747" t="s">
        <v>57</v>
      </c>
      <c r="Q747" t="s">
        <v>58</v>
      </c>
      <c r="R747" t="s">
        <v>59</v>
      </c>
      <c r="S747" t="s">
        <v>2699</v>
      </c>
      <c r="T747" t="s">
        <v>61</v>
      </c>
      <c r="U747">
        <v>1.5430999999999999</v>
      </c>
      <c r="V747" t="s">
        <v>62</v>
      </c>
      <c r="W747">
        <v>0</v>
      </c>
      <c r="X747">
        <v>29.116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49</v>
      </c>
      <c r="AT747" t="s">
        <v>71</v>
      </c>
      <c r="AU747">
        <v>0</v>
      </c>
      <c r="AV747">
        <v>0</v>
      </c>
    </row>
    <row r="748" spans="1:48" x14ac:dyDescent="0.25">
      <c r="A748" t="s">
        <v>2700</v>
      </c>
      <c r="B748" t="s">
        <v>73</v>
      </c>
      <c r="C748" t="s">
        <v>50</v>
      </c>
      <c r="D748">
        <v>440454.52510000003</v>
      </c>
      <c r="E748">
        <v>1827822.6987000001</v>
      </c>
      <c r="F748">
        <v>30.587</v>
      </c>
      <c r="G748" t="s">
        <v>2701</v>
      </c>
      <c r="H748" t="s">
        <v>52</v>
      </c>
      <c r="I748">
        <v>30.587</v>
      </c>
      <c r="J748" t="s">
        <v>53</v>
      </c>
      <c r="K748">
        <v>0</v>
      </c>
      <c r="L748" t="s">
        <v>232</v>
      </c>
      <c r="M748" t="s">
        <v>529</v>
      </c>
      <c r="N748">
        <v>2.8400000000000002E-2</v>
      </c>
      <c r="O748" t="s">
        <v>56</v>
      </c>
      <c r="P748" t="s">
        <v>57</v>
      </c>
      <c r="Q748" t="s">
        <v>59</v>
      </c>
      <c r="R748" t="s">
        <v>58</v>
      </c>
      <c r="S748" t="s">
        <v>2702</v>
      </c>
      <c r="T748" t="s">
        <v>61</v>
      </c>
      <c r="U748">
        <v>1.5643</v>
      </c>
      <c r="V748" t="s">
        <v>62</v>
      </c>
      <c r="W748">
        <v>0</v>
      </c>
      <c r="X748">
        <v>29.023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68</v>
      </c>
      <c r="AG748" t="s">
        <v>65</v>
      </c>
      <c r="AH748" t="s">
        <v>65</v>
      </c>
      <c r="AI748" t="s">
        <v>67</v>
      </c>
      <c r="AK748" t="s">
        <v>66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73</v>
      </c>
      <c r="AT748" t="s">
        <v>71</v>
      </c>
      <c r="AU748">
        <v>0</v>
      </c>
      <c r="AV748">
        <v>0</v>
      </c>
    </row>
    <row r="749" spans="1:48" x14ac:dyDescent="0.25">
      <c r="A749" t="s">
        <v>2703</v>
      </c>
      <c r="B749" t="s">
        <v>73</v>
      </c>
      <c r="C749" t="s">
        <v>50</v>
      </c>
      <c r="D749">
        <v>440454.52510000003</v>
      </c>
      <c r="E749">
        <v>1827802.6987000001</v>
      </c>
      <c r="F749">
        <v>30.472000000000001</v>
      </c>
      <c r="G749" t="s">
        <v>2704</v>
      </c>
      <c r="H749" t="s">
        <v>52</v>
      </c>
      <c r="I749">
        <v>30.472000000000001</v>
      </c>
      <c r="J749" t="s">
        <v>53</v>
      </c>
      <c r="K749">
        <v>0</v>
      </c>
      <c r="L749" t="s">
        <v>232</v>
      </c>
      <c r="M749" t="s">
        <v>525</v>
      </c>
      <c r="N749">
        <v>2.8400000000000002E-2</v>
      </c>
      <c r="O749" t="s">
        <v>56</v>
      </c>
      <c r="P749" t="s">
        <v>57</v>
      </c>
      <c r="Q749" t="s">
        <v>59</v>
      </c>
      <c r="R749" t="s">
        <v>58</v>
      </c>
      <c r="S749" t="s">
        <v>2705</v>
      </c>
      <c r="T749" t="s">
        <v>61</v>
      </c>
      <c r="U749">
        <v>1.4829000000000001</v>
      </c>
      <c r="V749" t="s">
        <v>62</v>
      </c>
      <c r="W749">
        <v>0</v>
      </c>
      <c r="X749">
        <v>28.989000000000001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68</v>
      </c>
      <c r="AG749" t="s">
        <v>65</v>
      </c>
      <c r="AH749" t="s">
        <v>65</v>
      </c>
      <c r="AI749" t="s">
        <v>67</v>
      </c>
      <c r="AK749" t="s">
        <v>66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73</v>
      </c>
      <c r="AT749" t="s">
        <v>71</v>
      </c>
      <c r="AU749">
        <v>0</v>
      </c>
      <c r="AV749">
        <v>0</v>
      </c>
    </row>
    <row r="750" spans="1:48" x14ac:dyDescent="0.25">
      <c r="A750" t="s">
        <v>2706</v>
      </c>
      <c r="B750" t="s">
        <v>73</v>
      </c>
      <c r="C750" t="s">
        <v>50</v>
      </c>
      <c r="D750">
        <v>440454.52510000003</v>
      </c>
      <c r="E750">
        <v>1827787.8023000001</v>
      </c>
      <c r="F750">
        <v>30.399000000000001</v>
      </c>
      <c r="G750" t="s">
        <v>2707</v>
      </c>
      <c r="H750" t="s">
        <v>52</v>
      </c>
      <c r="I750">
        <v>30.399000000000001</v>
      </c>
      <c r="J750" t="s">
        <v>53</v>
      </c>
      <c r="K750">
        <v>0</v>
      </c>
      <c r="L750" t="s">
        <v>232</v>
      </c>
      <c r="M750" t="s">
        <v>2708</v>
      </c>
      <c r="N750">
        <v>2.8400000000000002E-2</v>
      </c>
      <c r="O750" t="s">
        <v>56</v>
      </c>
      <c r="P750" t="s">
        <v>57</v>
      </c>
      <c r="Q750" t="s">
        <v>59</v>
      </c>
      <c r="R750" t="s">
        <v>58</v>
      </c>
      <c r="S750" t="s">
        <v>2709</v>
      </c>
      <c r="T750" t="s">
        <v>61</v>
      </c>
      <c r="U750">
        <v>1.6001000000000001</v>
      </c>
      <c r="V750" t="s">
        <v>62</v>
      </c>
      <c r="W750">
        <v>0</v>
      </c>
      <c r="X750">
        <v>28.798999999999999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68</v>
      </c>
      <c r="AG750" t="s">
        <v>65</v>
      </c>
      <c r="AH750" t="s">
        <v>65</v>
      </c>
      <c r="AI750" t="s">
        <v>67</v>
      </c>
      <c r="AK750" t="s">
        <v>66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73</v>
      </c>
      <c r="AT750" t="s">
        <v>71</v>
      </c>
      <c r="AU750">
        <v>0</v>
      </c>
      <c r="AV750">
        <v>0</v>
      </c>
    </row>
    <row r="751" spans="1:48" x14ac:dyDescent="0.25">
      <c r="A751" t="s">
        <v>2710</v>
      </c>
      <c r="B751" t="s">
        <v>49</v>
      </c>
      <c r="C751" t="s">
        <v>50</v>
      </c>
      <c r="D751">
        <v>440454.3751</v>
      </c>
      <c r="E751">
        <v>1827778.5257000001</v>
      </c>
      <c r="F751">
        <v>30.201000000000001</v>
      </c>
      <c r="G751" t="s">
        <v>2711</v>
      </c>
      <c r="H751" t="s">
        <v>52</v>
      </c>
      <c r="I751">
        <v>30.201000000000001</v>
      </c>
      <c r="J751" t="s">
        <v>53</v>
      </c>
      <c r="K751">
        <v>0</v>
      </c>
      <c r="L751" t="s">
        <v>200</v>
      </c>
      <c r="M751" t="s">
        <v>2712</v>
      </c>
      <c r="N751">
        <v>-1.52E-2</v>
      </c>
      <c r="O751" t="s">
        <v>56</v>
      </c>
      <c r="P751" t="s">
        <v>57</v>
      </c>
      <c r="Q751" t="s">
        <v>58</v>
      </c>
      <c r="R751" t="s">
        <v>59</v>
      </c>
      <c r="S751" t="s">
        <v>2713</v>
      </c>
      <c r="T751" t="s">
        <v>61</v>
      </c>
      <c r="U751">
        <v>1.4307000000000001</v>
      </c>
      <c r="V751" t="s">
        <v>62</v>
      </c>
      <c r="W751">
        <v>0</v>
      </c>
      <c r="X751">
        <v>28.77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2714</v>
      </c>
      <c r="B752" t="s">
        <v>49</v>
      </c>
      <c r="C752" t="s">
        <v>50</v>
      </c>
      <c r="D752">
        <v>440454.45010000002</v>
      </c>
      <c r="E752">
        <v>1827769.1257</v>
      </c>
      <c r="F752">
        <v>30.387</v>
      </c>
      <c r="G752" t="s">
        <v>2715</v>
      </c>
      <c r="H752" t="s">
        <v>52</v>
      </c>
      <c r="I752">
        <v>30.387</v>
      </c>
      <c r="J752" t="s">
        <v>53</v>
      </c>
      <c r="K752">
        <v>0</v>
      </c>
      <c r="L752" t="s">
        <v>205</v>
      </c>
      <c r="M752" t="s">
        <v>2716</v>
      </c>
      <c r="N752">
        <v>7.4999999999999997E-2</v>
      </c>
      <c r="O752" t="s">
        <v>56</v>
      </c>
      <c r="P752" t="s">
        <v>57</v>
      </c>
      <c r="Q752" t="s">
        <v>58</v>
      </c>
      <c r="R752" t="s">
        <v>59</v>
      </c>
      <c r="S752" t="s">
        <v>2717</v>
      </c>
      <c r="T752" t="s">
        <v>61</v>
      </c>
      <c r="U752">
        <v>1.7759</v>
      </c>
      <c r="V752" t="s">
        <v>62</v>
      </c>
      <c r="W752">
        <v>0</v>
      </c>
      <c r="X752">
        <v>28.611000000000001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66</v>
      </c>
      <c r="AG752" t="s">
        <v>65</v>
      </c>
      <c r="AH752" t="s">
        <v>65</v>
      </c>
      <c r="AI752" t="s">
        <v>67</v>
      </c>
      <c r="AK752" t="s">
        <v>68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49</v>
      </c>
      <c r="AT752" t="s">
        <v>71</v>
      </c>
      <c r="AU752">
        <v>0</v>
      </c>
      <c r="AV752">
        <v>0</v>
      </c>
    </row>
    <row r="753" spans="1:48" x14ac:dyDescent="0.25">
      <c r="A753" t="s">
        <v>2718</v>
      </c>
      <c r="B753" t="s">
        <v>49</v>
      </c>
      <c r="C753" t="s">
        <v>50</v>
      </c>
      <c r="D753">
        <v>440470.42509999999</v>
      </c>
      <c r="E753">
        <v>1827769.1257</v>
      </c>
      <c r="F753">
        <v>30.216999999999999</v>
      </c>
      <c r="G753" t="s">
        <v>2719</v>
      </c>
      <c r="H753" t="s">
        <v>52</v>
      </c>
      <c r="I753">
        <v>30.216999999999999</v>
      </c>
      <c r="J753" t="s">
        <v>53</v>
      </c>
      <c r="K753">
        <v>0</v>
      </c>
      <c r="L753" t="s">
        <v>205</v>
      </c>
      <c r="M753" t="s">
        <v>432</v>
      </c>
      <c r="N753">
        <v>7.4999999999999997E-2</v>
      </c>
      <c r="O753" t="s">
        <v>56</v>
      </c>
      <c r="P753" t="s">
        <v>57</v>
      </c>
      <c r="Q753" t="s">
        <v>58</v>
      </c>
      <c r="R753" t="s">
        <v>59</v>
      </c>
      <c r="S753" t="s">
        <v>2720</v>
      </c>
      <c r="T753" t="s">
        <v>61</v>
      </c>
      <c r="U753">
        <v>1.6751</v>
      </c>
      <c r="V753" t="s">
        <v>62</v>
      </c>
      <c r="W753">
        <v>0</v>
      </c>
      <c r="X753">
        <v>28.542000000000002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66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49</v>
      </c>
      <c r="AT753" t="s">
        <v>71</v>
      </c>
      <c r="AU753">
        <v>0</v>
      </c>
      <c r="AV753">
        <v>0</v>
      </c>
    </row>
    <row r="754" spans="1:48" x14ac:dyDescent="0.25">
      <c r="A754" t="s">
        <v>2721</v>
      </c>
      <c r="B754" t="s">
        <v>49</v>
      </c>
      <c r="C754" t="s">
        <v>50</v>
      </c>
      <c r="D754">
        <v>440490.42509999999</v>
      </c>
      <c r="E754">
        <v>1827769.1257</v>
      </c>
      <c r="F754">
        <v>30.085999999999999</v>
      </c>
      <c r="G754" t="s">
        <v>2722</v>
      </c>
      <c r="H754" t="s">
        <v>52</v>
      </c>
      <c r="I754">
        <v>30.085999999999999</v>
      </c>
      <c r="J754" t="s">
        <v>53</v>
      </c>
      <c r="K754">
        <v>0</v>
      </c>
      <c r="L754" t="s">
        <v>205</v>
      </c>
      <c r="M754" t="s">
        <v>597</v>
      </c>
      <c r="N754">
        <v>7.4999999999999997E-2</v>
      </c>
      <c r="O754" t="s">
        <v>56</v>
      </c>
      <c r="P754" t="s">
        <v>57</v>
      </c>
      <c r="Q754" t="s">
        <v>58</v>
      </c>
      <c r="R754" t="s">
        <v>59</v>
      </c>
      <c r="S754" t="s">
        <v>2723</v>
      </c>
      <c r="T754" t="s">
        <v>61</v>
      </c>
      <c r="U754">
        <v>1.6042000000000001</v>
      </c>
      <c r="V754" t="s">
        <v>62</v>
      </c>
      <c r="W754">
        <v>0</v>
      </c>
      <c r="X754">
        <v>28.481999999999999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49</v>
      </c>
      <c r="AT754" t="s">
        <v>71</v>
      </c>
      <c r="AU754">
        <v>0</v>
      </c>
      <c r="AV754">
        <v>0</v>
      </c>
    </row>
    <row r="755" spans="1:48" x14ac:dyDescent="0.25">
      <c r="A755" t="s">
        <v>2724</v>
      </c>
      <c r="B755" t="s">
        <v>49</v>
      </c>
      <c r="C755" t="s">
        <v>50</v>
      </c>
      <c r="D755">
        <v>440510.42509999999</v>
      </c>
      <c r="E755">
        <v>1827769.1257</v>
      </c>
      <c r="F755">
        <v>30.053000000000001</v>
      </c>
      <c r="G755" t="s">
        <v>2725</v>
      </c>
      <c r="H755" t="s">
        <v>52</v>
      </c>
      <c r="I755">
        <v>30.053000000000001</v>
      </c>
      <c r="J755" t="s">
        <v>53</v>
      </c>
      <c r="K755">
        <v>0</v>
      </c>
      <c r="L755" t="s">
        <v>205</v>
      </c>
      <c r="M755" t="s">
        <v>440</v>
      </c>
      <c r="N755">
        <v>7.4999999999999997E-2</v>
      </c>
      <c r="O755" t="s">
        <v>56</v>
      </c>
      <c r="P755" t="s">
        <v>57</v>
      </c>
      <c r="Q755" t="s">
        <v>58</v>
      </c>
      <c r="R755" t="s">
        <v>59</v>
      </c>
      <c r="S755" t="s">
        <v>2726</v>
      </c>
      <c r="T755" t="s">
        <v>61</v>
      </c>
      <c r="U755">
        <v>1.6039000000000001</v>
      </c>
      <c r="V755" t="s">
        <v>62</v>
      </c>
      <c r="W755">
        <v>0</v>
      </c>
      <c r="X755">
        <v>28.449000000000002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66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49</v>
      </c>
      <c r="AT755" t="s">
        <v>71</v>
      </c>
      <c r="AU755">
        <v>0</v>
      </c>
      <c r="AV755">
        <v>0</v>
      </c>
    </row>
    <row r="756" spans="1:48" x14ac:dyDescent="0.25">
      <c r="A756" t="s">
        <v>2727</v>
      </c>
      <c r="B756" t="s">
        <v>49</v>
      </c>
      <c r="C756" t="s">
        <v>50</v>
      </c>
      <c r="D756">
        <v>440530.42509999999</v>
      </c>
      <c r="E756">
        <v>1827769.1257</v>
      </c>
      <c r="F756">
        <v>30.091000000000001</v>
      </c>
      <c r="G756" t="s">
        <v>2728</v>
      </c>
      <c r="H756" t="s">
        <v>52</v>
      </c>
      <c r="I756">
        <v>30.091000000000001</v>
      </c>
      <c r="J756" t="s">
        <v>53</v>
      </c>
      <c r="K756">
        <v>0</v>
      </c>
      <c r="L756" t="s">
        <v>205</v>
      </c>
      <c r="M756" s="1" t="s">
        <v>444</v>
      </c>
      <c r="N756">
        <v>7.4999999999999997E-2</v>
      </c>
      <c r="O756" t="s">
        <v>56</v>
      </c>
      <c r="P756" t="s">
        <v>57</v>
      </c>
      <c r="Q756" t="s">
        <v>58</v>
      </c>
      <c r="R756" t="s">
        <v>59</v>
      </c>
      <c r="S756" t="s">
        <v>2729</v>
      </c>
      <c r="T756" t="s">
        <v>61</v>
      </c>
      <c r="U756">
        <v>1.6621999999999999</v>
      </c>
      <c r="V756" t="s">
        <v>62</v>
      </c>
      <c r="W756">
        <v>0</v>
      </c>
      <c r="X756">
        <v>28.428999999999998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66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49</v>
      </c>
      <c r="AT756" t="s">
        <v>71</v>
      </c>
      <c r="AU756">
        <v>0</v>
      </c>
      <c r="AV756">
        <v>0</v>
      </c>
    </row>
    <row r="757" spans="1:48" x14ac:dyDescent="0.25">
      <c r="A757" t="s">
        <v>2730</v>
      </c>
      <c r="B757" t="s">
        <v>49</v>
      </c>
      <c r="C757" t="s">
        <v>50</v>
      </c>
      <c r="D757">
        <v>440550.42509999999</v>
      </c>
      <c r="E757">
        <v>1827769.1257</v>
      </c>
      <c r="F757">
        <v>30.132999999999999</v>
      </c>
      <c r="G757" t="s">
        <v>2731</v>
      </c>
      <c r="H757" t="s">
        <v>52</v>
      </c>
      <c r="I757">
        <v>30.132999999999999</v>
      </c>
      <c r="J757" t="s">
        <v>53</v>
      </c>
      <c r="K757">
        <v>0</v>
      </c>
      <c r="L757" t="s">
        <v>205</v>
      </c>
      <c r="M757" s="1" t="s">
        <v>448</v>
      </c>
      <c r="N757">
        <v>7.4999999999999997E-2</v>
      </c>
      <c r="O757" t="s">
        <v>56</v>
      </c>
      <c r="P757" t="s">
        <v>57</v>
      </c>
      <c r="Q757" t="s">
        <v>58</v>
      </c>
      <c r="R757" t="s">
        <v>59</v>
      </c>
      <c r="S757" t="s">
        <v>2732</v>
      </c>
      <c r="T757" t="s">
        <v>61</v>
      </c>
      <c r="U757">
        <v>1.7242</v>
      </c>
      <c r="V757" t="s">
        <v>62</v>
      </c>
      <c r="W757">
        <v>0</v>
      </c>
      <c r="X757">
        <v>28.408999999999999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66</v>
      </c>
      <c r="AG757" t="s">
        <v>65</v>
      </c>
      <c r="AH757" t="s">
        <v>65</v>
      </c>
      <c r="AI757" t="s">
        <v>67</v>
      </c>
      <c r="AK757" t="s">
        <v>68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49</v>
      </c>
      <c r="AT757" t="s">
        <v>71</v>
      </c>
      <c r="AU757">
        <v>0</v>
      </c>
      <c r="AV757">
        <v>0</v>
      </c>
    </row>
    <row r="758" spans="1:48" x14ac:dyDescent="0.25">
      <c r="A758" t="s">
        <v>2733</v>
      </c>
      <c r="B758" t="s">
        <v>49</v>
      </c>
      <c r="C758" t="s">
        <v>50</v>
      </c>
      <c r="D758">
        <v>440591.74530000001</v>
      </c>
      <c r="E758">
        <v>1827769.1257</v>
      </c>
      <c r="F758">
        <v>30.225000000000001</v>
      </c>
      <c r="G758" t="s">
        <v>2734</v>
      </c>
      <c r="H758" t="s">
        <v>52</v>
      </c>
      <c r="I758">
        <v>30.225000000000001</v>
      </c>
      <c r="J758" t="s">
        <v>53</v>
      </c>
      <c r="K758">
        <v>0</v>
      </c>
      <c r="L758" t="s">
        <v>205</v>
      </c>
      <c r="M758">
        <f>0+1.32</f>
        <v>1.32</v>
      </c>
      <c r="N758">
        <v>7.4999999999999997E-2</v>
      </c>
      <c r="O758" t="s">
        <v>56</v>
      </c>
      <c r="P758" t="s">
        <v>57</v>
      </c>
      <c r="Q758" t="s">
        <v>58</v>
      </c>
      <c r="R758" t="s">
        <v>59</v>
      </c>
      <c r="S758" t="s">
        <v>2735</v>
      </c>
      <c r="T758" t="s">
        <v>61</v>
      </c>
      <c r="U758">
        <v>1.8569</v>
      </c>
      <c r="V758" t="s">
        <v>62</v>
      </c>
      <c r="W758">
        <v>0</v>
      </c>
      <c r="X758">
        <v>28.367999999999999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49</v>
      </c>
      <c r="AT758" t="s">
        <v>71</v>
      </c>
      <c r="AU758">
        <v>0</v>
      </c>
      <c r="AV758">
        <v>0</v>
      </c>
    </row>
    <row r="759" spans="1:48" x14ac:dyDescent="0.25">
      <c r="A759" t="s">
        <v>2736</v>
      </c>
      <c r="B759" t="s">
        <v>73</v>
      </c>
      <c r="C759" t="s">
        <v>50</v>
      </c>
      <c r="D759">
        <v>440463.92509999999</v>
      </c>
      <c r="E759">
        <v>1827822.6987000001</v>
      </c>
      <c r="F759">
        <v>30.587</v>
      </c>
      <c r="G759" t="s">
        <v>2737</v>
      </c>
      <c r="H759" t="s">
        <v>52</v>
      </c>
      <c r="I759">
        <v>30.587</v>
      </c>
      <c r="J759" t="s">
        <v>53</v>
      </c>
      <c r="K759">
        <v>0</v>
      </c>
      <c r="L759" t="s">
        <v>210</v>
      </c>
      <c r="M759" t="s">
        <v>529</v>
      </c>
      <c r="N759">
        <v>0.15</v>
      </c>
      <c r="O759" t="s">
        <v>56</v>
      </c>
      <c r="P759" t="s">
        <v>57</v>
      </c>
      <c r="Q759" t="s">
        <v>59</v>
      </c>
      <c r="R759" t="s">
        <v>58</v>
      </c>
      <c r="S759" t="s">
        <v>2702</v>
      </c>
      <c r="T759" t="s">
        <v>61</v>
      </c>
      <c r="U759">
        <v>1.5643</v>
      </c>
      <c r="V759" t="s">
        <v>62</v>
      </c>
      <c r="W759">
        <v>0</v>
      </c>
      <c r="X759">
        <v>29.023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68</v>
      </c>
      <c r="AG759" t="s">
        <v>65</v>
      </c>
      <c r="AH759" t="s">
        <v>65</v>
      </c>
      <c r="AI759" t="s">
        <v>67</v>
      </c>
      <c r="AK759" t="s">
        <v>66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73</v>
      </c>
      <c r="AT759" t="s">
        <v>71</v>
      </c>
      <c r="AU759">
        <v>0</v>
      </c>
      <c r="AV759">
        <v>0</v>
      </c>
    </row>
    <row r="760" spans="1:48" x14ac:dyDescent="0.25">
      <c r="A760" t="s">
        <v>2738</v>
      </c>
      <c r="B760" t="s">
        <v>73</v>
      </c>
      <c r="C760" t="s">
        <v>50</v>
      </c>
      <c r="D760">
        <v>440463.92509999999</v>
      </c>
      <c r="E760">
        <v>1827802.6987000001</v>
      </c>
      <c r="F760">
        <v>30.472000000000001</v>
      </c>
      <c r="G760" t="s">
        <v>2739</v>
      </c>
      <c r="H760" t="s">
        <v>52</v>
      </c>
      <c r="I760">
        <v>30.472000000000001</v>
      </c>
      <c r="J760" t="s">
        <v>53</v>
      </c>
      <c r="K760">
        <v>0</v>
      </c>
      <c r="L760" t="s">
        <v>210</v>
      </c>
      <c r="M760" t="s">
        <v>525</v>
      </c>
      <c r="N760">
        <v>0.15</v>
      </c>
      <c r="O760" t="s">
        <v>56</v>
      </c>
      <c r="P760" t="s">
        <v>57</v>
      </c>
      <c r="Q760" t="s">
        <v>59</v>
      </c>
      <c r="R760" t="s">
        <v>58</v>
      </c>
      <c r="S760" t="s">
        <v>2740</v>
      </c>
      <c r="T760" t="s">
        <v>61</v>
      </c>
      <c r="U760">
        <v>1.4689000000000001</v>
      </c>
      <c r="V760" t="s">
        <v>62</v>
      </c>
      <c r="W760">
        <v>0</v>
      </c>
      <c r="X760">
        <v>29.003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68</v>
      </c>
      <c r="AG760" t="s">
        <v>65</v>
      </c>
      <c r="AH760" t="s">
        <v>65</v>
      </c>
      <c r="AI760" t="s">
        <v>67</v>
      </c>
      <c r="AK760" t="s">
        <v>66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73</v>
      </c>
      <c r="AT760" t="s">
        <v>71</v>
      </c>
      <c r="AU760">
        <v>0</v>
      </c>
      <c r="AV760">
        <v>0</v>
      </c>
    </row>
    <row r="761" spans="1:48" x14ac:dyDescent="0.25">
      <c r="A761" t="s">
        <v>2741</v>
      </c>
      <c r="B761" t="s">
        <v>49</v>
      </c>
      <c r="C761" t="s">
        <v>50</v>
      </c>
      <c r="D761">
        <v>440464.07510000002</v>
      </c>
      <c r="E761">
        <v>1827778.5257000001</v>
      </c>
      <c r="F761">
        <v>30.212</v>
      </c>
      <c r="G761" t="s">
        <v>2742</v>
      </c>
      <c r="H761" t="s">
        <v>52</v>
      </c>
      <c r="I761">
        <v>30.212</v>
      </c>
      <c r="J761" t="s">
        <v>53</v>
      </c>
      <c r="K761">
        <v>0</v>
      </c>
      <c r="L761" t="s">
        <v>200</v>
      </c>
      <c r="M761" t="s">
        <v>2316</v>
      </c>
      <c r="N761">
        <v>-1.8499999999999999E-2</v>
      </c>
      <c r="O761" t="s">
        <v>56</v>
      </c>
      <c r="P761" t="s">
        <v>57</v>
      </c>
      <c r="Q761" t="s">
        <v>58</v>
      </c>
      <c r="R761" t="s">
        <v>59</v>
      </c>
      <c r="S761" t="s">
        <v>2743</v>
      </c>
      <c r="T761" t="s">
        <v>61</v>
      </c>
      <c r="U761">
        <v>1.4883</v>
      </c>
      <c r="V761" t="s">
        <v>62</v>
      </c>
      <c r="W761">
        <v>0</v>
      </c>
      <c r="X761">
        <v>28.724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49</v>
      </c>
      <c r="AT761" t="s">
        <v>71</v>
      </c>
      <c r="AU761">
        <v>0</v>
      </c>
      <c r="AV761">
        <v>0</v>
      </c>
    </row>
    <row r="762" spans="1:48" x14ac:dyDescent="0.25">
      <c r="A762" t="s">
        <v>2744</v>
      </c>
      <c r="B762" t="s">
        <v>49</v>
      </c>
      <c r="C762" t="s">
        <v>50</v>
      </c>
      <c r="D762">
        <v>440483.5687</v>
      </c>
      <c r="E762">
        <v>1827778.5257000001</v>
      </c>
      <c r="F762">
        <v>30.12</v>
      </c>
      <c r="G762" t="s">
        <v>2745</v>
      </c>
      <c r="H762" t="s">
        <v>52</v>
      </c>
      <c r="I762">
        <v>30.12</v>
      </c>
      <c r="J762" t="s">
        <v>53</v>
      </c>
      <c r="K762">
        <v>0</v>
      </c>
      <c r="L762" t="s">
        <v>200</v>
      </c>
      <c r="M762" t="s">
        <v>2746</v>
      </c>
      <c r="N762">
        <v>-2.5100000000000001E-2</v>
      </c>
      <c r="O762" t="s">
        <v>56</v>
      </c>
      <c r="P762" t="s">
        <v>57</v>
      </c>
      <c r="Q762" t="s">
        <v>58</v>
      </c>
      <c r="R762" t="s">
        <v>59</v>
      </c>
      <c r="S762" t="s">
        <v>2747</v>
      </c>
      <c r="T762" t="s">
        <v>61</v>
      </c>
      <c r="U762">
        <v>1.4661</v>
      </c>
      <c r="V762" t="s">
        <v>62</v>
      </c>
      <c r="W762">
        <v>0</v>
      </c>
      <c r="X762">
        <v>28.654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49</v>
      </c>
      <c r="AT762" t="s">
        <v>71</v>
      </c>
      <c r="AU762">
        <v>0</v>
      </c>
      <c r="AV762">
        <v>0</v>
      </c>
    </row>
    <row r="763" spans="1:48" x14ac:dyDescent="0.25">
      <c r="A763" t="s">
        <v>2748</v>
      </c>
      <c r="B763" t="s">
        <v>49</v>
      </c>
      <c r="C763" t="s">
        <v>50</v>
      </c>
      <c r="D763">
        <v>440502.87310000003</v>
      </c>
      <c r="E763">
        <v>1827778.5257000001</v>
      </c>
      <c r="F763">
        <v>30.053999999999998</v>
      </c>
      <c r="G763" t="s">
        <v>2749</v>
      </c>
      <c r="H763" t="s">
        <v>52</v>
      </c>
      <c r="I763">
        <v>30.053999999999998</v>
      </c>
      <c r="J763" t="s">
        <v>53</v>
      </c>
      <c r="K763">
        <v>0</v>
      </c>
      <c r="L763" t="s">
        <v>200</v>
      </c>
      <c r="M763" t="s">
        <v>2750</v>
      </c>
      <c r="N763">
        <v>-3.1699999999999999E-2</v>
      </c>
      <c r="O763" t="s">
        <v>56</v>
      </c>
      <c r="P763" t="s">
        <v>57</v>
      </c>
      <c r="Q763" t="s">
        <v>58</v>
      </c>
      <c r="R763" t="s">
        <v>59</v>
      </c>
      <c r="S763" t="s">
        <v>2751</v>
      </c>
      <c r="T763" t="s">
        <v>61</v>
      </c>
      <c r="U763">
        <v>1.4590000000000001</v>
      </c>
      <c r="V763" t="s">
        <v>62</v>
      </c>
      <c r="W763">
        <v>0</v>
      </c>
      <c r="X763">
        <v>28.594999999999999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49</v>
      </c>
      <c r="AT763" t="s">
        <v>71</v>
      </c>
      <c r="AU763">
        <v>0</v>
      </c>
      <c r="AV763">
        <v>0</v>
      </c>
    </row>
    <row r="764" spans="1:48" x14ac:dyDescent="0.25">
      <c r="A764" t="s">
        <v>2752</v>
      </c>
      <c r="B764" t="s">
        <v>73</v>
      </c>
      <c r="C764" t="s">
        <v>50</v>
      </c>
      <c r="D764">
        <v>440520.1251</v>
      </c>
      <c r="E764">
        <v>1827827.1483</v>
      </c>
      <c r="F764">
        <v>30.526</v>
      </c>
      <c r="G764" t="s">
        <v>2753</v>
      </c>
      <c r="H764" t="s">
        <v>52</v>
      </c>
      <c r="I764">
        <v>30.526</v>
      </c>
      <c r="J764" t="s">
        <v>53</v>
      </c>
      <c r="K764">
        <v>0</v>
      </c>
      <c r="L764" t="s">
        <v>2591</v>
      </c>
      <c r="M764" t="s">
        <v>2754</v>
      </c>
      <c r="N764">
        <v>-0.248</v>
      </c>
      <c r="O764" t="s">
        <v>56</v>
      </c>
      <c r="P764" t="s">
        <v>57</v>
      </c>
      <c r="Q764" t="s">
        <v>59</v>
      </c>
      <c r="R764" t="s">
        <v>58</v>
      </c>
      <c r="S764" t="s">
        <v>2755</v>
      </c>
      <c r="T764" t="s">
        <v>61</v>
      </c>
      <c r="U764">
        <v>1.8261000000000001</v>
      </c>
      <c r="V764" t="s">
        <v>62</v>
      </c>
      <c r="W764">
        <v>0</v>
      </c>
      <c r="X764">
        <v>28.7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68</v>
      </c>
      <c r="AG764" t="s">
        <v>65</v>
      </c>
      <c r="AH764" t="s">
        <v>65</v>
      </c>
      <c r="AI764" t="s">
        <v>67</v>
      </c>
      <c r="AK764" t="s">
        <v>66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73</v>
      </c>
      <c r="AT764" t="s">
        <v>71</v>
      </c>
      <c r="AU764">
        <v>0</v>
      </c>
      <c r="AV764">
        <v>0</v>
      </c>
    </row>
    <row r="765" spans="1:48" x14ac:dyDescent="0.25">
      <c r="A765" t="s">
        <v>2756</v>
      </c>
      <c r="B765" t="s">
        <v>73</v>
      </c>
      <c r="C765" t="s">
        <v>50</v>
      </c>
      <c r="D765">
        <v>440520.1251</v>
      </c>
      <c r="E765">
        <v>1827809.7609000001</v>
      </c>
      <c r="F765">
        <v>30.38</v>
      </c>
      <c r="G765" t="s">
        <v>2757</v>
      </c>
      <c r="H765" t="s">
        <v>52</v>
      </c>
      <c r="I765">
        <v>30.38</v>
      </c>
      <c r="J765" t="s">
        <v>53</v>
      </c>
      <c r="K765">
        <v>0</v>
      </c>
      <c r="L765" t="s">
        <v>2591</v>
      </c>
      <c r="M765" t="s">
        <v>440</v>
      </c>
      <c r="N765">
        <v>-0.248</v>
      </c>
      <c r="O765" t="s">
        <v>56</v>
      </c>
      <c r="P765" t="s">
        <v>57</v>
      </c>
      <c r="Q765" t="s">
        <v>59</v>
      </c>
      <c r="R765" t="s">
        <v>58</v>
      </c>
      <c r="S765" t="s">
        <v>2758</v>
      </c>
      <c r="T765" t="s">
        <v>61</v>
      </c>
      <c r="U765">
        <v>1.6413</v>
      </c>
      <c r="V765" t="s">
        <v>62</v>
      </c>
      <c r="W765">
        <v>0</v>
      </c>
      <c r="X765">
        <v>28.739000000000001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68</v>
      </c>
      <c r="AG765" t="s">
        <v>65</v>
      </c>
      <c r="AH765" t="s">
        <v>65</v>
      </c>
      <c r="AI765" t="s">
        <v>67</v>
      </c>
      <c r="AK765" t="s">
        <v>66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73</v>
      </c>
      <c r="AT765" t="s">
        <v>71</v>
      </c>
      <c r="AU765">
        <v>0</v>
      </c>
      <c r="AV765">
        <v>0</v>
      </c>
    </row>
    <row r="766" spans="1:48" x14ac:dyDescent="0.25">
      <c r="A766" t="s">
        <v>2759</v>
      </c>
      <c r="B766" t="s">
        <v>73</v>
      </c>
      <c r="C766" t="s">
        <v>50</v>
      </c>
      <c r="D766">
        <v>440520.1251</v>
      </c>
      <c r="E766">
        <v>1827789.7609000001</v>
      </c>
      <c r="F766">
        <v>30.213000000000001</v>
      </c>
      <c r="G766" t="s">
        <v>2760</v>
      </c>
      <c r="H766" t="s">
        <v>52</v>
      </c>
      <c r="I766">
        <v>30.213000000000001</v>
      </c>
      <c r="J766" t="s">
        <v>53</v>
      </c>
      <c r="K766">
        <v>0</v>
      </c>
      <c r="L766" t="s">
        <v>2591</v>
      </c>
      <c r="M766" t="s">
        <v>597</v>
      </c>
      <c r="N766">
        <v>-0.248</v>
      </c>
      <c r="O766" t="s">
        <v>56</v>
      </c>
      <c r="P766" t="s">
        <v>57</v>
      </c>
      <c r="Q766" t="s">
        <v>59</v>
      </c>
      <c r="R766" t="s">
        <v>58</v>
      </c>
      <c r="S766" t="s">
        <v>2761</v>
      </c>
      <c r="T766" t="s">
        <v>61</v>
      </c>
      <c r="U766">
        <v>1.4536</v>
      </c>
      <c r="V766" t="s">
        <v>62</v>
      </c>
      <c r="W766">
        <v>0</v>
      </c>
      <c r="X766">
        <v>28.759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68</v>
      </c>
      <c r="AG766" t="s">
        <v>65</v>
      </c>
      <c r="AH766" t="s">
        <v>65</v>
      </c>
      <c r="AI766" t="s">
        <v>67</v>
      </c>
      <c r="AK766" t="s">
        <v>66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73</v>
      </c>
      <c r="AT766" t="s">
        <v>71</v>
      </c>
      <c r="AU766">
        <v>0</v>
      </c>
      <c r="AV766">
        <v>0</v>
      </c>
    </row>
    <row r="767" spans="1:48" x14ac:dyDescent="0.25">
      <c r="A767" t="s">
        <v>2762</v>
      </c>
      <c r="B767" t="s">
        <v>49</v>
      </c>
      <c r="C767" t="s">
        <v>50</v>
      </c>
      <c r="D767">
        <v>440520.32510000002</v>
      </c>
      <c r="E767">
        <v>1827778.5257000001</v>
      </c>
      <c r="F767">
        <v>29.991</v>
      </c>
      <c r="G767" t="s">
        <v>2763</v>
      </c>
      <c r="H767" t="s">
        <v>52</v>
      </c>
      <c r="I767">
        <v>29.991</v>
      </c>
      <c r="J767" t="s">
        <v>53</v>
      </c>
      <c r="K767">
        <v>0</v>
      </c>
      <c r="L767" t="s">
        <v>200</v>
      </c>
      <c r="M767" t="s">
        <v>2764</v>
      </c>
      <c r="N767">
        <v>-3.7600000000000001E-2</v>
      </c>
      <c r="O767" t="s">
        <v>56</v>
      </c>
      <c r="P767" t="s">
        <v>57</v>
      </c>
      <c r="Q767" t="s">
        <v>58</v>
      </c>
      <c r="R767" t="s">
        <v>59</v>
      </c>
      <c r="S767" t="s">
        <v>2765</v>
      </c>
      <c r="T767" t="s">
        <v>61</v>
      </c>
      <c r="U767">
        <v>1.4478</v>
      </c>
      <c r="V767" t="s">
        <v>62</v>
      </c>
      <c r="W767">
        <v>0</v>
      </c>
      <c r="X767">
        <v>28.542999999999999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66</v>
      </c>
      <c r="AG767" t="s">
        <v>65</v>
      </c>
      <c r="AH767" t="s">
        <v>65</v>
      </c>
      <c r="AI767" t="s">
        <v>67</v>
      </c>
      <c r="AK767" t="s">
        <v>68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49</v>
      </c>
      <c r="AT767" t="s">
        <v>71</v>
      </c>
      <c r="AU767">
        <v>0</v>
      </c>
      <c r="AV767">
        <v>0</v>
      </c>
    </row>
    <row r="768" spans="1:48" x14ac:dyDescent="0.25">
      <c r="A768" t="s">
        <v>2766</v>
      </c>
      <c r="B768" t="s">
        <v>73</v>
      </c>
      <c r="C768" t="s">
        <v>50</v>
      </c>
      <c r="D768">
        <v>440529.52510000003</v>
      </c>
      <c r="E768">
        <v>1827827.2064</v>
      </c>
      <c r="F768">
        <v>30.527000000000001</v>
      </c>
      <c r="G768" t="s">
        <v>2767</v>
      </c>
      <c r="H768" t="s">
        <v>52</v>
      </c>
      <c r="I768">
        <v>30.527000000000001</v>
      </c>
      <c r="J768" t="s">
        <v>53</v>
      </c>
      <c r="K768">
        <v>0</v>
      </c>
      <c r="L768" t="s">
        <v>2583</v>
      </c>
      <c r="M768" t="s">
        <v>2768</v>
      </c>
      <c r="N768">
        <v>0.15</v>
      </c>
      <c r="O768" t="s">
        <v>56</v>
      </c>
      <c r="P768" t="s">
        <v>57</v>
      </c>
      <c r="Q768" t="s">
        <v>59</v>
      </c>
      <c r="R768" t="s">
        <v>58</v>
      </c>
      <c r="S768" t="s">
        <v>2769</v>
      </c>
      <c r="T768" t="s">
        <v>61</v>
      </c>
      <c r="U768">
        <v>1.8265</v>
      </c>
      <c r="V768" t="s">
        <v>62</v>
      </c>
      <c r="W768">
        <v>0</v>
      </c>
      <c r="X768">
        <v>28.7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68</v>
      </c>
      <c r="AG768" t="s">
        <v>65</v>
      </c>
      <c r="AH768" t="s">
        <v>65</v>
      </c>
      <c r="AI768" t="s">
        <v>67</v>
      </c>
      <c r="AK768" t="s">
        <v>66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73</v>
      </c>
      <c r="AT768" t="s">
        <v>71</v>
      </c>
      <c r="AU768">
        <v>0</v>
      </c>
      <c r="AV768">
        <v>0</v>
      </c>
    </row>
    <row r="769" spans="1:48" x14ac:dyDescent="0.25">
      <c r="A769" t="s">
        <v>2770</v>
      </c>
      <c r="B769" t="s">
        <v>73</v>
      </c>
      <c r="C769" t="s">
        <v>50</v>
      </c>
      <c r="D769">
        <v>440529.52510000003</v>
      </c>
      <c r="E769">
        <v>1827809.7609000001</v>
      </c>
      <c r="F769">
        <v>30.38</v>
      </c>
      <c r="G769" t="s">
        <v>2771</v>
      </c>
      <c r="H769" t="s">
        <v>52</v>
      </c>
      <c r="I769">
        <v>30.38</v>
      </c>
      <c r="J769" t="s">
        <v>53</v>
      </c>
      <c r="K769">
        <v>0</v>
      </c>
      <c r="L769" t="s">
        <v>2583</v>
      </c>
      <c r="M769" t="s">
        <v>440</v>
      </c>
      <c r="N769">
        <v>0.15</v>
      </c>
      <c r="O769" t="s">
        <v>56</v>
      </c>
      <c r="P769" t="s">
        <v>57</v>
      </c>
      <c r="Q769" t="s">
        <v>59</v>
      </c>
      <c r="R769" t="s">
        <v>58</v>
      </c>
      <c r="S769" t="s">
        <v>2758</v>
      </c>
      <c r="T769" t="s">
        <v>61</v>
      </c>
      <c r="U769">
        <v>1.6413</v>
      </c>
      <c r="V769" t="s">
        <v>62</v>
      </c>
      <c r="W769">
        <v>0</v>
      </c>
      <c r="X769">
        <v>28.739000000000001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68</v>
      </c>
      <c r="AG769" t="s">
        <v>65</v>
      </c>
      <c r="AH769" t="s">
        <v>65</v>
      </c>
      <c r="AI769" t="s">
        <v>67</v>
      </c>
      <c r="AK769" t="s">
        <v>66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73</v>
      </c>
      <c r="AT769" t="s">
        <v>71</v>
      </c>
      <c r="AU769">
        <v>0</v>
      </c>
      <c r="AV769">
        <v>0</v>
      </c>
    </row>
    <row r="770" spans="1:48" x14ac:dyDescent="0.25">
      <c r="A770" t="s">
        <v>2772</v>
      </c>
      <c r="B770" t="s">
        <v>73</v>
      </c>
      <c r="C770" t="s">
        <v>50</v>
      </c>
      <c r="D770">
        <v>440529.52510000003</v>
      </c>
      <c r="E770">
        <v>1827789.7609000001</v>
      </c>
      <c r="F770">
        <v>30.213000000000001</v>
      </c>
      <c r="G770" t="s">
        <v>2773</v>
      </c>
      <c r="H770" t="s">
        <v>52</v>
      </c>
      <c r="I770">
        <v>30.213000000000001</v>
      </c>
      <c r="J770" t="s">
        <v>53</v>
      </c>
      <c r="K770">
        <v>0</v>
      </c>
      <c r="L770" t="s">
        <v>2583</v>
      </c>
      <c r="M770" t="s">
        <v>597</v>
      </c>
      <c r="N770">
        <v>0.15</v>
      </c>
      <c r="O770" t="s">
        <v>56</v>
      </c>
      <c r="P770" t="s">
        <v>57</v>
      </c>
      <c r="Q770" t="s">
        <v>59</v>
      </c>
      <c r="R770" t="s">
        <v>58</v>
      </c>
      <c r="S770" t="s">
        <v>2761</v>
      </c>
      <c r="T770" t="s">
        <v>61</v>
      </c>
      <c r="U770">
        <v>1.4536</v>
      </c>
      <c r="V770" t="s">
        <v>62</v>
      </c>
      <c r="W770">
        <v>0</v>
      </c>
      <c r="X770">
        <v>28.759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66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73</v>
      </c>
      <c r="AT770" t="s">
        <v>71</v>
      </c>
      <c r="AU770">
        <v>0</v>
      </c>
      <c r="AV770">
        <v>0</v>
      </c>
    </row>
    <row r="771" spans="1:48" x14ac:dyDescent="0.25">
      <c r="A771" t="s">
        <v>2774</v>
      </c>
      <c r="B771" t="s">
        <v>49</v>
      </c>
      <c r="C771" t="s">
        <v>50</v>
      </c>
      <c r="D771">
        <v>440529.32510000002</v>
      </c>
      <c r="E771">
        <v>1827778.5257000001</v>
      </c>
      <c r="F771">
        <v>29.991</v>
      </c>
      <c r="G771" t="s">
        <v>2775</v>
      </c>
      <c r="H771" t="s">
        <v>52</v>
      </c>
      <c r="I771">
        <v>29.991</v>
      </c>
      <c r="J771" t="s">
        <v>53</v>
      </c>
      <c r="K771">
        <v>0</v>
      </c>
      <c r="L771" t="s">
        <v>200</v>
      </c>
      <c r="M771" t="s">
        <v>2776</v>
      </c>
      <c r="N771">
        <v>-4.07E-2</v>
      </c>
      <c r="O771" t="s">
        <v>56</v>
      </c>
      <c r="P771" t="s">
        <v>57</v>
      </c>
      <c r="Q771" t="s">
        <v>58</v>
      </c>
      <c r="R771" t="s">
        <v>59</v>
      </c>
      <c r="S771" t="s">
        <v>2777</v>
      </c>
      <c r="T771" t="s">
        <v>61</v>
      </c>
      <c r="U771">
        <v>1.4567000000000001</v>
      </c>
      <c r="V771" t="s">
        <v>62</v>
      </c>
      <c r="W771">
        <v>0</v>
      </c>
      <c r="X771">
        <v>28.533999999999999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66</v>
      </c>
      <c r="AG771" t="s">
        <v>65</v>
      </c>
      <c r="AH771" t="s">
        <v>65</v>
      </c>
      <c r="AI771" t="s">
        <v>67</v>
      </c>
      <c r="AK771" t="s">
        <v>68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49</v>
      </c>
      <c r="AT771" t="s">
        <v>71</v>
      </c>
      <c r="AU771">
        <v>0</v>
      </c>
      <c r="AV771">
        <v>0</v>
      </c>
    </row>
    <row r="772" spans="1:48" x14ac:dyDescent="0.25">
      <c r="A772" t="s">
        <v>2778</v>
      </c>
      <c r="B772" t="s">
        <v>49</v>
      </c>
      <c r="C772" t="s">
        <v>50</v>
      </c>
      <c r="D772">
        <v>440548.59669999999</v>
      </c>
      <c r="E772">
        <v>1827778.5257000001</v>
      </c>
      <c r="F772">
        <v>30.129000000000001</v>
      </c>
      <c r="G772" t="s">
        <v>2779</v>
      </c>
      <c r="H772" t="s">
        <v>52</v>
      </c>
      <c r="I772">
        <v>30.129000000000001</v>
      </c>
      <c r="J772" t="s">
        <v>53</v>
      </c>
      <c r="K772">
        <v>0</v>
      </c>
      <c r="L772" t="s">
        <v>200</v>
      </c>
      <c r="M772" t="s">
        <v>2780</v>
      </c>
      <c r="N772">
        <v>-4.7199999999999999E-2</v>
      </c>
      <c r="O772" t="s">
        <v>56</v>
      </c>
      <c r="P772" t="s">
        <v>57</v>
      </c>
      <c r="Q772" t="s">
        <v>58</v>
      </c>
      <c r="R772" t="s">
        <v>59</v>
      </c>
      <c r="S772" t="s">
        <v>2781</v>
      </c>
      <c r="T772" t="s">
        <v>61</v>
      </c>
      <c r="U772">
        <v>1.6143000000000001</v>
      </c>
      <c r="V772" t="s">
        <v>62</v>
      </c>
      <c r="W772">
        <v>0</v>
      </c>
      <c r="X772">
        <v>28.515000000000001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66</v>
      </c>
      <c r="AG772" t="s">
        <v>65</v>
      </c>
      <c r="AH772" t="s">
        <v>65</v>
      </c>
      <c r="AI772" t="s">
        <v>67</v>
      </c>
      <c r="AK772" t="s">
        <v>68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49</v>
      </c>
      <c r="AT772" t="s">
        <v>71</v>
      </c>
      <c r="AU772">
        <v>0</v>
      </c>
      <c r="AV772">
        <v>0</v>
      </c>
    </row>
    <row r="773" spans="1:48" x14ac:dyDescent="0.25">
      <c r="A773" t="s">
        <v>2782</v>
      </c>
      <c r="B773" t="s">
        <v>49</v>
      </c>
      <c r="C773" t="s">
        <v>50</v>
      </c>
      <c r="D773">
        <v>440566.29139999999</v>
      </c>
      <c r="E773">
        <v>1827778.5257000001</v>
      </c>
      <c r="F773">
        <v>30.166</v>
      </c>
      <c r="G773" t="s">
        <v>2783</v>
      </c>
      <c r="H773" t="s">
        <v>52</v>
      </c>
      <c r="I773">
        <v>30.166</v>
      </c>
      <c r="J773" t="s">
        <v>53</v>
      </c>
      <c r="K773">
        <v>0</v>
      </c>
      <c r="L773" t="s">
        <v>200</v>
      </c>
      <c r="M773" t="s">
        <v>2784</v>
      </c>
      <c r="N773">
        <v>-5.3199999999999997E-2</v>
      </c>
      <c r="O773" t="s">
        <v>56</v>
      </c>
      <c r="P773" t="s">
        <v>57</v>
      </c>
      <c r="Q773" t="s">
        <v>58</v>
      </c>
      <c r="R773" t="s">
        <v>59</v>
      </c>
      <c r="S773" t="s">
        <v>2785</v>
      </c>
      <c r="T773" t="s">
        <v>61</v>
      </c>
      <c r="U773">
        <v>1.6694</v>
      </c>
      <c r="V773" t="s">
        <v>62</v>
      </c>
      <c r="W773">
        <v>0</v>
      </c>
      <c r="X773">
        <v>28.497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66</v>
      </c>
      <c r="AG773" t="s">
        <v>65</v>
      </c>
      <c r="AH773" t="s">
        <v>65</v>
      </c>
      <c r="AI773" t="s">
        <v>67</v>
      </c>
      <c r="AK773" t="s">
        <v>68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49</v>
      </c>
      <c r="AT773" t="s">
        <v>71</v>
      </c>
      <c r="AU773">
        <v>0</v>
      </c>
      <c r="AV773">
        <v>0</v>
      </c>
    </row>
    <row r="774" spans="1:48" x14ac:dyDescent="0.25">
      <c r="A774" t="s">
        <v>2786</v>
      </c>
      <c r="B774" t="s">
        <v>73</v>
      </c>
      <c r="C774" t="s">
        <v>50</v>
      </c>
      <c r="D774">
        <v>440585.72509999998</v>
      </c>
      <c r="E774">
        <v>1827822.6984000001</v>
      </c>
      <c r="F774">
        <v>30.114000000000001</v>
      </c>
      <c r="G774" t="s">
        <v>2787</v>
      </c>
      <c r="H774" t="s">
        <v>52</v>
      </c>
      <c r="I774">
        <v>30.114000000000001</v>
      </c>
      <c r="J774" t="s">
        <v>53</v>
      </c>
      <c r="K774">
        <v>0</v>
      </c>
      <c r="L774" t="s">
        <v>2481</v>
      </c>
      <c r="M774" t="s">
        <v>529</v>
      </c>
      <c r="N774">
        <v>-0.15</v>
      </c>
      <c r="O774" t="s">
        <v>56</v>
      </c>
      <c r="P774" t="s">
        <v>57</v>
      </c>
      <c r="Q774" t="s">
        <v>59</v>
      </c>
      <c r="R774" t="s">
        <v>58</v>
      </c>
      <c r="S774" t="s">
        <v>2788</v>
      </c>
      <c r="T774" t="s">
        <v>61</v>
      </c>
      <c r="U774">
        <v>1.6183000000000001</v>
      </c>
      <c r="V774" t="s">
        <v>62</v>
      </c>
      <c r="W774">
        <v>0</v>
      </c>
      <c r="X774">
        <v>28.495999999999999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68</v>
      </c>
      <c r="AG774" t="s">
        <v>65</v>
      </c>
      <c r="AH774" t="s">
        <v>65</v>
      </c>
      <c r="AI774" t="s">
        <v>67</v>
      </c>
      <c r="AK774" t="s">
        <v>66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73</v>
      </c>
      <c r="AT774" t="s">
        <v>71</v>
      </c>
      <c r="AU774">
        <v>0</v>
      </c>
      <c r="AV774">
        <v>0</v>
      </c>
    </row>
    <row r="775" spans="1:48" x14ac:dyDescent="0.25">
      <c r="A775" t="s">
        <v>2789</v>
      </c>
      <c r="B775" t="s">
        <v>73</v>
      </c>
      <c r="C775" t="s">
        <v>50</v>
      </c>
      <c r="D775">
        <v>440585.72509999998</v>
      </c>
      <c r="E775">
        <v>1827802.6984000001</v>
      </c>
      <c r="F775">
        <v>30.155999999999999</v>
      </c>
      <c r="G775" t="s">
        <v>2790</v>
      </c>
      <c r="H775" t="s">
        <v>52</v>
      </c>
      <c r="I775">
        <v>30.155999999999999</v>
      </c>
      <c r="J775" t="s">
        <v>53</v>
      </c>
      <c r="K775">
        <v>0</v>
      </c>
      <c r="L775" t="s">
        <v>2481</v>
      </c>
      <c r="M775" t="s">
        <v>525</v>
      </c>
      <c r="N775">
        <v>-0.15</v>
      </c>
      <c r="O775" t="s">
        <v>56</v>
      </c>
      <c r="P775" t="s">
        <v>57</v>
      </c>
      <c r="Q775" t="s">
        <v>59</v>
      </c>
      <c r="R775" t="s">
        <v>58</v>
      </c>
      <c r="S775" t="s">
        <v>2791</v>
      </c>
      <c r="T775" t="s">
        <v>61</v>
      </c>
      <c r="U775">
        <v>1.6822999999999999</v>
      </c>
      <c r="V775" t="s">
        <v>62</v>
      </c>
      <c r="W775">
        <v>0</v>
      </c>
      <c r="X775">
        <v>28.474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68</v>
      </c>
      <c r="AG775" t="s">
        <v>65</v>
      </c>
      <c r="AH775" t="s">
        <v>65</v>
      </c>
      <c r="AI775" t="s">
        <v>67</v>
      </c>
      <c r="AK775" t="s">
        <v>66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73</v>
      </c>
      <c r="AT775" t="s">
        <v>71</v>
      </c>
      <c r="AU775">
        <v>0</v>
      </c>
      <c r="AV775">
        <v>0</v>
      </c>
    </row>
    <row r="776" spans="1:48" x14ac:dyDescent="0.25">
      <c r="A776" t="s">
        <v>2792</v>
      </c>
      <c r="B776" t="s">
        <v>73</v>
      </c>
      <c r="C776" t="s">
        <v>50</v>
      </c>
      <c r="D776">
        <v>440585.72509999998</v>
      </c>
      <c r="E776">
        <v>1827790.5422</v>
      </c>
      <c r="F776">
        <v>30.181999999999999</v>
      </c>
      <c r="G776" t="s">
        <v>2793</v>
      </c>
      <c r="H776" t="s">
        <v>52</v>
      </c>
      <c r="I776">
        <v>30.181999999999999</v>
      </c>
      <c r="J776" t="s">
        <v>53</v>
      </c>
      <c r="K776">
        <v>0</v>
      </c>
      <c r="L776" t="s">
        <v>2481</v>
      </c>
      <c r="M776" t="s">
        <v>2794</v>
      </c>
      <c r="N776">
        <v>-0.15</v>
      </c>
      <c r="O776" t="s">
        <v>56</v>
      </c>
      <c r="P776" t="s">
        <v>57</v>
      </c>
      <c r="Q776" t="s">
        <v>59</v>
      </c>
      <c r="R776" t="s">
        <v>58</v>
      </c>
      <c r="S776" t="s">
        <v>2795</v>
      </c>
      <c r="T776" t="s">
        <v>61</v>
      </c>
      <c r="U776">
        <v>1.7199</v>
      </c>
      <c r="V776" t="s">
        <v>62</v>
      </c>
      <c r="W776">
        <v>0</v>
      </c>
      <c r="X776">
        <v>28.462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68</v>
      </c>
      <c r="AG776" t="s">
        <v>65</v>
      </c>
      <c r="AH776" t="s">
        <v>65</v>
      </c>
      <c r="AI776" t="s">
        <v>67</v>
      </c>
      <c r="AK776" t="s">
        <v>66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73</v>
      </c>
      <c r="AT776" t="s">
        <v>71</v>
      </c>
      <c r="AU776">
        <v>0</v>
      </c>
      <c r="AV776">
        <v>0</v>
      </c>
    </row>
    <row r="777" spans="1:48" x14ac:dyDescent="0.25">
      <c r="A777" t="s">
        <v>2796</v>
      </c>
      <c r="B777" t="s">
        <v>49</v>
      </c>
      <c r="C777" t="s">
        <v>50</v>
      </c>
      <c r="D777">
        <v>440585.57510000002</v>
      </c>
      <c r="E777">
        <v>1827778.5257000001</v>
      </c>
      <c r="F777">
        <v>30.035</v>
      </c>
      <c r="G777" t="s">
        <v>2797</v>
      </c>
      <c r="H777" t="s">
        <v>52</v>
      </c>
      <c r="I777">
        <v>30.035</v>
      </c>
      <c r="J777" t="s">
        <v>53</v>
      </c>
      <c r="K777">
        <v>0</v>
      </c>
      <c r="L777" t="s">
        <v>200</v>
      </c>
      <c r="M777" t="s">
        <v>2477</v>
      </c>
      <c r="N777">
        <v>-5.9799999999999999E-2</v>
      </c>
      <c r="O777" t="s">
        <v>56</v>
      </c>
      <c r="P777" t="s">
        <v>57</v>
      </c>
      <c r="Q777" t="s">
        <v>58</v>
      </c>
      <c r="R777" t="s">
        <v>59</v>
      </c>
      <c r="S777" t="s">
        <v>2798</v>
      </c>
      <c r="T777" t="s">
        <v>61</v>
      </c>
      <c r="U777">
        <v>1.7351000000000001</v>
      </c>
      <c r="V777" t="s">
        <v>62</v>
      </c>
      <c r="W777">
        <v>0</v>
      </c>
      <c r="X777">
        <v>28.3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66</v>
      </c>
      <c r="AG777" t="s">
        <v>65</v>
      </c>
      <c r="AH777" t="s">
        <v>65</v>
      </c>
      <c r="AI777" t="s">
        <v>67</v>
      </c>
      <c r="AK777" t="s">
        <v>68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49</v>
      </c>
      <c r="AT777" t="s">
        <v>71</v>
      </c>
      <c r="AU777">
        <v>0</v>
      </c>
      <c r="AV777">
        <v>0</v>
      </c>
    </row>
    <row r="778" spans="1:48" x14ac:dyDescent="0.25">
      <c r="A778" t="s">
        <v>2799</v>
      </c>
      <c r="B778" t="s">
        <v>73</v>
      </c>
      <c r="C778" t="s">
        <v>50</v>
      </c>
      <c r="D778">
        <v>440595.1251</v>
      </c>
      <c r="E778">
        <v>1827822.6984000001</v>
      </c>
      <c r="F778">
        <v>30.114000000000001</v>
      </c>
      <c r="G778" t="s">
        <v>2800</v>
      </c>
      <c r="H778" t="s">
        <v>52</v>
      </c>
      <c r="I778">
        <v>30.114000000000001</v>
      </c>
      <c r="J778" t="s">
        <v>53</v>
      </c>
      <c r="K778">
        <v>0</v>
      </c>
      <c r="L778" t="s">
        <v>251</v>
      </c>
      <c r="M778" t="s">
        <v>529</v>
      </c>
      <c r="N778">
        <v>-0.125</v>
      </c>
      <c r="O778" t="s">
        <v>56</v>
      </c>
      <c r="P778" t="s">
        <v>57</v>
      </c>
      <c r="Q778" t="s">
        <v>59</v>
      </c>
      <c r="R778" t="s">
        <v>58</v>
      </c>
      <c r="S778" t="s">
        <v>2801</v>
      </c>
      <c r="T778" t="s">
        <v>61</v>
      </c>
      <c r="U778">
        <v>1.6653</v>
      </c>
      <c r="V778" t="s">
        <v>62</v>
      </c>
      <c r="W778">
        <v>0</v>
      </c>
      <c r="X778">
        <v>28.449000000000002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68</v>
      </c>
      <c r="AG778" t="s">
        <v>65</v>
      </c>
      <c r="AH778" t="s">
        <v>65</v>
      </c>
      <c r="AI778" t="s">
        <v>67</v>
      </c>
      <c r="AK778" t="s">
        <v>66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73</v>
      </c>
      <c r="AT778" t="s">
        <v>71</v>
      </c>
      <c r="AU778">
        <v>0</v>
      </c>
      <c r="AV778">
        <v>0</v>
      </c>
    </row>
    <row r="779" spans="1:48" x14ac:dyDescent="0.25">
      <c r="A779" t="s">
        <v>2802</v>
      </c>
      <c r="B779" t="s">
        <v>73</v>
      </c>
      <c r="C779" t="s">
        <v>50</v>
      </c>
      <c r="D779">
        <v>440595.1251</v>
      </c>
      <c r="E779">
        <v>1827802.6984000001</v>
      </c>
      <c r="F779">
        <v>30.155999999999999</v>
      </c>
      <c r="G779" t="s">
        <v>2803</v>
      </c>
      <c r="H779" t="s">
        <v>52</v>
      </c>
      <c r="I779">
        <v>30.155999999999999</v>
      </c>
      <c r="J779" t="s">
        <v>53</v>
      </c>
      <c r="K779">
        <v>0</v>
      </c>
      <c r="L779" t="s">
        <v>251</v>
      </c>
      <c r="M779" s="1" t="s">
        <v>525</v>
      </c>
      <c r="N779">
        <v>-0.125</v>
      </c>
      <c r="O779" t="s">
        <v>56</v>
      </c>
      <c r="P779" t="s">
        <v>57</v>
      </c>
      <c r="Q779" t="s">
        <v>59</v>
      </c>
      <c r="R779" t="s">
        <v>58</v>
      </c>
      <c r="S779" t="s">
        <v>2804</v>
      </c>
      <c r="T779" t="s">
        <v>61</v>
      </c>
      <c r="U779">
        <v>1.7613000000000001</v>
      </c>
      <c r="V779" t="s">
        <v>62</v>
      </c>
      <c r="W779">
        <v>0</v>
      </c>
      <c r="X779">
        <v>28.395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68</v>
      </c>
      <c r="AG779" t="s">
        <v>65</v>
      </c>
      <c r="AH779" t="s">
        <v>65</v>
      </c>
      <c r="AI779" t="s">
        <v>67</v>
      </c>
      <c r="AK779" t="s">
        <v>66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73</v>
      </c>
      <c r="AT779" t="s">
        <v>71</v>
      </c>
      <c r="AU779">
        <v>0</v>
      </c>
      <c r="AV779">
        <v>0</v>
      </c>
    </row>
    <row r="780" spans="1:48" x14ac:dyDescent="0.25">
      <c r="A780" t="s">
        <v>2805</v>
      </c>
      <c r="B780" t="s">
        <v>73</v>
      </c>
      <c r="C780" t="s">
        <v>50</v>
      </c>
      <c r="D780">
        <v>440595.1251</v>
      </c>
      <c r="E780">
        <v>1827791.9018000001</v>
      </c>
      <c r="F780">
        <v>30.178999999999998</v>
      </c>
      <c r="G780" t="s">
        <v>2806</v>
      </c>
      <c r="H780" t="s">
        <v>52</v>
      </c>
      <c r="I780">
        <v>30.178999999999998</v>
      </c>
      <c r="J780" t="s">
        <v>53</v>
      </c>
      <c r="K780">
        <v>0</v>
      </c>
      <c r="L780" t="s">
        <v>251</v>
      </c>
      <c r="M780" s="1" t="s">
        <v>2807</v>
      </c>
      <c r="N780">
        <v>-0.125</v>
      </c>
      <c r="O780" t="s">
        <v>56</v>
      </c>
      <c r="P780" t="s">
        <v>57</v>
      </c>
      <c r="Q780" t="s">
        <v>59</v>
      </c>
      <c r="R780" t="s">
        <v>58</v>
      </c>
      <c r="S780" t="s">
        <v>2808</v>
      </c>
      <c r="T780" t="s">
        <v>61</v>
      </c>
      <c r="U780">
        <v>1.8080000000000001</v>
      </c>
      <c r="V780" t="s">
        <v>62</v>
      </c>
      <c r="W780">
        <v>0</v>
      </c>
      <c r="X780">
        <v>28.370999999999999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68</v>
      </c>
      <c r="AG780" t="s">
        <v>65</v>
      </c>
      <c r="AH780" t="s">
        <v>65</v>
      </c>
      <c r="AI780" t="s">
        <v>67</v>
      </c>
      <c r="AK780" t="s">
        <v>66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73</v>
      </c>
      <c r="AT780" t="s">
        <v>71</v>
      </c>
      <c r="AU780">
        <v>0</v>
      </c>
      <c r="AV780">
        <v>0</v>
      </c>
    </row>
    <row r="781" spans="1:48" x14ac:dyDescent="0.25">
      <c r="A781" t="s">
        <v>2809</v>
      </c>
      <c r="B781" t="s">
        <v>49</v>
      </c>
      <c r="C781" t="s">
        <v>50</v>
      </c>
      <c r="D781">
        <v>440595.19549999997</v>
      </c>
      <c r="E781">
        <v>1827778.5257000001</v>
      </c>
      <c r="F781">
        <v>30.187000000000001</v>
      </c>
      <c r="G781" t="s">
        <v>2810</v>
      </c>
      <c r="H781" t="s">
        <v>52</v>
      </c>
      <c r="I781">
        <v>30.187000000000001</v>
      </c>
      <c r="J781" t="s">
        <v>53</v>
      </c>
      <c r="K781">
        <v>0</v>
      </c>
      <c r="L781" t="s">
        <v>200</v>
      </c>
      <c r="M781">
        <f>0+4.77</f>
        <v>4.7699999999999996</v>
      </c>
      <c r="N781">
        <v>-6.3100000000000003E-2</v>
      </c>
      <c r="O781" t="s">
        <v>56</v>
      </c>
      <c r="P781" t="s">
        <v>57</v>
      </c>
      <c r="Q781" t="s">
        <v>58</v>
      </c>
      <c r="R781" t="s">
        <v>59</v>
      </c>
      <c r="S781" t="s">
        <v>2811</v>
      </c>
      <c r="T781" t="s">
        <v>61</v>
      </c>
      <c r="U781">
        <v>1.9938</v>
      </c>
      <c r="V781" t="s">
        <v>62</v>
      </c>
      <c r="W781">
        <v>0</v>
      </c>
      <c r="X781">
        <v>28.193000000000001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66</v>
      </c>
      <c r="AG781" t="s">
        <v>65</v>
      </c>
      <c r="AH781" t="s">
        <v>65</v>
      </c>
      <c r="AI781" t="s">
        <v>67</v>
      </c>
      <c r="AK781" t="s">
        <v>68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49</v>
      </c>
      <c r="AT781" t="s">
        <v>71</v>
      </c>
      <c r="AU781">
        <v>0</v>
      </c>
      <c r="AV781">
        <v>0</v>
      </c>
    </row>
    <row r="782" spans="1:48" x14ac:dyDescent="0.25">
      <c r="A782" t="s">
        <v>2812</v>
      </c>
      <c r="B782" t="s">
        <v>73</v>
      </c>
      <c r="C782" t="s">
        <v>50</v>
      </c>
      <c r="D782">
        <v>440595.1251</v>
      </c>
      <c r="E782">
        <v>1827638.2394999999</v>
      </c>
      <c r="F782">
        <v>29.469000000000001</v>
      </c>
      <c r="G782" t="s">
        <v>2813</v>
      </c>
      <c r="H782" t="s">
        <v>52</v>
      </c>
      <c r="I782">
        <v>29.469000000000001</v>
      </c>
      <c r="J782" t="s">
        <v>53</v>
      </c>
      <c r="K782">
        <v>0</v>
      </c>
      <c r="L782" t="s">
        <v>797</v>
      </c>
      <c r="M782" t="s">
        <v>444</v>
      </c>
      <c r="N782">
        <v>0.18310000000000001</v>
      </c>
      <c r="O782" t="s">
        <v>56</v>
      </c>
      <c r="P782" t="s">
        <v>57</v>
      </c>
      <c r="Q782" t="s">
        <v>59</v>
      </c>
      <c r="R782" t="s">
        <v>58</v>
      </c>
      <c r="S782" t="s">
        <v>2814</v>
      </c>
      <c r="T782" t="s">
        <v>61</v>
      </c>
      <c r="U782">
        <v>1.5643</v>
      </c>
      <c r="V782" t="s">
        <v>62</v>
      </c>
      <c r="W782">
        <v>0</v>
      </c>
      <c r="X782">
        <v>27.905000000000001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68</v>
      </c>
      <c r="AG782" t="s">
        <v>65</v>
      </c>
      <c r="AH782" t="s">
        <v>65</v>
      </c>
      <c r="AI782" t="s">
        <v>67</v>
      </c>
      <c r="AK782" t="s">
        <v>66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73</v>
      </c>
      <c r="AT782" t="s">
        <v>71</v>
      </c>
      <c r="AU782">
        <v>0</v>
      </c>
      <c r="AV782">
        <v>0</v>
      </c>
    </row>
    <row r="783" spans="1:48" x14ac:dyDescent="0.25">
      <c r="A783" t="s">
        <v>2815</v>
      </c>
      <c r="B783" t="s">
        <v>73</v>
      </c>
      <c r="C783" t="s">
        <v>50</v>
      </c>
      <c r="D783">
        <v>440595.1251</v>
      </c>
      <c r="E783">
        <v>1827658.2394999999</v>
      </c>
      <c r="F783">
        <v>29.52</v>
      </c>
      <c r="G783" t="s">
        <v>2816</v>
      </c>
      <c r="H783" t="s">
        <v>52</v>
      </c>
      <c r="I783">
        <v>29.52</v>
      </c>
      <c r="J783" t="s">
        <v>53</v>
      </c>
      <c r="K783">
        <v>0</v>
      </c>
      <c r="L783" t="s">
        <v>797</v>
      </c>
      <c r="M783" t="s">
        <v>448</v>
      </c>
      <c r="N783">
        <v>0.18310000000000001</v>
      </c>
      <c r="O783" t="s">
        <v>56</v>
      </c>
      <c r="P783" t="s">
        <v>57</v>
      </c>
      <c r="Q783" t="s">
        <v>59</v>
      </c>
      <c r="R783" t="s">
        <v>58</v>
      </c>
      <c r="S783" t="s">
        <v>2817</v>
      </c>
      <c r="T783" t="s">
        <v>61</v>
      </c>
      <c r="U783">
        <v>1.454</v>
      </c>
      <c r="V783" t="s">
        <v>62</v>
      </c>
      <c r="W783">
        <v>0</v>
      </c>
      <c r="X783">
        <v>28.065999999999999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68</v>
      </c>
      <c r="AG783" t="s">
        <v>65</v>
      </c>
      <c r="AH783" t="s">
        <v>65</v>
      </c>
      <c r="AI783" t="s">
        <v>67</v>
      </c>
      <c r="AK783" t="s">
        <v>66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73</v>
      </c>
      <c r="AT783" t="s">
        <v>71</v>
      </c>
      <c r="AU783">
        <v>0</v>
      </c>
      <c r="AV783">
        <v>0</v>
      </c>
    </row>
    <row r="784" spans="1:48" x14ac:dyDescent="0.25">
      <c r="A784" t="s">
        <v>2818</v>
      </c>
      <c r="B784" t="s">
        <v>73</v>
      </c>
      <c r="C784" t="s">
        <v>50</v>
      </c>
      <c r="D784">
        <v>440595.1251</v>
      </c>
      <c r="E784">
        <v>1827678.2394999999</v>
      </c>
      <c r="F784">
        <v>29.599</v>
      </c>
      <c r="G784" t="s">
        <v>2819</v>
      </c>
      <c r="H784" t="s">
        <v>52</v>
      </c>
      <c r="I784">
        <v>29.599</v>
      </c>
      <c r="J784" t="s">
        <v>53</v>
      </c>
      <c r="K784">
        <v>0</v>
      </c>
      <c r="L784" t="s">
        <v>797</v>
      </c>
      <c r="M784" t="s">
        <v>452</v>
      </c>
      <c r="N784">
        <v>0.18310000000000001</v>
      </c>
      <c r="O784" t="s">
        <v>56</v>
      </c>
      <c r="P784" t="s">
        <v>57</v>
      </c>
      <c r="Q784" t="s">
        <v>59</v>
      </c>
      <c r="R784" t="s">
        <v>58</v>
      </c>
      <c r="S784" t="s">
        <v>2820</v>
      </c>
      <c r="T784" t="s">
        <v>61</v>
      </c>
      <c r="U784">
        <v>1.4733000000000001</v>
      </c>
      <c r="V784" t="s">
        <v>62</v>
      </c>
      <c r="W784">
        <v>0</v>
      </c>
      <c r="X784">
        <v>28.126000000000001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68</v>
      </c>
      <c r="AG784" t="s">
        <v>65</v>
      </c>
      <c r="AH784" t="s">
        <v>65</v>
      </c>
      <c r="AI784" t="s">
        <v>67</v>
      </c>
      <c r="AK784" t="s">
        <v>66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73</v>
      </c>
      <c r="AT784" t="s">
        <v>71</v>
      </c>
      <c r="AU784">
        <v>0</v>
      </c>
      <c r="AV784">
        <v>0</v>
      </c>
    </row>
    <row r="785" spans="1:48" x14ac:dyDescent="0.25">
      <c r="A785" t="s">
        <v>2821</v>
      </c>
      <c r="B785" t="s">
        <v>73</v>
      </c>
      <c r="C785" t="s">
        <v>50</v>
      </c>
      <c r="D785">
        <v>440585.72509999998</v>
      </c>
      <c r="E785">
        <v>1827639.1794</v>
      </c>
      <c r="F785">
        <v>29.472000000000001</v>
      </c>
      <c r="G785" t="s">
        <v>2822</v>
      </c>
      <c r="H785" t="s">
        <v>52</v>
      </c>
      <c r="I785">
        <v>29.472000000000001</v>
      </c>
      <c r="J785" t="s">
        <v>53</v>
      </c>
      <c r="K785">
        <v>0</v>
      </c>
      <c r="L785" t="s">
        <v>357</v>
      </c>
      <c r="M785" t="s">
        <v>2823</v>
      </c>
      <c r="N785">
        <v>-0.20150000000000001</v>
      </c>
      <c r="O785" t="s">
        <v>56</v>
      </c>
      <c r="P785" t="s">
        <v>57</v>
      </c>
      <c r="Q785" t="s">
        <v>59</v>
      </c>
      <c r="R785" t="s">
        <v>58</v>
      </c>
      <c r="S785" t="s">
        <v>2824</v>
      </c>
      <c r="T785" t="s">
        <v>61</v>
      </c>
      <c r="U785">
        <v>1.5617000000000001</v>
      </c>
      <c r="V785" t="s">
        <v>62</v>
      </c>
      <c r="W785">
        <v>0</v>
      </c>
      <c r="X785">
        <v>27.91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68</v>
      </c>
      <c r="AG785" t="s">
        <v>65</v>
      </c>
      <c r="AH785" t="s">
        <v>65</v>
      </c>
      <c r="AI785" t="s">
        <v>67</v>
      </c>
      <c r="AK785" t="s">
        <v>66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73</v>
      </c>
      <c r="AT785" t="s">
        <v>71</v>
      </c>
      <c r="AU785">
        <v>0</v>
      </c>
      <c r="AV785">
        <v>0</v>
      </c>
    </row>
    <row r="786" spans="1:48" x14ac:dyDescent="0.25">
      <c r="A786" t="s">
        <v>2825</v>
      </c>
      <c r="B786" t="s">
        <v>73</v>
      </c>
      <c r="C786" t="s">
        <v>50</v>
      </c>
      <c r="D786">
        <v>440585.72509999998</v>
      </c>
      <c r="E786">
        <v>1827658.2394999999</v>
      </c>
      <c r="F786">
        <v>29.52</v>
      </c>
      <c r="G786" t="s">
        <v>2826</v>
      </c>
      <c r="H786" t="s">
        <v>52</v>
      </c>
      <c r="I786">
        <v>29.52</v>
      </c>
      <c r="J786" t="s">
        <v>53</v>
      </c>
      <c r="K786">
        <v>0</v>
      </c>
      <c r="L786" t="s">
        <v>357</v>
      </c>
      <c r="M786" t="s">
        <v>448</v>
      </c>
      <c r="N786">
        <v>-0.21199999999999999</v>
      </c>
      <c r="O786" t="s">
        <v>56</v>
      </c>
      <c r="P786" t="s">
        <v>57</v>
      </c>
      <c r="Q786" t="s">
        <v>59</v>
      </c>
      <c r="R786" t="s">
        <v>58</v>
      </c>
      <c r="S786" t="s">
        <v>2817</v>
      </c>
      <c r="T786" t="s">
        <v>61</v>
      </c>
      <c r="U786">
        <v>1.454</v>
      </c>
      <c r="V786" t="s">
        <v>62</v>
      </c>
      <c r="W786">
        <v>0</v>
      </c>
      <c r="X786">
        <v>28.065999999999999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68</v>
      </c>
      <c r="AG786" t="s">
        <v>65</v>
      </c>
      <c r="AH786" t="s">
        <v>65</v>
      </c>
      <c r="AI786" t="s">
        <v>67</v>
      </c>
      <c r="AK786" t="s">
        <v>66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73</v>
      </c>
      <c r="AT786" t="s">
        <v>71</v>
      </c>
      <c r="AU786">
        <v>0</v>
      </c>
      <c r="AV786">
        <v>0</v>
      </c>
    </row>
    <row r="787" spans="1:48" x14ac:dyDescent="0.25">
      <c r="A787" t="s">
        <v>2827</v>
      </c>
      <c r="B787" t="s">
        <v>73</v>
      </c>
      <c r="C787" t="s">
        <v>50</v>
      </c>
      <c r="D787">
        <v>440585.72509999998</v>
      </c>
      <c r="E787">
        <v>1827678.2394999999</v>
      </c>
      <c r="F787">
        <v>29.599</v>
      </c>
      <c r="G787" t="s">
        <v>2828</v>
      </c>
      <c r="H787" t="s">
        <v>52</v>
      </c>
      <c r="I787">
        <v>29.599</v>
      </c>
      <c r="J787" t="s">
        <v>53</v>
      </c>
      <c r="K787">
        <v>0</v>
      </c>
      <c r="L787" t="s">
        <v>357</v>
      </c>
      <c r="M787" t="s">
        <v>452</v>
      </c>
      <c r="N787">
        <v>-0.223</v>
      </c>
      <c r="O787" t="s">
        <v>56</v>
      </c>
      <c r="P787" t="s">
        <v>57</v>
      </c>
      <c r="Q787" t="s">
        <v>59</v>
      </c>
      <c r="R787" t="s">
        <v>58</v>
      </c>
      <c r="S787" t="s">
        <v>2829</v>
      </c>
      <c r="T787" t="s">
        <v>61</v>
      </c>
      <c r="U787">
        <v>1.4873000000000001</v>
      </c>
      <c r="V787" t="s">
        <v>62</v>
      </c>
      <c r="W787">
        <v>0</v>
      </c>
      <c r="X787">
        <v>28.111999999999998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68</v>
      </c>
      <c r="AG787" t="s">
        <v>65</v>
      </c>
      <c r="AH787" t="s">
        <v>65</v>
      </c>
      <c r="AI787" t="s">
        <v>67</v>
      </c>
      <c r="AK787" t="s">
        <v>66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73</v>
      </c>
      <c r="AT787" t="s">
        <v>71</v>
      </c>
      <c r="AU787">
        <v>0</v>
      </c>
      <c r="AV787">
        <v>0</v>
      </c>
    </row>
    <row r="788" spans="1:48" x14ac:dyDescent="0.25">
      <c r="A788" t="s">
        <v>2830</v>
      </c>
      <c r="B788" t="s">
        <v>73</v>
      </c>
      <c r="C788" t="s">
        <v>50</v>
      </c>
      <c r="D788">
        <v>440529.52510000003</v>
      </c>
      <c r="E788">
        <v>1827638.1658000001</v>
      </c>
      <c r="F788">
        <v>29.963000000000001</v>
      </c>
      <c r="G788" t="s">
        <v>2831</v>
      </c>
      <c r="H788" t="s">
        <v>52</v>
      </c>
      <c r="I788">
        <v>29.963000000000001</v>
      </c>
      <c r="J788" t="s">
        <v>53</v>
      </c>
      <c r="K788">
        <v>0</v>
      </c>
      <c r="L788" t="s">
        <v>186</v>
      </c>
      <c r="M788" t="s">
        <v>2832</v>
      </c>
      <c r="N788">
        <v>0.15</v>
      </c>
      <c r="O788" t="s">
        <v>56</v>
      </c>
      <c r="P788" t="s">
        <v>57</v>
      </c>
      <c r="Q788" t="s">
        <v>59</v>
      </c>
      <c r="R788" t="s">
        <v>58</v>
      </c>
      <c r="S788" t="s">
        <v>2833</v>
      </c>
      <c r="T788" t="s">
        <v>61</v>
      </c>
      <c r="U788">
        <v>1.5621</v>
      </c>
      <c r="V788" t="s">
        <v>62</v>
      </c>
      <c r="W788">
        <v>0</v>
      </c>
      <c r="X788">
        <v>28.401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68</v>
      </c>
      <c r="AG788" t="s">
        <v>65</v>
      </c>
      <c r="AH788" t="s">
        <v>65</v>
      </c>
      <c r="AI788" t="s">
        <v>67</v>
      </c>
      <c r="AK788" t="s">
        <v>66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73</v>
      </c>
      <c r="AT788" t="s">
        <v>71</v>
      </c>
      <c r="AU788">
        <v>0</v>
      </c>
      <c r="AV788">
        <v>0</v>
      </c>
    </row>
    <row r="789" spans="1:48" x14ac:dyDescent="0.25">
      <c r="A789" t="s">
        <v>2834</v>
      </c>
      <c r="B789" t="s">
        <v>73</v>
      </c>
      <c r="C789" t="s">
        <v>50</v>
      </c>
      <c r="D789">
        <v>440529.52510000003</v>
      </c>
      <c r="E789">
        <v>1827658.2394999999</v>
      </c>
      <c r="F789">
        <v>29.922999999999998</v>
      </c>
      <c r="G789" t="s">
        <v>2835</v>
      </c>
      <c r="H789" t="s">
        <v>52</v>
      </c>
      <c r="I789">
        <v>29.922999999999998</v>
      </c>
      <c r="J789" t="s">
        <v>53</v>
      </c>
      <c r="K789">
        <v>0</v>
      </c>
      <c r="L789" t="s">
        <v>186</v>
      </c>
      <c r="M789" s="1" t="s">
        <v>448</v>
      </c>
      <c r="N789">
        <v>0.15</v>
      </c>
      <c r="O789" t="s">
        <v>56</v>
      </c>
      <c r="P789" t="s">
        <v>57</v>
      </c>
      <c r="Q789" t="s">
        <v>59</v>
      </c>
      <c r="R789" t="s">
        <v>58</v>
      </c>
      <c r="S789" t="s">
        <v>2836</v>
      </c>
      <c r="T789" t="s">
        <v>61</v>
      </c>
      <c r="U789">
        <v>1.542</v>
      </c>
      <c r="V789" t="s">
        <v>62</v>
      </c>
      <c r="W789">
        <v>0</v>
      </c>
      <c r="X789">
        <v>28.381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68</v>
      </c>
      <c r="AG789" t="s">
        <v>65</v>
      </c>
      <c r="AH789" t="s">
        <v>65</v>
      </c>
      <c r="AI789" t="s">
        <v>67</v>
      </c>
      <c r="AK789" t="s">
        <v>66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73</v>
      </c>
      <c r="AT789" t="s">
        <v>71</v>
      </c>
      <c r="AU789">
        <v>0</v>
      </c>
      <c r="AV789">
        <v>0</v>
      </c>
    </row>
    <row r="790" spans="1:48" x14ac:dyDescent="0.25">
      <c r="A790" t="s">
        <v>2837</v>
      </c>
      <c r="B790" t="s">
        <v>73</v>
      </c>
      <c r="C790" t="s">
        <v>50</v>
      </c>
      <c r="D790">
        <v>440529.52510000003</v>
      </c>
      <c r="E790">
        <v>1827678.2394999999</v>
      </c>
      <c r="F790">
        <v>29.882999999999999</v>
      </c>
      <c r="G790" t="s">
        <v>2838</v>
      </c>
      <c r="H790" t="s">
        <v>52</v>
      </c>
      <c r="I790">
        <v>29.882999999999999</v>
      </c>
      <c r="J790" t="s">
        <v>53</v>
      </c>
      <c r="K790">
        <v>0</v>
      </c>
      <c r="L790" t="s">
        <v>186</v>
      </c>
      <c r="M790" s="1" t="s">
        <v>452</v>
      </c>
      <c r="N790">
        <v>0.15</v>
      </c>
      <c r="O790" t="s">
        <v>56</v>
      </c>
      <c r="P790" t="s">
        <v>57</v>
      </c>
      <c r="Q790" t="s">
        <v>59</v>
      </c>
      <c r="R790" t="s">
        <v>58</v>
      </c>
      <c r="S790" t="s">
        <v>2839</v>
      </c>
      <c r="T790" t="s">
        <v>61</v>
      </c>
      <c r="U790">
        <v>1.61</v>
      </c>
      <c r="V790" t="s">
        <v>62</v>
      </c>
      <c r="W790">
        <v>0</v>
      </c>
      <c r="X790">
        <v>28.273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68</v>
      </c>
      <c r="AG790" t="s">
        <v>65</v>
      </c>
      <c r="AH790" t="s">
        <v>65</v>
      </c>
      <c r="AI790" t="s">
        <v>67</v>
      </c>
      <c r="AK790" t="s">
        <v>66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73</v>
      </c>
      <c r="AT790" t="s">
        <v>71</v>
      </c>
      <c r="AU790">
        <v>0</v>
      </c>
      <c r="AV790">
        <v>0</v>
      </c>
    </row>
    <row r="791" spans="1:48" x14ac:dyDescent="0.25">
      <c r="A791" t="s">
        <v>2840</v>
      </c>
      <c r="B791" t="s">
        <v>73</v>
      </c>
      <c r="C791" t="s">
        <v>50</v>
      </c>
      <c r="D791">
        <v>440520.1251</v>
      </c>
      <c r="E791">
        <v>1827637.8141000001</v>
      </c>
      <c r="F791">
        <v>29.963999999999999</v>
      </c>
      <c r="G791" t="s">
        <v>2841</v>
      </c>
      <c r="H791" t="s">
        <v>52</v>
      </c>
      <c r="I791">
        <v>29.963999999999999</v>
      </c>
      <c r="J791" t="s">
        <v>53</v>
      </c>
      <c r="K791">
        <v>0</v>
      </c>
      <c r="L791" t="s">
        <v>191</v>
      </c>
      <c r="M791" t="s">
        <v>2842</v>
      </c>
      <c r="N791">
        <v>-0.22600000000000001</v>
      </c>
      <c r="O791" t="s">
        <v>56</v>
      </c>
      <c r="P791" t="s">
        <v>57</v>
      </c>
      <c r="Q791" t="s">
        <v>59</v>
      </c>
      <c r="R791" t="s">
        <v>58</v>
      </c>
      <c r="S791" t="s">
        <v>2843</v>
      </c>
      <c r="T791" t="s">
        <v>61</v>
      </c>
      <c r="U791">
        <v>1.5678000000000001</v>
      </c>
      <c r="V791" t="s">
        <v>62</v>
      </c>
      <c r="W791">
        <v>0</v>
      </c>
      <c r="X791">
        <v>28.396000000000001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68</v>
      </c>
      <c r="AG791" t="s">
        <v>65</v>
      </c>
      <c r="AH791" t="s">
        <v>65</v>
      </c>
      <c r="AI791" t="s">
        <v>67</v>
      </c>
      <c r="AK791" t="s">
        <v>66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73</v>
      </c>
      <c r="AT791" t="s">
        <v>71</v>
      </c>
      <c r="AU791">
        <v>0</v>
      </c>
      <c r="AV791">
        <v>0</v>
      </c>
    </row>
    <row r="792" spans="1:48" x14ac:dyDescent="0.25">
      <c r="A792" t="s">
        <v>2844</v>
      </c>
      <c r="B792" t="s">
        <v>73</v>
      </c>
      <c r="C792" t="s">
        <v>50</v>
      </c>
      <c r="D792">
        <v>440520.1251</v>
      </c>
      <c r="E792">
        <v>1827658.2394999999</v>
      </c>
      <c r="F792">
        <v>29.922999999999998</v>
      </c>
      <c r="G792" t="s">
        <v>2845</v>
      </c>
      <c r="H792" t="s">
        <v>52</v>
      </c>
      <c r="I792">
        <v>29.922999999999998</v>
      </c>
      <c r="J792" t="s">
        <v>53</v>
      </c>
      <c r="K792">
        <v>0</v>
      </c>
      <c r="L792" t="s">
        <v>191</v>
      </c>
      <c r="M792" t="s">
        <v>448</v>
      </c>
      <c r="N792">
        <v>-0.22600000000000001</v>
      </c>
      <c r="O792" t="s">
        <v>56</v>
      </c>
      <c r="P792" t="s">
        <v>57</v>
      </c>
      <c r="Q792" t="s">
        <v>59</v>
      </c>
      <c r="R792" t="s">
        <v>58</v>
      </c>
      <c r="S792" t="s">
        <v>2846</v>
      </c>
      <c r="T792" t="s">
        <v>61</v>
      </c>
      <c r="U792">
        <v>1.5469999999999999</v>
      </c>
      <c r="V792" t="s">
        <v>62</v>
      </c>
      <c r="W792">
        <v>0</v>
      </c>
      <c r="X792">
        <v>28.376000000000001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68</v>
      </c>
      <c r="AG792" t="s">
        <v>65</v>
      </c>
      <c r="AH792" t="s">
        <v>65</v>
      </c>
      <c r="AI792" t="s">
        <v>67</v>
      </c>
      <c r="AK792" t="s">
        <v>66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73</v>
      </c>
      <c r="AT792" t="s">
        <v>71</v>
      </c>
      <c r="AU792">
        <v>0</v>
      </c>
      <c r="AV792">
        <v>0</v>
      </c>
    </row>
    <row r="793" spans="1:48" x14ac:dyDescent="0.25">
      <c r="A793" t="s">
        <v>2847</v>
      </c>
      <c r="B793" t="s">
        <v>73</v>
      </c>
      <c r="C793" t="s">
        <v>50</v>
      </c>
      <c r="D793">
        <v>440520.1251</v>
      </c>
      <c r="E793">
        <v>1827678.2394999999</v>
      </c>
      <c r="F793">
        <v>29.882999999999999</v>
      </c>
      <c r="G793" t="s">
        <v>2848</v>
      </c>
      <c r="H793" t="s">
        <v>52</v>
      </c>
      <c r="I793">
        <v>29.882999999999999</v>
      </c>
      <c r="J793" t="s">
        <v>53</v>
      </c>
      <c r="K793">
        <v>0</v>
      </c>
      <c r="L793" t="s">
        <v>191</v>
      </c>
      <c r="M793" t="s">
        <v>452</v>
      </c>
      <c r="N793">
        <v>-0.22600000000000001</v>
      </c>
      <c r="O793" t="s">
        <v>56</v>
      </c>
      <c r="P793" t="s">
        <v>57</v>
      </c>
      <c r="Q793" t="s">
        <v>59</v>
      </c>
      <c r="R793" t="s">
        <v>58</v>
      </c>
      <c r="S793" t="s">
        <v>2849</v>
      </c>
      <c r="T793" t="s">
        <v>61</v>
      </c>
      <c r="U793">
        <v>1.581</v>
      </c>
      <c r="V793" t="s">
        <v>62</v>
      </c>
      <c r="W793">
        <v>0</v>
      </c>
      <c r="X793">
        <v>28.302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68</v>
      </c>
      <c r="AG793" t="s">
        <v>65</v>
      </c>
      <c r="AH793" t="s">
        <v>65</v>
      </c>
      <c r="AI793" t="s">
        <v>67</v>
      </c>
      <c r="AK793" t="s">
        <v>66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73</v>
      </c>
      <c r="AT793" t="s">
        <v>71</v>
      </c>
      <c r="AU793">
        <v>0</v>
      </c>
      <c r="AV793">
        <v>0</v>
      </c>
    </row>
    <row r="794" spans="1:48" x14ac:dyDescent="0.25">
      <c r="A794" t="s">
        <v>2850</v>
      </c>
      <c r="B794" t="s">
        <v>73</v>
      </c>
      <c r="C794" t="s">
        <v>50</v>
      </c>
      <c r="D794">
        <v>440463.92509999999</v>
      </c>
      <c r="E794">
        <v>1827638.781</v>
      </c>
      <c r="F794">
        <v>30.114000000000001</v>
      </c>
      <c r="G794" t="s">
        <v>2851</v>
      </c>
      <c r="H794" t="s">
        <v>52</v>
      </c>
      <c r="I794">
        <v>30.114000000000001</v>
      </c>
      <c r="J794" t="s">
        <v>53</v>
      </c>
      <c r="K794">
        <v>0</v>
      </c>
      <c r="L794" t="s">
        <v>171</v>
      </c>
      <c r="M794" t="s">
        <v>2852</v>
      </c>
      <c r="N794">
        <v>0.15</v>
      </c>
      <c r="O794" t="s">
        <v>56</v>
      </c>
      <c r="P794" t="s">
        <v>57</v>
      </c>
      <c r="Q794" t="s">
        <v>59</v>
      </c>
      <c r="R794" t="s">
        <v>58</v>
      </c>
      <c r="S794" t="s">
        <v>2853</v>
      </c>
      <c r="T794" t="s">
        <v>61</v>
      </c>
      <c r="U794">
        <v>1.5689</v>
      </c>
      <c r="V794" t="s">
        <v>62</v>
      </c>
      <c r="W794">
        <v>0</v>
      </c>
      <c r="X794">
        <v>28.545000000000002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68</v>
      </c>
      <c r="AG794" t="s">
        <v>65</v>
      </c>
      <c r="AH794" t="s">
        <v>65</v>
      </c>
      <c r="AI794" t="s">
        <v>67</v>
      </c>
      <c r="AK794" t="s">
        <v>66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73</v>
      </c>
      <c r="AT794" t="s">
        <v>71</v>
      </c>
      <c r="AU794">
        <v>0</v>
      </c>
      <c r="AV794">
        <v>0</v>
      </c>
    </row>
    <row r="795" spans="1:48" x14ac:dyDescent="0.25">
      <c r="A795" t="s">
        <v>2854</v>
      </c>
      <c r="B795" t="s">
        <v>73</v>
      </c>
      <c r="C795" t="s">
        <v>50</v>
      </c>
      <c r="D795">
        <v>440463.92509999999</v>
      </c>
      <c r="E795">
        <v>1827658.2394999999</v>
      </c>
      <c r="F795">
        <v>30.071000000000002</v>
      </c>
      <c r="G795" t="s">
        <v>2855</v>
      </c>
      <c r="H795" t="s">
        <v>52</v>
      </c>
      <c r="I795">
        <v>30.071000000000002</v>
      </c>
      <c r="J795" t="s">
        <v>53</v>
      </c>
      <c r="K795">
        <v>0</v>
      </c>
      <c r="L795" t="s">
        <v>171</v>
      </c>
      <c r="M795" t="s">
        <v>448</v>
      </c>
      <c r="N795">
        <v>0.15</v>
      </c>
      <c r="O795" t="s">
        <v>56</v>
      </c>
      <c r="P795" t="s">
        <v>57</v>
      </c>
      <c r="Q795" t="s">
        <v>59</v>
      </c>
      <c r="R795" t="s">
        <v>58</v>
      </c>
      <c r="S795" t="s">
        <v>2856</v>
      </c>
      <c r="T795" t="s">
        <v>61</v>
      </c>
      <c r="U795">
        <v>1.5447</v>
      </c>
      <c r="V795" t="s">
        <v>62</v>
      </c>
      <c r="W795">
        <v>0</v>
      </c>
      <c r="X795">
        <v>28.526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68</v>
      </c>
      <c r="AG795" t="s">
        <v>65</v>
      </c>
      <c r="AH795" t="s">
        <v>65</v>
      </c>
      <c r="AI795" t="s">
        <v>67</v>
      </c>
      <c r="AK795" t="s">
        <v>66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73</v>
      </c>
      <c r="AT795" t="s">
        <v>71</v>
      </c>
      <c r="AU795">
        <v>0</v>
      </c>
      <c r="AV795">
        <v>0</v>
      </c>
    </row>
    <row r="796" spans="1:48" x14ac:dyDescent="0.25">
      <c r="A796" t="s">
        <v>2857</v>
      </c>
      <c r="B796" t="s">
        <v>73</v>
      </c>
      <c r="C796" t="s">
        <v>50</v>
      </c>
      <c r="D796">
        <v>440463.92509999999</v>
      </c>
      <c r="E796">
        <v>1827678.2394999999</v>
      </c>
      <c r="F796">
        <v>30.026</v>
      </c>
      <c r="G796" t="s">
        <v>2858</v>
      </c>
      <c r="H796" t="s">
        <v>52</v>
      </c>
      <c r="I796">
        <v>30.026</v>
      </c>
      <c r="J796" t="s">
        <v>53</v>
      </c>
      <c r="K796">
        <v>0</v>
      </c>
      <c r="L796" t="s">
        <v>171</v>
      </c>
      <c r="M796" t="s">
        <v>452</v>
      </c>
      <c r="N796">
        <v>0.15</v>
      </c>
      <c r="O796" t="s">
        <v>56</v>
      </c>
      <c r="P796" t="s">
        <v>57</v>
      </c>
      <c r="Q796" t="s">
        <v>59</v>
      </c>
      <c r="R796" t="s">
        <v>58</v>
      </c>
      <c r="S796" t="s">
        <v>2859</v>
      </c>
      <c r="T796" t="s">
        <v>61</v>
      </c>
      <c r="U796">
        <v>1.6194</v>
      </c>
      <c r="V796" t="s">
        <v>62</v>
      </c>
      <c r="W796">
        <v>0</v>
      </c>
      <c r="X796">
        <v>28.407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68</v>
      </c>
      <c r="AG796" t="s">
        <v>65</v>
      </c>
      <c r="AH796" t="s">
        <v>65</v>
      </c>
      <c r="AI796" t="s">
        <v>67</v>
      </c>
      <c r="AK796" t="s">
        <v>66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73</v>
      </c>
      <c r="AT796" t="s">
        <v>71</v>
      </c>
      <c r="AU796">
        <v>0</v>
      </c>
      <c r="AV796">
        <v>0</v>
      </c>
    </row>
    <row r="797" spans="1:48" x14ac:dyDescent="0.25">
      <c r="A797" t="s">
        <v>2860</v>
      </c>
      <c r="B797" t="s">
        <v>73</v>
      </c>
      <c r="C797" t="s">
        <v>50</v>
      </c>
      <c r="D797">
        <v>440454.52510000003</v>
      </c>
      <c r="E797">
        <v>1827637.5904999999</v>
      </c>
      <c r="F797">
        <v>30.117000000000001</v>
      </c>
      <c r="G797" t="s">
        <v>2861</v>
      </c>
      <c r="H797" t="s">
        <v>52</v>
      </c>
      <c r="I797">
        <v>30.117000000000001</v>
      </c>
      <c r="J797" t="s">
        <v>53</v>
      </c>
      <c r="K797">
        <v>0</v>
      </c>
      <c r="L797" t="s">
        <v>166</v>
      </c>
      <c r="M797" t="s">
        <v>2862</v>
      </c>
      <c r="N797">
        <v>-0.28489999999999999</v>
      </c>
      <c r="O797" t="s">
        <v>56</v>
      </c>
      <c r="P797" t="s">
        <v>57</v>
      </c>
      <c r="Q797" t="s">
        <v>59</v>
      </c>
      <c r="R797" t="s">
        <v>58</v>
      </c>
      <c r="S797" t="s">
        <v>2863</v>
      </c>
      <c r="T797" t="s">
        <v>61</v>
      </c>
      <c r="U797">
        <v>1.5665</v>
      </c>
      <c r="V797" t="s">
        <v>62</v>
      </c>
      <c r="W797">
        <v>0</v>
      </c>
      <c r="X797">
        <v>28.55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68</v>
      </c>
      <c r="AG797" t="s">
        <v>65</v>
      </c>
      <c r="AH797" t="s">
        <v>65</v>
      </c>
      <c r="AI797" t="s">
        <v>67</v>
      </c>
      <c r="AK797" t="s">
        <v>66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73</v>
      </c>
      <c r="AT797" t="s">
        <v>71</v>
      </c>
      <c r="AU797">
        <v>0</v>
      </c>
      <c r="AV797">
        <v>0</v>
      </c>
    </row>
    <row r="798" spans="1:48" x14ac:dyDescent="0.25">
      <c r="A798" t="s">
        <v>2864</v>
      </c>
      <c r="B798" t="s">
        <v>73</v>
      </c>
      <c r="C798" t="s">
        <v>50</v>
      </c>
      <c r="D798">
        <v>440454.52510000003</v>
      </c>
      <c r="E798">
        <v>1827658.2394999999</v>
      </c>
      <c r="F798">
        <v>30.071000000000002</v>
      </c>
      <c r="G798" t="s">
        <v>2865</v>
      </c>
      <c r="H798" t="s">
        <v>52</v>
      </c>
      <c r="I798">
        <v>30.071000000000002</v>
      </c>
      <c r="J798" t="s">
        <v>53</v>
      </c>
      <c r="K798">
        <v>0</v>
      </c>
      <c r="L798" t="s">
        <v>166</v>
      </c>
      <c r="M798" t="s">
        <v>448</v>
      </c>
      <c r="N798">
        <v>-0.28489999999999999</v>
      </c>
      <c r="O798" t="s">
        <v>56</v>
      </c>
      <c r="P798" t="s">
        <v>57</v>
      </c>
      <c r="Q798" t="s">
        <v>59</v>
      </c>
      <c r="R798" t="s">
        <v>58</v>
      </c>
      <c r="S798" t="s">
        <v>2866</v>
      </c>
      <c r="T798" t="s">
        <v>61</v>
      </c>
      <c r="U798">
        <v>1.5417000000000001</v>
      </c>
      <c r="V798" t="s">
        <v>62</v>
      </c>
      <c r="W798">
        <v>0</v>
      </c>
      <c r="X798">
        <v>28.529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68</v>
      </c>
      <c r="AG798" t="s">
        <v>65</v>
      </c>
      <c r="AH798" t="s">
        <v>65</v>
      </c>
      <c r="AI798" t="s">
        <v>67</v>
      </c>
      <c r="AK798" t="s">
        <v>66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73</v>
      </c>
      <c r="AT798" t="s">
        <v>71</v>
      </c>
      <c r="AU798">
        <v>0</v>
      </c>
      <c r="AV798">
        <v>0</v>
      </c>
    </row>
    <row r="799" spans="1:48" x14ac:dyDescent="0.25">
      <c r="A799" t="s">
        <v>2867</v>
      </c>
      <c r="B799" t="s">
        <v>73</v>
      </c>
      <c r="C799" t="s">
        <v>50</v>
      </c>
      <c r="D799">
        <v>440454.52510000003</v>
      </c>
      <c r="E799">
        <v>1827678.2394999999</v>
      </c>
      <c r="F799">
        <v>30.026</v>
      </c>
      <c r="G799" t="s">
        <v>2868</v>
      </c>
      <c r="H799" t="s">
        <v>52</v>
      </c>
      <c r="I799">
        <v>30.026</v>
      </c>
      <c r="J799" t="s">
        <v>53</v>
      </c>
      <c r="K799">
        <v>0</v>
      </c>
      <c r="L799" t="s">
        <v>166</v>
      </c>
      <c r="M799" t="s">
        <v>452</v>
      </c>
      <c r="N799">
        <v>-0.28489999999999999</v>
      </c>
      <c r="O799" t="s">
        <v>56</v>
      </c>
      <c r="P799" t="s">
        <v>57</v>
      </c>
      <c r="Q799" t="s">
        <v>59</v>
      </c>
      <c r="R799" t="s">
        <v>58</v>
      </c>
      <c r="S799" t="s">
        <v>2869</v>
      </c>
      <c r="T799" t="s">
        <v>61</v>
      </c>
      <c r="U799">
        <v>1.5773999999999999</v>
      </c>
      <c r="V799" t="s">
        <v>62</v>
      </c>
      <c r="W799">
        <v>0</v>
      </c>
      <c r="X799">
        <v>28.449000000000002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68</v>
      </c>
      <c r="AG799" t="s">
        <v>65</v>
      </c>
      <c r="AH799" t="s">
        <v>65</v>
      </c>
      <c r="AI799" t="s">
        <v>67</v>
      </c>
      <c r="AK799" t="s">
        <v>66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73</v>
      </c>
      <c r="AT799" t="s">
        <v>71</v>
      </c>
      <c r="AU799">
        <v>0</v>
      </c>
      <c r="AV799">
        <v>0</v>
      </c>
    </row>
    <row r="800" spans="1:48" x14ac:dyDescent="0.25">
      <c r="A800" t="s">
        <v>2870</v>
      </c>
      <c r="B800" t="s">
        <v>105</v>
      </c>
      <c r="C800" t="s">
        <v>50</v>
      </c>
      <c r="D800">
        <v>440398.2501</v>
      </c>
      <c r="E800">
        <v>1827629.7609000001</v>
      </c>
      <c r="F800">
        <v>30.277999999999999</v>
      </c>
      <c r="G800" t="s">
        <v>2871</v>
      </c>
      <c r="H800" t="s">
        <v>52</v>
      </c>
      <c r="I800">
        <v>30.277999999999999</v>
      </c>
      <c r="J800" t="s">
        <v>53</v>
      </c>
      <c r="K800">
        <v>0</v>
      </c>
      <c r="L800" t="s">
        <v>107</v>
      </c>
      <c r="M800" s="1" t="s">
        <v>1444</v>
      </c>
      <c r="N800">
        <v>0.2248</v>
      </c>
      <c r="O800" t="s">
        <v>56</v>
      </c>
      <c r="P800" t="s">
        <v>57</v>
      </c>
      <c r="Q800" t="s">
        <v>59</v>
      </c>
      <c r="R800" t="s">
        <v>109</v>
      </c>
      <c r="S800" t="s">
        <v>2872</v>
      </c>
      <c r="T800" t="s">
        <v>61</v>
      </c>
      <c r="U800">
        <v>1.5623</v>
      </c>
      <c r="V800" t="s">
        <v>62</v>
      </c>
      <c r="W800">
        <v>0</v>
      </c>
      <c r="X800">
        <v>28.716000000000001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111</v>
      </c>
      <c r="AG800" t="s">
        <v>65</v>
      </c>
      <c r="AH800" t="s">
        <v>65</v>
      </c>
      <c r="AI800" t="s">
        <v>67</v>
      </c>
      <c r="AK800" t="s">
        <v>66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105</v>
      </c>
      <c r="AT800" t="s">
        <v>71</v>
      </c>
      <c r="AU800">
        <v>0</v>
      </c>
      <c r="AV800">
        <v>0</v>
      </c>
    </row>
    <row r="801" spans="1:48" x14ac:dyDescent="0.25">
      <c r="A801" t="s">
        <v>2873</v>
      </c>
      <c r="B801" t="s">
        <v>105</v>
      </c>
      <c r="C801" t="s">
        <v>50</v>
      </c>
      <c r="D801">
        <v>440398.2501</v>
      </c>
      <c r="E801">
        <v>1827649.7609000001</v>
      </c>
      <c r="F801">
        <v>30.207000000000001</v>
      </c>
      <c r="G801" t="s">
        <v>2874</v>
      </c>
      <c r="H801" t="s">
        <v>52</v>
      </c>
      <c r="I801">
        <v>30.207000000000001</v>
      </c>
      <c r="J801" t="s">
        <v>53</v>
      </c>
      <c r="K801">
        <v>0</v>
      </c>
      <c r="L801" t="s">
        <v>107</v>
      </c>
      <c r="M801" s="1" t="s">
        <v>525</v>
      </c>
      <c r="N801">
        <v>0.2248</v>
      </c>
      <c r="O801" t="s">
        <v>56</v>
      </c>
      <c r="P801" t="s">
        <v>57</v>
      </c>
      <c r="Q801" t="s">
        <v>59</v>
      </c>
      <c r="R801" t="s">
        <v>109</v>
      </c>
      <c r="S801" t="s">
        <v>2875</v>
      </c>
      <c r="T801" t="s">
        <v>61</v>
      </c>
      <c r="U801">
        <v>1.5109999999999999</v>
      </c>
      <c r="V801" t="s">
        <v>62</v>
      </c>
      <c r="W801">
        <v>0</v>
      </c>
      <c r="X801">
        <v>28.696000000000002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111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105</v>
      </c>
      <c r="AT801" t="s">
        <v>71</v>
      </c>
      <c r="AU801">
        <v>0</v>
      </c>
      <c r="AV801">
        <v>0</v>
      </c>
    </row>
    <row r="802" spans="1:48" x14ac:dyDescent="0.25">
      <c r="A802" t="s">
        <v>2876</v>
      </c>
      <c r="B802" t="s">
        <v>105</v>
      </c>
      <c r="C802" t="s">
        <v>50</v>
      </c>
      <c r="D802">
        <v>440398.2501</v>
      </c>
      <c r="E802">
        <v>1827667.9465999999</v>
      </c>
      <c r="F802">
        <v>30.181000000000001</v>
      </c>
      <c r="G802" t="s">
        <v>2877</v>
      </c>
      <c r="H802" t="s">
        <v>52</v>
      </c>
      <c r="I802">
        <v>30.181000000000001</v>
      </c>
      <c r="J802" t="s">
        <v>53</v>
      </c>
      <c r="K802">
        <v>0</v>
      </c>
      <c r="L802" t="s">
        <v>107</v>
      </c>
      <c r="M802" t="s">
        <v>2878</v>
      </c>
      <c r="N802">
        <v>0.2248</v>
      </c>
      <c r="O802" t="s">
        <v>56</v>
      </c>
      <c r="P802" t="s">
        <v>57</v>
      </c>
      <c r="Q802" t="s">
        <v>59</v>
      </c>
      <c r="R802" t="s">
        <v>109</v>
      </c>
      <c r="S802" t="s">
        <v>2879</v>
      </c>
      <c r="T802" t="s">
        <v>61</v>
      </c>
      <c r="U802">
        <v>1.5025999999999999</v>
      </c>
      <c r="V802" t="s">
        <v>62</v>
      </c>
      <c r="W802">
        <v>0</v>
      </c>
      <c r="X802">
        <v>28.678000000000001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111</v>
      </c>
      <c r="AG802" t="s">
        <v>65</v>
      </c>
      <c r="AH802" t="s">
        <v>65</v>
      </c>
      <c r="AI802" t="s">
        <v>67</v>
      </c>
      <c r="AK802" t="s">
        <v>66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105</v>
      </c>
      <c r="AT802" t="s">
        <v>71</v>
      </c>
      <c r="AU802">
        <v>0</v>
      </c>
      <c r="AV802">
        <v>0</v>
      </c>
    </row>
    <row r="803" spans="1:48" x14ac:dyDescent="0.25">
      <c r="A803" t="s">
        <v>2880</v>
      </c>
      <c r="B803" t="s">
        <v>125</v>
      </c>
      <c r="C803" t="s">
        <v>50</v>
      </c>
      <c r="D803">
        <v>440350.4252</v>
      </c>
      <c r="E803">
        <v>1827692.9145</v>
      </c>
      <c r="F803">
        <v>30.634</v>
      </c>
      <c r="G803" t="s">
        <v>2881</v>
      </c>
      <c r="H803" t="s">
        <v>52</v>
      </c>
      <c r="I803">
        <v>30.634</v>
      </c>
      <c r="J803" t="s">
        <v>53</v>
      </c>
      <c r="K803">
        <v>0</v>
      </c>
      <c r="L803" t="s">
        <v>1112</v>
      </c>
      <c r="M803" t="s">
        <v>2882</v>
      </c>
      <c r="N803">
        <v>8.3000000000000004E-2</v>
      </c>
      <c r="O803" t="s">
        <v>56</v>
      </c>
      <c r="P803" t="s">
        <v>57</v>
      </c>
      <c r="Q803" t="s">
        <v>109</v>
      </c>
      <c r="R803" t="s">
        <v>59</v>
      </c>
      <c r="S803" t="s">
        <v>2883</v>
      </c>
      <c r="T803" t="s">
        <v>61</v>
      </c>
      <c r="U803">
        <v>1.5550999999999999</v>
      </c>
      <c r="V803" t="s">
        <v>62</v>
      </c>
      <c r="W803">
        <v>0</v>
      </c>
      <c r="X803">
        <v>29.079000000000001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66</v>
      </c>
      <c r="AG803" t="s">
        <v>65</v>
      </c>
      <c r="AH803" t="s">
        <v>65</v>
      </c>
      <c r="AI803" t="s">
        <v>67</v>
      </c>
      <c r="AK803" t="s">
        <v>111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125</v>
      </c>
      <c r="AT803" t="s">
        <v>71</v>
      </c>
      <c r="AU803">
        <v>0</v>
      </c>
      <c r="AV803">
        <v>0</v>
      </c>
    </row>
    <row r="804" spans="1:48" x14ac:dyDescent="0.25">
      <c r="A804" t="s">
        <v>2884</v>
      </c>
      <c r="B804" t="s">
        <v>125</v>
      </c>
      <c r="C804" t="s">
        <v>50</v>
      </c>
      <c r="D804">
        <v>440370.4252</v>
      </c>
      <c r="E804">
        <v>1827692.9145</v>
      </c>
      <c r="F804">
        <v>30.472000000000001</v>
      </c>
      <c r="G804" t="s">
        <v>2885</v>
      </c>
      <c r="H804" t="s">
        <v>52</v>
      </c>
      <c r="I804">
        <v>30.472000000000001</v>
      </c>
      <c r="J804" t="s">
        <v>53</v>
      </c>
      <c r="K804">
        <v>0</v>
      </c>
      <c r="L804" t="s">
        <v>1112</v>
      </c>
      <c r="M804" t="s">
        <v>2886</v>
      </c>
      <c r="N804">
        <v>8.7900000000000006E-2</v>
      </c>
      <c r="O804" t="s">
        <v>56</v>
      </c>
      <c r="P804" t="s">
        <v>57</v>
      </c>
      <c r="Q804" t="s">
        <v>109</v>
      </c>
      <c r="R804" t="s">
        <v>59</v>
      </c>
      <c r="S804" t="s">
        <v>2887</v>
      </c>
      <c r="T804" t="s">
        <v>61</v>
      </c>
      <c r="U804">
        <v>1.7865</v>
      </c>
      <c r="V804" t="s">
        <v>62</v>
      </c>
      <c r="W804">
        <v>0</v>
      </c>
      <c r="X804">
        <v>28.684999999999999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66</v>
      </c>
      <c r="AG804" t="s">
        <v>65</v>
      </c>
      <c r="AH804" t="s">
        <v>65</v>
      </c>
      <c r="AI804" t="s">
        <v>67</v>
      </c>
      <c r="AK804" t="s">
        <v>111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125</v>
      </c>
      <c r="AT804" t="s">
        <v>71</v>
      </c>
      <c r="AU804">
        <v>0</v>
      </c>
      <c r="AV804">
        <v>0</v>
      </c>
    </row>
    <row r="805" spans="1:48" x14ac:dyDescent="0.25">
      <c r="A805" t="s">
        <v>2888</v>
      </c>
      <c r="B805" t="s">
        <v>105</v>
      </c>
      <c r="C805" t="s">
        <v>50</v>
      </c>
      <c r="D805">
        <v>440387.60009999998</v>
      </c>
      <c r="E805">
        <v>1827629.7609000001</v>
      </c>
      <c r="F805">
        <v>30.277999999999999</v>
      </c>
      <c r="G805" t="s">
        <v>2889</v>
      </c>
      <c r="H805" t="s">
        <v>52</v>
      </c>
      <c r="I805">
        <v>30.277999999999999</v>
      </c>
      <c r="J805" t="s">
        <v>53</v>
      </c>
      <c r="K805">
        <v>0</v>
      </c>
      <c r="L805" t="s">
        <v>117</v>
      </c>
      <c r="M805" t="s">
        <v>1444</v>
      </c>
      <c r="N805">
        <v>-0.18859999999999999</v>
      </c>
      <c r="O805" t="s">
        <v>56</v>
      </c>
      <c r="P805" t="s">
        <v>57</v>
      </c>
      <c r="Q805" t="s">
        <v>59</v>
      </c>
      <c r="R805" t="s">
        <v>109</v>
      </c>
      <c r="S805" t="s">
        <v>2872</v>
      </c>
      <c r="T805" t="s">
        <v>61</v>
      </c>
      <c r="U805">
        <v>1.5623</v>
      </c>
      <c r="V805" t="s">
        <v>62</v>
      </c>
      <c r="W805">
        <v>0</v>
      </c>
      <c r="X805">
        <v>28.716000000000001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111</v>
      </c>
      <c r="AG805" t="s">
        <v>65</v>
      </c>
      <c r="AH805" t="s">
        <v>65</v>
      </c>
      <c r="AI805" t="s">
        <v>67</v>
      </c>
      <c r="AK805" t="s">
        <v>66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105</v>
      </c>
      <c r="AT805" t="s">
        <v>71</v>
      </c>
      <c r="AU805">
        <v>0</v>
      </c>
      <c r="AV805">
        <v>0</v>
      </c>
    </row>
    <row r="806" spans="1:48" x14ac:dyDescent="0.25">
      <c r="A806" t="s">
        <v>2890</v>
      </c>
      <c r="B806" t="s">
        <v>105</v>
      </c>
      <c r="C806" t="s">
        <v>50</v>
      </c>
      <c r="D806">
        <v>440387.60009999998</v>
      </c>
      <c r="E806">
        <v>1827649.7609000001</v>
      </c>
      <c r="F806">
        <v>30.207000000000001</v>
      </c>
      <c r="G806" t="s">
        <v>2891</v>
      </c>
      <c r="H806" t="s">
        <v>52</v>
      </c>
      <c r="I806">
        <v>30.207000000000001</v>
      </c>
      <c r="J806" t="s">
        <v>53</v>
      </c>
      <c r="K806">
        <v>0</v>
      </c>
      <c r="L806" t="s">
        <v>117</v>
      </c>
      <c r="M806" t="s">
        <v>525</v>
      </c>
      <c r="N806">
        <v>-0.18859999999999999</v>
      </c>
      <c r="O806" t="s">
        <v>56</v>
      </c>
      <c r="P806" t="s">
        <v>57</v>
      </c>
      <c r="Q806" t="s">
        <v>59</v>
      </c>
      <c r="R806" t="s">
        <v>109</v>
      </c>
      <c r="S806" t="s">
        <v>2892</v>
      </c>
      <c r="T806" t="s">
        <v>61</v>
      </c>
      <c r="U806">
        <v>1.5209999999999999</v>
      </c>
      <c r="V806" t="s">
        <v>62</v>
      </c>
      <c r="W806">
        <v>0</v>
      </c>
      <c r="X806">
        <v>28.686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111</v>
      </c>
      <c r="AG806" t="s">
        <v>65</v>
      </c>
      <c r="AH806" t="s">
        <v>65</v>
      </c>
      <c r="AI806" t="s">
        <v>67</v>
      </c>
      <c r="AK806" t="s">
        <v>66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105</v>
      </c>
      <c r="AT806" t="s">
        <v>71</v>
      </c>
      <c r="AU806">
        <v>0</v>
      </c>
      <c r="AV806">
        <v>0</v>
      </c>
    </row>
    <row r="807" spans="1:48" x14ac:dyDescent="0.25">
      <c r="A807" t="s">
        <v>2893</v>
      </c>
      <c r="B807" t="s">
        <v>105</v>
      </c>
      <c r="C807" t="s">
        <v>50</v>
      </c>
      <c r="D807">
        <v>440387.60009999998</v>
      </c>
      <c r="E807">
        <v>1827669.7609000001</v>
      </c>
      <c r="F807">
        <v>30.181999999999999</v>
      </c>
      <c r="G807" t="s">
        <v>2894</v>
      </c>
      <c r="H807" t="s">
        <v>52</v>
      </c>
      <c r="I807">
        <v>30.181999999999999</v>
      </c>
      <c r="J807" t="s">
        <v>53</v>
      </c>
      <c r="K807">
        <v>0</v>
      </c>
      <c r="L807" t="s">
        <v>117</v>
      </c>
      <c r="M807" t="s">
        <v>529</v>
      </c>
      <c r="N807">
        <v>-0.18859999999999999</v>
      </c>
      <c r="O807" t="s">
        <v>56</v>
      </c>
      <c r="P807" t="s">
        <v>57</v>
      </c>
      <c r="Q807" t="s">
        <v>59</v>
      </c>
      <c r="R807" t="s">
        <v>109</v>
      </c>
      <c r="S807" t="s">
        <v>2895</v>
      </c>
      <c r="T807" t="s">
        <v>61</v>
      </c>
      <c r="U807">
        <v>1.5251999999999999</v>
      </c>
      <c r="V807" t="s">
        <v>62</v>
      </c>
      <c r="W807">
        <v>0</v>
      </c>
      <c r="X807">
        <v>28.657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111</v>
      </c>
      <c r="AG807" t="s">
        <v>65</v>
      </c>
      <c r="AH807" t="s">
        <v>65</v>
      </c>
      <c r="AI807" t="s">
        <v>67</v>
      </c>
      <c r="AK807" t="s">
        <v>66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105</v>
      </c>
      <c r="AT807" t="s">
        <v>71</v>
      </c>
      <c r="AU807">
        <v>0</v>
      </c>
      <c r="AV807">
        <v>0</v>
      </c>
    </row>
    <row r="808" spans="1:48" x14ac:dyDescent="0.25">
      <c r="A808" t="s">
        <v>2896</v>
      </c>
      <c r="B808" t="s">
        <v>105</v>
      </c>
      <c r="C808" t="s">
        <v>50</v>
      </c>
      <c r="D808">
        <v>440387.60009999998</v>
      </c>
      <c r="E808">
        <v>1827684.1187</v>
      </c>
      <c r="F808">
        <v>30.222999999999999</v>
      </c>
      <c r="G808" t="s">
        <v>2897</v>
      </c>
      <c r="H808" t="s">
        <v>52</v>
      </c>
      <c r="I808">
        <v>30.222999999999999</v>
      </c>
      <c r="J808" t="s">
        <v>53</v>
      </c>
      <c r="K808">
        <v>0</v>
      </c>
      <c r="L808" t="s">
        <v>117</v>
      </c>
      <c r="M808" t="s">
        <v>2898</v>
      </c>
      <c r="N808">
        <v>-0.18859999999999999</v>
      </c>
      <c r="O808" t="s">
        <v>56</v>
      </c>
      <c r="P808" t="s">
        <v>57</v>
      </c>
      <c r="Q808" t="s">
        <v>59</v>
      </c>
      <c r="R808" t="s">
        <v>109</v>
      </c>
      <c r="S808" t="s">
        <v>2899</v>
      </c>
      <c r="T808" t="s">
        <v>61</v>
      </c>
      <c r="U808">
        <v>1.5863</v>
      </c>
      <c r="V808" t="s">
        <v>62</v>
      </c>
      <c r="W808">
        <v>0</v>
      </c>
      <c r="X808">
        <v>28.637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111</v>
      </c>
      <c r="AG808" t="s">
        <v>65</v>
      </c>
      <c r="AH808" t="s">
        <v>65</v>
      </c>
      <c r="AI808" t="s">
        <v>67</v>
      </c>
      <c r="AK808" t="s">
        <v>66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105</v>
      </c>
      <c r="AT808" t="s">
        <v>71</v>
      </c>
      <c r="AU808">
        <v>0</v>
      </c>
      <c r="AV808">
        <v>0</v>
      </c>
    </row>
    <row r="809" spans="1:48" x14ac:dyDescent="0.25">
      <c r="A809" t="s">
        <v>2900</v>
      </c>
      <c r="B809" t="s">
        <v>125</v>
      </c>
      <c r="C809" t="s">
        <v>50</v>
      </c>
      <c r="D809">
        <v>440387.3751</v>
      </c>
      <c r="E809">
        <v>1827692.9145</v>
      </c>
      <c r="F809">
        <v>30.077999999999999</v>
      </c>
      <c r="G809" t="s">
        <v>2901</v>
      </c>
      <c r="H809" t="s">
        <v>52</v>
      </c>
      <c r="I809">
        <v>30.077999999999999</v>
      </c>
      <c r="J809" t="s">
        <v>53</v>
      </c>
      <c r="K809">
        <v>0</v>
      </c>
      <c r="L809" t="s">
        <v>1112</v>
      </c>
      <c r="M809" t="s">
        <v>2902</v>
      </c>
      <c r="N809">
        <v>9.2100000000000001E-2</v>
      </c>
      <c r="O809" t="s">
        <v>56</v>
      </c>
      <c r="P809" t="s">
        <v>57</v>
      </c>
      <c r="Q809" t="s">
        <v>109</v>
      </c>
      <c r="R809" t="s">
        <v>59</v>
      </c>
      <c r="S809" t="s">
        <v>2903</v>
      </c>
      <c r="T809" t="s">
        <v>61</v>
      </c>
      <c r="U809">
        <v>1.4524999999999999</v>
      </c>
      <c r="V809" t="s">
        <v>62</v>
      </c>
      <c r="W809">
        <v>0</v>
      </c>
      <c r="X809">
        <v>28.625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66</v>
      </c>
      <c r="AG809" t="s">
        <v>65</v>
      </c>
      <c r="AH809" t="s">
        <v>65</v>
      </c>
      <c r="AI809" t="s">
        <v>67</v>
      </c>
      <c r="AK809" t="s">
        <v>111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125</v>
      </c>
      <c r="AT809" t="s">
        <v>71</v>
      </c>
      <c r="AU809">
        <v>0</v>
      </c>
      <c r="AV809">
        <v>0</v>
      </c>
    </row>
    <row r="810" spans="1:48" x14ac:dyDescent="0.25">
      <c r="A810" t="s">
        <v>2904</v>
      </c>
      <c r="B810" t="s">
        <v>125</v>
      </c>
      <c r="C810" t="s">
        <v>50</v>
      </c>
      <c r="D810">
        <v>440398.20490000001</v>
      </c>
      <c r="E810">
        <v>1827692.9145</v>
      </c>
      <c r="F810">
        <v>30.087</v>
      </c>
      <c r="G810" t="s">
        <v>2905</v>
      </c>
      <c r="H810" t="s">
        <v>52</v>
      </c>
      <c r="I810">
        <v>30.087</v>
      </c>
      <c r="J810" t="s">
        <v>53</v>
      </c>
      <c r="K810">
        <v>0</v>
      </c>
      <c r="L810" t="s">
        <v>1112</v>
      </c>
      <c r="M810" t="s">
        <v>2906</v>
      </c>
      <c r="N810">
        <v>9.4799999999999995E-2</v>
      </c>
      <c r="O810" t="s">
        <v>56</v>
      </c>
      <c r="P810" t="s">
        <v>57</v>
      </c>
      <c r="Q810" t="s">
        <v>109</v>
      </c>
      <c r="R810" t="s">
        <v>59</v>
      </c>
      <c r="S810" t="s">
        <v>2907</v>
      </c>
      <c r="T810" t="s">
        <v>61</v>
      </c>
      <c r="U810">
        <v>1.4736</v>
      </c>
      <c r="V810" t="s">
        <v>62</v>
      </c>
      <c r="W810">
        <v>0</v>
      </c>
      <c r="X810">
        <v>28.613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111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125</v>
      </c>
      <c r="AT810" t="s">
        <v>71</v>
      </c>
      <c r="AU810">
        <v>0</v>
      </c>
      <c r="AV810">
        <v>0</v>
      </c>
    </row>
    <row r="811" spans="1:48" x14ac:dyDescent="0.25">
      <c r="A811" t="s">
        <v>2908</v>
      </c>
      <c r="B811" t="s">
        <v>125</v>
      </c>
      <c r="C811" t="s">
        <v>50</v>
      </c>
      <c r="D811">
        <v>440410.4252</v>
      </c>
      <c r="E811">
        <v>1827692.9145</v>
      </c>
      <c r="F811">
        <v>30.209</v>
      </c>
      <c r="G811" t="s">
        <v>2909</v>
      </c>
      <c r="H811" t="s">
        <v>52</v>
      </c>
      <c r="I811">
        <v>30.209</v>
      </c>
      <c r="J811" t="s">
        <v>53</v>
      </c>
      <c r="K811">
        <v>0</v>
      </c>
      <c r="L811" t="s">
        <v>1112</v>
      </c>
      <c r="M811" s="1" t="s">
        <v>2910</v>
      </c>
      <c r="N811">
        <v>9.7799999999999998E-2</v>
      </c>
      <c r="O811" t="s">
        <v>56</v>
      </c>
      <c r="P811" t="s">
        <v>57</v>
      </c>
      <c r="Q811" t="s">
        <v>109</v>
      </c>
      <c r="R811" t="s">
        <v>59</v>
      </c>
      <c r="S811" t="s">
        <v>2911</v>
      </c>
      <c r="T811" t="s">
        <v>61</v>
      </c>
      <c r="U811">
        <v>1.6079000000000001</v>
      </c>
      <c r="V811" t="s">
        <v>62</v>
      </c>
      <c r="W811">
        <v>0</v>
      </c>
      <c r="X811">
        <v>28.600999999999999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111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125</v>
      </c>
      <c r="AT811" t="s">
        <v>71</v>
      </c>
      <c r="AU811">
        <v>0</v>
      </c>
      <c r="AV811">
        <v>0</v>
      </c>
    </row>
    <row r="812" spans="1:48" x14ac:dyDescent="0.25">
      <c r="A812" t="s">
        <v>2912</v>
      </c>
      <c r="B812" t="s">
        <v>125</v>
      </c>
      <c r="C812" t="s">
        <v>50</v>
      </c>
      <c r="D812">
        <v>440430.4252</v>
      </c>
      <c r="E812">
        <v>1827692.9145</v>
      </c>
      <c r="F812">
        <v>30.11</v>
      </c>
      <c r="G812" t="s">
        <v>2913</v>
      </c>
      <c r="H812" t="s">
        <v>52</v>
      </c>
      <c r="I812">
        <v>30.11</v>
      </c>
      <c r="J812" t="s">
        <v>53</v>
      </c>
      <c r="K812">
        <v>0</v>
      </c>
      <c r="L812" t="s">
        <v>1112</v>
      </c>
      <c r="M812" t="s">
        <v>2914</v>
      </c>
      <c r="N812">
        <v>0.1028</v>
      </c>
      <c r="O812" t="s">
        <v>56</v>
      </c>
      <c r="P812" t="s">
        <v>57</v>
      </c>
      <c r="Q812" t="s">
        <v>109</v>
      </c>
      <c r="R812" t="s">
        <v>59</v>
      </c>
      <c r="S812" t="s">
        <v>2915</v>
      </c>
      <c r="T812" t="s">
        <v>61</v>
      </c>
      <c r="U812">
        <v>1.5286</v>
      </c>
      <c r="V812" t="s">
        <v>62</v>
      </c>
      <c r="W812">
        <v>0</v>
      </c>
      <c r="X812">
        <v>28.581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111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125</v>
      </c>
      <c r="AT812" t="s">
        <v>71</v>
      </c>
      <c r="AU812">
        <v>0</v>
      </c>
      <c r="AV812">
        <v>0</v>
      </c>
    </row>
    <row r="813" spans="1:48" x14ac:dyDescent="0.25">
      <c r="A813" t="s">
        <v>2916</v>
      </c>
      <c r="B813" t="s">
        <v>125</v>
      </c>
      <c r="C813" t="s">
        <v>50</v>
      </c>
      <c r="D813">
        <v>440444.15010000003</v>
      </c>
      <c r="E813">
        <v>1827692.9145</v>
      </c>
      <c r="F813">
        <v>30.053999999999998</v>
      </c>
      <c r="G813" t="s">
        <v>2917</v>
      </c>
      <c r="H813" t="s">
        <v>52</v>
      </c>
      <c r="I813">
        <v>30.053999999999998</v>
      </c>
      <c r="J813" t="s">
        <v>53</v>
      </c>
      <c r="K813">
        <v>0</v>
      </c>
      <c r="L813" t="s">
        <v>1112</v>
      </c>
      <c r="M813" t="s">
        <v>2918</v>
      </c>
      <c r="N813">
        <v>0.1062</v>
      </c>
      <c r="O813" t="s">
        <v>56</v>
      </c>
      <c r="P813" t="s">
        <v>57</v>
      </c>
      <c r="Q813" t="s">
        <v>109</v>
      </c>
      <c r="R813" t="s">
        <v>59</v>
      </c>
      <c r="S813" t="s">
        <v>2919</v>
      </c>
      <c r="T813" t="s">
        <v>61</v>
      </c>
      <c r="U813">
        <v>1.6168</v>
      </c>
      <c r="V813" t="s">
        <v>62</v>
      </c>
      <c r="W813">
        <v>0</v>
      </c>
      <c r="X813">
        <v>28.437000000000001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111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125</v>
      </c>
      <c r="AT813" t="s">
        <v>71</v>
      </c>
      <c r="AU813">
        <v>0</v>
      </c>
      <c r="AV813">
        <v>0</v>
      </c>
    </row>
    <row r="814" spans="1:48" x14ac:dyDescent="0.25">
      <c r="A814" t="s">
        <v>2920</v>
      </c>
      <c r="B814" t="s">
        <v>125</v>
      </c>
      <c r="C814" t="s">
        <v>50</v>
      </c>
      <c r="D814">
        <v>440454.3751</v>
      </c>
      <c r="E814">
        <v>1827692.9145</v>
      </c>
      <c r="F814">
        <v>29.846</v>
      </c>
      <c r="G814" t="s">
        <v>2921</v>
      </c>
      <c r="H814" t="s">
        <v>52</v>
      </c>
      <c r="I814">
        <v>29.846</v>
      </c>
      <c r="J814" t="s">
        <v>53</v>
      </c>
      <c r="K814">
        <v>0</v>
      </c>
      <c r="L814" t="s">
        <v>1112</v>
      </c>
      <c r="M814" t="s">
        <v>2294</v>
      </c>
      <c r="N814">
        <v>0.1087</v>
      </c>
      <c r="O814" t="s">
        <v>56</v>
      </c>
      <c r="P814" t="s">
        <v>57</v>
      </c>
      <c r="Q814" t="s">
        <v>109</v>
      </c>
      <c r="R814" t="s">
        <v>59</v>
      </c>
      <c r="S814" t="s">
        <v>2922</v>
      </c>
      <c r="T814" t="s">
        <v>61</v>
      </c>
      <c r="U814">
        <v>1.4565999999999999</v>
      </c>
      <c r="V814" t="s">
        <v>62</v>
      </c>
      <c r="W814">
        <v>0</v>
      </c>
      <c r="X814">
        <v>28.388999999999999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111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125</v>
      </c>
      <c r="AT814" t="s">
        <v>71</v>
      </c>
      <c r="AU814">
        <v>0</v>
      </c>
      <c r="AV814">
        <v>0</v>
      </c>
    </row>
    <row r="815" spans="1:48" x14ac:dyDescent="0.25">
      <c r="A815" t="s">
        <v>2923</v>
      </c>
      <c r="B815" t="s">
        <v>125</v>
      </c>
      <c r="C815" t="s">
        <v>50</v>
      </c>
      <c r="D815">
        <v>440464.07510000002</v>
      </c>
      <c r="E815">
        <v>1827692.9145</v>
      </c>
      <c r="F815">
        <v>29.806000000000001</v>
      </c>
      <c r="G815" t="s">
        <v>2924</v>
      </c>
      <c r="H815" t="s">
        <v>52</v>
      </c>
      <c r="I815">
        <v>29.806000000000001</v>
      </c>
      <c r="J815" t="s">
        <v>53</v>
      </c>
      <c r="K815">
        <v>0</v>
      </c>
      <c r="L815" t="s">
        <v>1112</v>
      </c>
      <c r="M815" t="s">
        <v>2925</v>
      </c>
      <c r="N815">
        <v>0.1111</v>
      </c>
      <c r="O815" t="s">
        <v>56</v>
      </c>
      <c r="P815" t="s">
        <v>57</v>
      </c>
      <c r="Q815" t="s">
        <v>109</v>
      </c>
      <c r="R815" t="s">
        <v>59</v>
      </c>
      <c r="S815" t="s">
        <v>2926</v>
      </c>
      <c r="T815" t="s">
        <v>61</v>
      </c>
      <c r="U815">
        <v>1.5926</v>
      </c>
      <c r="V815" t="s">
        <v>62</v>
      </c>
      <c r="W815">
        <v>0</v>
      </c>
      <c r="X815">
        <v>28.213000000000001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111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125</v>
      </c>
      <c r="AT815" t="s">
        <v>71</v>
      </c>
      <c r="AU815">
        <v>0</v>
      </c>
      <c r="AV815">
        <v>0</v>
      </c>
    </row>
    <row r="816" spans="1:48" x14ac:dyDescent="0.25">
      <c r="A816" t="s">
        <v>2927</v>
      </c>
      <c r="B816" t="s">
        <v>125</v>
      </c>
      <c r="C816" t="s">
        <v>50</v>
      </c>
      <c r="D816">
        <v>440481.25630000001</v>
      </c>
      <c r="E816">
        <v>1827692.9145</v>
      </c>
      <c r="F816">
        <v>29.952999999999999</v>
      </c>
      <c r="G816" t="s">
        <v>2928</v>
      </c>
      <c r="H816" t="s">
        <v>52</v>
      </c>
      <c r="I816">
        <v>29.952999999999999</v>
      </c>
      <c r="J816" t="s">
        <v>53</v>
      </c>
      <c r="K816">
        <v>0</v>
      </c>
      <c r="L816" t="s">
        <v>1112</v>
      </c>
      <c r="M816" t="s">
        <v>2929</v>
      </c>
      <c r="N816">
        <v>0.1153</v>
      </c>
      <c r="O816" t="s">
        <v>56</v>
      </c>
      <c r="P816" t="s">
        <v>57</v>
      </c>
      <c r="Q816" t="s">
        <v>109</v>
      </c>
      <c r="R816" t="s">
        <v>59</v>
      </c>
      <c r="S816" t="s">
        <v>2930</v>
      </c>
      <c r="T816" t="s">
        <v>61</v>
      </c>
      <c r="U816">
        <v>1.7577</v>
      </c>
      <c r="V816" t="s">
        <v>62</v>
      </c>
      <c r="W816">
        <v>0</v>
      </c>
      <c r="X816">
        <v>28.195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111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125</v>
      </c>
      <c r="AT816" t="s">
        <v>71</v>
      </c>
      <c r="AU816">
        <v>0</v>
      </c>
      <c r="AV816">
        <v>0</v>
      </c>
    </row>
    <row r="817" spans="1:48" x14ac:dyDescent="0.25">
      <c r="A817" t="s">
        <v>2931</v>
      </c>
      <c r="B817" t="s">
        <v>125</v>
      </c>
      <c r="C817" t="s">
        <v>50</v>
      </c>
      <c r="D817">
        <v>440500.58769999997</v>
      </c>
      <c r="E817">
        <v>1827692.9145</v>
      </c>
      <c r="F817">
        <v>29.914000000000001</v>
      </c>
      <c r="G817" t="s">
        <v>2932</v>
      </c>
      <c r="H817" t="s">
        <v>52</v>
      </c>
      <c r="I817">
        <v>29.914000000000001</v>
      </c>
      <c r="J817" t="s">
        <v>53</v>
      </c>
      <c r="K817">
        <v>0</v>
      </c>
      <c r="L817" t="s">
        <v>1112</v>
      </c>
      <c r="M817" t="s">
        <v>2933</v>
      </c>
      <c r="N817">
        <v>0.1201</v>
      </c>
      <c r="O817" t="s">
        <v>56</v>
      </c>
      <c r="P817" t="s">
        <v>57</v>
      </c>
      <c r="Q817" t="s">
        <v>109</v>
      </c>
      <c r="R817" t="s">
        <v>59</v>
      </c>
      <c r="S817" t="s">
        <v>2934</v>
      </c>
      <c r="T817" t="s">
        <v>61</v>
      </c>
      <c r="U817">
        <v>1.7470000000000001</v>
      </c>
      <c r="V817" t="s">
        <v>62</v>
      </c>
      <c r="W817">
        <v>0</v>
      </c>
      <c r="X817">
        <v>28.167000000000002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66</v>
      </c>
      <c r="AG817" t="s">
        <v>65</v>
      </c>
      <c r="AH817" t="s">
        <v>65</v>
      </c>
      <c r="AI817" t="s">
        <v>67</v>
      </c>
      <c r="AK817" t="s">
        <v>111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125</v>
      </c>
      <c r="AT817" t="s">
        <v>71</v>
      </c>
      <c r="AU817">
        <v>0</v>
      </c>
      <c r="AV817">
        <v>0</v>
      </c>
    </row>
    <row r="818" spans="1:48" x14ac:dyDescent="0.25">
      <c r="A818" t="s">
        <v>2935</v>
      </c>
      <c r="B818" t="s">
        <v>125</v>
      </c>
      <c r="C818" t="s">
        <v>50</v>
      </c>
      <c r="D818">
        <v>440519.97509999998</v>
      </c>
      <c r="E818">
        <v>1827692.9145</v>
      </c>
      <c r="F818">
        <v>29.702000000000002</v>
      </c>
      <c r="G818" t="s">
        <v>2936</v>
      </c>
      <c r="H818" t="s">
        <v>52</v>
      </c>
      <c r="I818">
        <v>29.702000000000002</v>
      </c>
      <c r="J818" t="s">
        <v>53</v>
      </c>
      <c r="K818">
        <v>0</v>
      </c>
      <c r="L818" t="s">
        <v>1112</v>
      </c>
      <c r="M818" s="1" t="s">
        <v>2937</v>
      </c>
      <c r="N818">
        <v>0.1249</v>
      </c>
      <c r="O818" t="s">
        <v>56</v>
      </c>
      <c r="P818" t="s">
        <v>57</v>
      </c>
      <c r="Q818" t="s">
        <v>109</v>
      </c>
      <c r="R818" t="s">
        <v>59</v>
      </c>
      <c r="S818" t="s">
        <v>2938</v>
      </c>
      <c r="T818" t="s">
        <v>61</v>
      </c>
      <c r="U818">
        <v>1.5968</v>
      </c>
      <c r="V818" t="s">
        <v>62</v>
      </c>
      <c r="W818">
        <v>0</v>
      </c>
      <c r="X818">
        <v>28.105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66</v>
      </c>
      <c r="AG818" t="s">
        <v>65</v>
      </c>
      <c r="AH818" t="s">
        <v>65</v>
      </c>
      <c r="AI818" t="s">
        <v>67</v>
      </c>
      <c r="AK818" t="s">
        <v>111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125</v>
      </c>
      <c r="AT818" t="s">
        <v>71</v>
      </c>
      <c r="AU818">
        <v>0</v>
      </c>
      <c r="AV818">
        <v>0</v>
      </c>
    </row>
    <row r="819" spans="1:48" x14ac:dyDescent="0.25">
      <c r="A819" t="s">
        <v>2939</v>
      </c>
      <c r="B819" t="s">
        <v>125</v>
      </c>
      <c r="C819" t="s">
        <v>50</v>
      </c>
      <c r="D819">
        <v>440529.67509999999</v>
      </c>
      <c r="E819">
        <v>1827692.9145</v>
      </c>
      <c r="F819">
        <v>29.702000000000002</v>
      </c>
      <c r="G819" t="s">
        <v>2940</v>
      </c>
      <c r="H819" t="s">
        <v>52</v>
      </c>
      <c r="I819">
        <v>29.702000000000002</v>
      </c>
      <c r="J819" t="s">
        <v>53</v>
      </c>
      <c r="K819">
        <v>0</v>
      </c>
      <c r="L819" t="s">
        <v>1112</v>
      </c>
      <c r="M819" t="s">
        <v>2941</v>
      </c>
      <c r="N819">
        <v>0.1273</v>
      </c>
      <c r="O819" t="s">
        <v>56</v>
      </c>
      <c r="P819" t="s">
        <v>57</v>
      </c>
      <c r="Q819" t="s">
        <v>109</v>
      </c>
      <c r="R819" t="s">
        <v>59</v>
      </c>
      <c r="S819" t="s">
        <v>2942</v>
      </c>
      <c r="T819" t="s">
        <v>61</v>
      </c>
      <c r="U819">
        <v>1.6236999999999999</v>
      </c>
      <c r="V819" t="s">
        <v>62</v>
      </c>
      <c r="W819">
        <v>0</v>
      </c>
      <c r="X819">
        <v>28.077999999999999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66</v>
      </c>
      <c r="AG819" t="s">
        <v>65</v>
      </c>
      <c r="AH819" t="s">
        <v>65</v>
      </c>
      <c r="AI819" t="s">
        <v>67</v>
      </c>
      <c r="AK819" t="s">
        <v>111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125</v>
      </c>
      <c r="AT819" t="s">
        <v>71</v>
      </c>
      <c r="AU819">
        <v>0</v>
      </c>
      <c r="AV819">
        <v>0</v>
      </c>
    </row>
    <row r="820" spans="1:48" x14ac:dyDescent="0.25">
      <c r="A820" t="s">
        <v>2943</v>
      </c>
      <c r="B820" t="s">
        <v>125</v>
      </c>
      <c r="C820" t="s">
        <v>50</v>
      </c>
      <c r="D820">
        <v>440547.03419999999</v>
      </c>
      <c r="E820">
        <v>1827692.9145</v>
      </c>
      <c r="F820">
        <v>29.821000000000002</v>
      </c>
      <c r="G820" t="s">
        <v>2944</v>
      </c>
      <c r="H820" t="s">
        <v>52</v>
      </c>
      <c r="I820">
        <v>29.821000000000002</v>
      </c>
      <c r="J820" t="s">
        <v>53</v>
      </c>
      <c r="K820">
        <v>0</v>
      </c>
      <c r="L820" t="s">
        <v>1112</v>
      </c>
      <c r="M820" t="s">
        <v>2945</v>
      </c>
      <c r="N820">
        <v>0.13159999999999999</v>
      </c>
      <c r="O820" t="s">
        <v>56</v>
      </c>
      <c r="P820" t="s">
        <v>57</v>
      </c>
      <c r="Q820" t="s">
        <v>109</v>
      </c>
      <c r="R820" t="s">
        <v>59</v>
      </c>
      <c r="S820" t="s">
        <v>2946</v>
      </c>
      <c r="T820" t="s">
        <v>61</v>
      </c>
      <c r="U820">
        <v>1.7601</v>
      </c>
      <c r="V820" t="s">
        <v>62</v>
      </c>
      <c r="W820">
        <v>0</v>
      </c>
      <c r="X820">
        <v>28.061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66</v>
      </c>
      <c r="AG820" t="s">
        <v>65</v>
      </c>
      <c r="AH820" t="s">
        <v>65</v>
      </c>
      <c r="AI820" t="s">
        <v>67</v>
      </c>
      <c r="AK820" t="s">
        <v>111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125</v>
      </c>
      <c r="AT820" t="s">
        <v>71</v>
      </c>
      <c r="AU820">
        <v>0</v>
      </c>
      <c r="AV820">
        <v>0</v>
      </c>
    </row>
    <row r="821" spans="1:48" x14ac:dyDescent="0.25">
      <c r="A821" t="s">
        <v>2947</v>
      </c>
      <c r="B821" t="s">
        <v>125</v>
      </c>
      <c r="C821" t="s">
        <v>50</v>
      </c>
      <c r="D821">
        <v>440568.12719999999</v>
      </c>
      <c r="E821">
        <v>1827692.9145</v>
      </c>
      <c r="F821">
        <v>29.779</v>
      </c>
      <c r="G821" t="s">
        <v>2948</v>
      </c>
      <c r="H821" t="s">
        <v>52</v>
      </c>
      <c r="I821">
        <v>29.779</v>
      </c>
      <c r="J821" t="s">
        <v>53</v>
      </c>
      <c r="K821">
        <v>0</v>
      </c>
      <c r="L821" t="s">
        <v>1112</v>
      </c>
      <c r="M821" t="s">
        <v>2949</v>
      </c>
      <c r="N821">
        <v>0.1368</v>
      </c>
      <c r="O821" t="s">
        <v>56</v>
      </c>
      <c r="P821" t="s">
        <v>57</v>
      </c>
      <c r="Q821" t="s">
        <v>109</v>
      </c>
      <c r="R821" t="s">
        <v>59</v>
      </c>
      <c r="S821" t="s">
        <v>2950</v>
      </c>
      <c r="T821" t="s">
        <v>61</v>
      </c>
      <c r="U821">
        <v>1.7559</v>
      </c>
      <c r="V821" t="s">
        <v>62</v>
      </c>
      <c r="W821">
        <v>0</v>
      </c>
      <c r="X821">
        <v>28.023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66</v>
      </c>
      <c r="AG821" t="s">
        <v>65</v>
      </c>
      <c r="AH821" t="s">
        <v>65</v>
      </c>
      <c r="AI821" t="s">
        <v>67</v>
      </c>
      <c r="AK821" t="s">
        <v>111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125</v>
      </c>
      <c r="AT821" t="s">
        <v>71</v>
      </c>
      <c r="AU821">
        <v>0</v>
      </c>
      <c r="AV821">
        <v>0</v>
      </c>
    </row>
    <row r="822" spans="1:48" x14ac:dyDescent="0.25">
      <c r="A822" t="s">
        <v>2951</v>
      </c>
      <c r="B822" t="s">
        <v>125</v>
      </c>
      <c r="C822" t="s">
        <v>50</v>
      </c>
      <c r="D822">
        <v>440584.72240000003</v>
      </c>
      <c r="E822">
        <v>1827692.9145</v>
      </c>
      <c r="F822">
        <v>29.559000000000001</v>
      </c>
      <c r="G822" t="s">
        <v>2952</v>
      </c>
      <c r="H822" t="s">
        <v>52</v>
      </c>
      <c r="I822">
        <v>29.559000000000001</v>
      </c>
      <c r="J822" t="s">
        <v>53</v>
      </c>
      <c r="K822">
        <v>0</v>
      </c>
      <c r="L822" t="s">
        <v>1112</v>
      </c>
      <c r="M822" t="s">
        <v>2953</v>
      </c>
      <c r="N822">
        <v>0.1409</v>
      </c>
      <c r="O822" t="s">
        <v>56</v>
      </c>
      <c r="P822" t="s">
        <v>57</v>
      </c>
      <c r="Q822" t="s">
        <v>109</v>
      </c>
      <c r="R822" t="s">
        <v>59</v>
      </c>
      <c r="S822" t="s">
        <v>2954</v>
      </c>
      <c r="T822" t="s">
        <v>61</v>
      </c>
      <c r="U822">
        <v>1.6059000000000001</v>
      </c>
      <c r="V822" t="s">
        <v>62</v>
      </c>
      <c r="W822">
        <v>0</v>
      </c>
      <c r="X822">
        <v>27.952999999999999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66</v>
      </c>
      <c r="AG822" t="s">
        <v>65</v>
      </c>
      <c r="AH822" t="s">
        <v>65</v>
      </c>
      <c r="AI822" t="s">
        <v>67</v>
      </c>
      <c r="AK822" t="s">
        <v>111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125</v>
      </c>
      <c r="AT822" t="s">
        <v>71</v>
      </c>
      <c r="AU822">
        <v>0</v>
      </c>
      <c r="AV822">
        <v>0</v>
      </c>
    </row>
    <row r="823" spans="1:48" x14ac:dyDescent="0.25">
      <c r="A823" t="s">
        <v>2955</v>
      </c>
      <c r="B823" t="s">
        <v>105</v>
      </c>
      <c r="C823" t="s">
        <v>50</v>
      </c>
      <c r="D823">
        <v>440398.2501</v>
      </c>
      <c r="E823">
        <v>1827881.7339000001</v>
      </c>
      <c r="F823">
        <v>30.754000000000001</v>
      </c>
      <c r="G823" t="s">
        <v>2956</v>
      </c>
      <c r="H823" t="s">
        <v>52</v>
      </c>
      <c r="I823">
        <v>30.754000000000001</v>
      </c>
      <c r="J823" t="s">
        <v>53</v>
      </c>
      <c r="K823">
        <v>0</v>
      </c>
      <c r="L823" t="s">
        <v>107</v>
      </c>
      <c r="M823" t="s">
        <v>2957</v>
      </c>
      <c r="N823">
        <v>0.2248</v>
      </c>
      <c r="O823" t="s">
        <v>56</v>
      </c>
      <c r="P823" t="s">
        <v>57</v>
      </c>
      <c r="Q823" t="s">
        <v>59</v>
      </c>
      <c r="R823" t="s">
        <v>109</v>
      </c>
      <c r="S823" t="s">
        <v>2958</v>
      </c>
      <c r="T823" t="s">
        <v>61</v>
      </c>
      <c r="U823">
        <v>1.3429</v>
      </c>
      <c r="V823" t="s">
        <v>62</v>
      </c>
      <c r="W823">
        <v>0</v>
      </c>
      <c r="X823">
        <v>29.411000000000001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111</v>
      </c>
      <c r="AG823" t="s">
        <v>65</v>
      </c>
      <c r="AH823" t="s">
        <v>65</v>
      </c>
      <c r="AI823" t="s">
        <v>67</v>
      </c>
      <c r="AK823" t="s">
        <v>66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105</v>
      </c>
      <c r="AT823" t="s">
        <v>71</v>
      </c>
      <c r="AU823">
        <v>0</v>
      </c>
      <c r="AV823">
        <v>0</v>
      </c>
    </row>
    <row r="824" spans="1:48" x14ac:dyDescent="0.25">
      <c r="A824" t="s">
        <v>2959</v>
      </c>
      <c r="B824" t="s">
        <v>105</v>
      </c>
      <c r="C824" t="s">
        <v>50</v>
      </c>
      <c r="D824">
        <v>440398.2501</v>
      </c>
      <c r="E824">
        <v>1827869.7609000001</v>
      </c>
      <c r="F824">
        <v>31.013000000000002</v>
      </c>
      <c r="G824" t="s">
        <v>2960</v>
      </c>
      <c r="H824" t="s">
        <v>52</v>
      </c>
      <c r="I824">
        <v>31.013000000000002</v>
      </c>
      <c r="J824" t="s">
        <v>53</v>
      </c>
      <c r="K824">
        <v>0</v>
      </c>
      <c r="L824" t="s">
        <v>107</v>
      </c>
      <c r="M824" s="1" t="s">
        <v>452</v>
      </c>
      <c r="N824">
        <v>0.2248</v>
      </c>
      <c r="O824" t="s">
        <v>56</v>
      </c>
      <c r="P824" t="s">
        <v>57</v>
      </c>
      <c r="Q824" t="s">
        <v>59</v>
      </c>
      <c r="R824" t="s">
        <v>109</v>
      </c>
      <c r="S824" t="s">
        <v>2961</v>
      </c>
      <c r="T824" t="s">
        <v>61</v>
      </c>
      <c r="U824">
        <v>1.6140000000000001</v>
      </c>
      <c r="V824" t="s">
        <v>62</v>
      </c>
      <c r="W824">
        <v>0</v>
      </c>
      <c r="X824">
        <v>29.399000000000001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111</v>
      </c>
      <c r="AG824" t="s">
        <v>65</v>
      </c>
      <c r="AH824" t="s">
        <v>65</v>
      </c>
      <c r="AI824" t="s">
        <v>67</v>
      </c>
      <c r="AK824" t="s">
        <v>66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105</v>
      </c>
      <c r="AT824" t="s">
        <v>71</v>
      </c>
      <c r="AU824">
        <v>0</v>
      </c>
      <c r="AV824">
        <v>0</v>
      </c>
    </row>
    <row r="825" spans="1:48" x14ac:dyDescent="0.25">
      <c r="A825" t="s">
        <v>2962</v>
      </c>
      <c r="B825" t="s">
        <v>125</v>
      </c>
      <c r="C825" t="s">
        <v>50</v>
      </c>
      <c r="D825">
        <v>440350.4252</v>
      </c>
      <c r="E825">
        <v>1827703.5645000001</v>
      </c>
      <c r="F825">
        <v>30.634</v>
      </c>
      <c r="G825" t="s">
        <v>2963</v>
      </c>
      <c r="H825" t="s">
        <v>52</v>
      </c>
      <c r="I825">
        <v>30.634</v>
      </c>
      <c r="J825" t="s">
        <v>53</v>
      </c>
      <c r="K825">
        <v>0</v>
      </c>
      <c r="L825" t="s">
        <v>1056</v>
      </c>
      <c r="M825" s="1" t="s">
        <v>525</v>
      </c>
      <c r="N825">
        <v>-0.15</v>
      </c>
      <c r="O825" t="s">
        <v>56</v>
      </c>
      <c r="P825" t="s">
        <v>57</v>
      </c>
      <c r="Q825" t="s">
        <v>109</v>
      </c>
      <c r="R825" t="s">
        <v>59</v>
      </c>
      <c r="S825" t="s">
        <v>2883</v>
      </c>
      <c r="T825" t="s">
        <v>61</v>
      </c>
      <c r="U825">
        <v>1.5550999999999999</v>
      </c>
      <c r="V825" t="s">
        <v>62</v>
      </c>
      <c r="W825">
        <v>0</v>
      </c>
      <c r="X825">
        <v>29.079000000000001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66</v>
      </c>
      <c r="AG825" t="s">
        <v>65</v>
      </c>
      <c r="AH825" t="s">
        <v>65</v>
      </c>
      <c r="AI825" t="s">
        <v>67</v>
      </c>
      <c r="AK825" t="s">
        <v>111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125</v>
      </c>
      <c r="AT825" t="s">
        <v>71</v>
      </c>
      <c r="AU825">
        <v>0</v>
      </c>
      <c r="AV825">
        <v>0</v>
      </c>
    </row>
    <row r="826" spans="1:48" x14ac:dyDescent="0.25">
      <c r="A826" t="s">
        <v>2964</v>
      </c>
      <c r="B826" t="s">
        <v>125</v>
      </c>
      <c r="C826" t="s">
        <v>50</v>
      </c>
      <c r="D826">
        <v>440370.4252</v>
      </c>
      <c r="E826">
        <v>1827703.5645000001</v>
      </c>
      <c r="F826">
        <v>30.472000000000001</v>
      </c>
      <c r="G826" t="s">
        <v>2965</v>
      </c>
      <c r="H826" t="s">
        <v>52</v>
      </c>
      <c r="I826">
        <v>30.472000000000001</v>
      </c>
      <c r="J826" t="s">
        <v>53</v>
      </c>
      <c r="K826">
        <v>0</v>
      </c>
      <c r="L826" t="s">
        <v>1056</v>
      </c>
      <c r="M826" s="1" t="s">
        <v>529</v>
      </c>
      <c r="N826">
        <v>-0.15</v>
      </c>
      <c r="O826" t="s">
        <v>56</v>
      </c>
      <c r="P826" t="s">
        <v>57</v>
      </c>
      <c r="Q826" t="s">
        <v>109</v>
      </c>
      <c r="R826" t="s">
        <v>59</v>
      </c>
      <c r="S826" t="s">
        <v>2966</v>
      </c>
      <c r="T826" t="s">
        <v>61</v>
      </c>
      <c r="U826">
        <v>1.6785000000000001</v>
      </c>
      <c r="V826" t="s">
        <v>62</v>
      </c>
      <c r="W826">
        <v>0</v>
      </c>
      <c r="X826">
        <v>28.792999999999999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66</v>
      </c>
      <c r="AG826" t="s">
        <v>65</v>
      </c>
      <c r="AH826" t="s">
        <v>65</v>
      </c>
      <c r="AI826" t="s">
        <v>67</v>
      </c>
      <c r="AK826" t="s">
        <v>111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125</v>
      </c>
      <c r="AT826" t="s">
        <v>71</v>
      </c>
      <c r="AU826">
        <v>0</v>
      </c>
      <c r="AV826">
        <v>0</v>
      </c>
    </row>
    <row r="827" spans="1:48" x14ac:dyDescent="0.25">
      <c r="A827" t="s">
        <v>2967</v>
      </c>
      <c r="B827" t="s">
        <v>105</v>
      </c>
      <c r="C827" t="s">
        <v>50</v>
      </c>
      <c r="D827">
        <v>440387.60009999998</v>
      </c>
      <c r="E827">
        <v>1827881.2960000001</v>
      </c>
      <c r="F827">
        <v>30.768999999999998</v>
      </c>
      <c r="G827" t="s">
        <v>2968</v>
      </c>
      <c r="H827" t="s">
        <v>52</v>
      </c>
      <c r="I827">
        <v>30.768999999999998</v>
      </c>
      <c r="J827" t="s">
        <v>53</v>
      </c>
      <c r="K827">
        <v>0</v>
      </c>
      <c r="L827" t="s">
        <v>117</v>
      </c>
      <c r="M827" s="1" t="s">
        <v>2969</v>
      </c>
      <c r="N827">
        <v>-0.18859999999999999</v>
      </c>
      <c r="O827" t="s">
        <v>56</v>
      </c>
      <c r="P827" t="s">
        <v>57</v>
      </c>
      <c r="Q827" t="s">
        <v>59</v>
      </c>
      <c r="R827" t="s">
        <v>109</v>
      </c>
      <c r="S827" t="s">
        <v>2970</v>
      </c>
      <c r="T827" t="s">
        <v>61</v>
      </c>
      <c r="U827">
        <v>1.4016999999999999</v>
      </c>
      <c r="V827" t="s">
        <v>62</v>
      </c>
      <c r="W827">
        <v>0</v>
      </c>
      <c r="X827">
        <v>29.367000000000001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111</v>
      </c>
      <c r="AG827" t="s">
        <v>65</v>
      </c>
      <c r="AH827" t="s">
        <v>65</v>
      </c>
      <c r="AI827" t="s">
        <v>67</v>
      </c>
      <c r="AK827" t="s">
        <v>66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105</v>
      </c>
      <c r="AT827" t="s">
        <v>71</v>
      </c>
      <c r="AU827">
        <v>0</v>
      </c>
      <c r="AV827">
        <v>0</v>
      </c>
    </row>
    <row r="828" spans="1:48" x14ac:dyDescent="0.25">
      <c r="A828" t="s">
        <v>2971</v>
      </c>
      <c r="B828" t="s">
        <v>105</v>
      </c>
      <c r="C828" t="s">
        <v>50</v>
      </c>
      <c r="D828">
        <v>440387.60009999998</v>
      </c>
      <c r="E828">
        <v>1827869.7609000001</v>
      </c>
      <c r="F828">
        <v>31.013000000000002</v>
      </c>
      <c r="G828" t="s">
        <v>2972</v>
      </c>
      <c r="H828" t="s">
        <v>52</v>
      </c>
      <c r="I828">
        <v>31.013000000000002</v>
      </c>
      <c r="J828" t="s">
        <v>53</v>
      </c>
      <c r="K828">
        <v>0</v>
      </c>
      <c r="L828" t="s">
        <v>117</v>
      </c>
      <c r="M828" s="1" t="s">
        <v>452</v>
      </c>
      <c r="N828">
        <v>-0.18859999999999999</v>
      </c>
      <c r="O828" t="s">
        <v>56</v>
      </c>
      <c r="P828" t="s">
        <v>57</v>
      </c>
      <c r="Q828" t="s">
        <v>59</v>
      </c>
      <c r="R828" t="s">
        <v>109</v>
      </c>
      <c r="S828" t="s">
        <v>2973</v>
      </c>
      <c r="T828" t="s">
        <v>61</v>
      </c>
      <c r="U828">
        <v>1.6579999999999999</v>
      </c>
      <c r="V828" t="s">
        <v>62</v>
      </c>
      <c r="W828">
        <v>0</v>
      </c>
      <c r="X828">
        <v>29.355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111</v>
      </c>
      <c r="AG828" t="s">
        <v>65</v>
      </c>
      <c r="AH828" t="s">
        <v>65</v>
      </c>
      <c r="AI828" t="s">
        <v>67</v>
      </c>
      <c r="AK828" t="s">
        <v>66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105</v>
      </c>
      <c r="AT828" t="s">
        <v>71</v>
      </c>
      <c r="AU828">
        <v>0</v>
      </c>
      <c r="AV828">
        <v>0</v>
      </c>
    </row>
    <row r="829" spans="1:48" x14ac:dyDescent="0.25">
      <c r="A829" t="s">
        <v>2974</v>
      </c>
      <c r="B829" t="s">
        <v>105</v>
      </c>
      <c r="C829" t="s">
        <v>50</v>
      </c>
      <c r="D829">
        <v>440387.60009999998</v>
      </c>
      <c r="E829">
        <v>1827849.7609000001</v>
      </c>
      <c r="F829">
        <v>31.206</v>
      </c>
      <c r="G829" t="s">
        <v>2975</v>
      </c>
      <c r="H829" t="s">
        <v>52</v>
      </c>
      <c r="I829">
        <v>31.206</v>
      </c>
      <c r="J829" t="s">
        <v>53</v>
      </c>
      <c r="K829">
        <v>0</v>
      </c>
      <c r="L829" t="s">
        <v>117</v>
      </c>
      <c r="M829" s="1" t="s">
        <v>448</v>
      </c>
      <c r="N829">
        <v>-0.18859999999999999</v>
      </c>
      <c r="O829" t="s">
        <v>56</v>
      </c>
      <c r="P829" t="s">
        <v>57</v>
      </c>
      <c r="Q829" t="s">
        <v>59</v>
      </c>
      <c r="R829" t="s">
        <v>109</v>
      </c>
      <c r="S829" t="s">
        <v>2976</v>
      </c>
      <c r="T829" t="s">
        <v>61</v>
      </c>
      <c r="U829">
        <v>1.8714</v>
      </c>
      <c r="V829" t="s">
        <v>62</v>
      </c>
      <c r="W829">
        <v>0</v>
      </c>
      <c r="X829">
        <v>29.335000000000001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111</v>
      </c>
      <c r="AG829" t="s">
        <v>65</v>
      </c>
      <c r="AH829" t="s">
        <v>65</v>
      </c>
      <c r="AI829" t="s">
        <v>67</v>
      </c>
      <c r="AK829" t="s">
        <v>66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105</v>
      </c>
      <c r="AT829" t="s">
        <v>71</v>
      </c>
      <c r="AU829">
        <v>0</v>
      </c>
      <c r="AV829">
        <v>0</v>
      </c>
    </row>
    <row r="830" spans="1:48" x14ac:dyDescent="0.25">
      <c r="A830" t="s">
        <v>2977</v>
      </c>
      <c r="B830" t="s">
        <v>105</v>
      </c>
      <c r="C830" t="s">
        <v>50</v>
      </c>
      <c r="D830">
        <v>440387.60009999998</v>
      </c>
      <c r="E830">
        <v>1827829.7609000001</v>
      </c>
      <c r="F830">
        <v>31.38</v>
      </c>
      <c r="G830" t="s">
        <v>2978</v>
      </c>
      <c r="H830" t="s">
        <v>52</v>
      </c>
      <c r="I830">
        <v>31.38</v>
      </c>
      <c r="J830" t="s">
        <v>53</v>
      </c>
      <c r="K830">
        <v>0</v>
      </c>
      <c r="L830" t="s">
        <v>117</v>
      </c>
      <c r="M830" s="1" t="s">
        <v>444</v>
      </c>
      <c r="N830">
        <v>-0.18859999999999999</v>
      </c>
      <c r="O830" t="s">
        <v>56</v>
      </c>
      <c r="P830" t="s">
        <v>57</v>
      </c>
      <c r="Q830" t="s">
        <v>59</v>
      </c>
      <c r="R830" t="s">
        <v>109</v>
      </c>
      <c r="S830" t="s">
        <v>2979</v>
      </c>
      <c r="T830" t="s">
        <v>61</v>
      </c>
      <c r="U830">
        <v>2.0651999999999999</v>
      </c>
      <c r="V830" t="s">
        <v>62</v>
      </c>
      <c r="W830">
        <v>0</v>
      </c>
      <c r="X830">
        <v>29.315000000000001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111</v>
      </c>
      <c r="AG830" t="s">
        <v>65</v>
      </c>
      <c r="AH830" t="s">
        <v>65</v>
      </c>
      <c r="AI830" t="s">
        <v>67</v>
      </c>
      <c r="AK830" t="s">
        <v>66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105</v>
      </c>
      <c r="AT830" t="s">
        <v>71</v>
      </c>
      <c r="AU830">
        <v>0</v>
      </c>
      <c r="AV830">
        <v>0</v>
      </c>
    </row>
    <row r="831" spans="1:48" x14ac:dyDescent="0.25">
      <c r="A831" t="s">
        <v>2980</v>
      </c>
      <c r="B831" t="s">
        <v>105</v>
      </c>
      <c r="C831" t="s">
        <v>50</v>
      </c>
      <c r="D831">
        <v>440387.60009999998</v>
      </c>
      <c r="E831">
        <v>1827809.7609000001</v>
      </c>
      <c r="F831">
        <v>31.411999999999999</v>
      </c>
      <c r="G831" t="s">
        <v>2981</v>
      </c>
      <c r="H831" t="s">
        <v>52</v>
      </c>
      <c r="I831">
        <v>31.411999999999999</v>
      </c>
      <c r="J831" t="s">
        <v>53</v>
      </c>
      <c r="K831">
        <v>0</v>
      </c>
      <c r="L831" t="s">
        <v>117</v>
      </c>
      <c r="M831" s="1" t="s">
        <v>440</v>
      </c>
      <c r="N831">
        <v>-0.18859999999999999</v>
      </c>
      <c r="O831" t="s">
        <v>56</v>
      </c>
      <c r="P831" t="s">
        <v>57</v>
      </c>
      <c r="Q831" t="s">
        <v>59</v>
      </c>
      <c r="R831" t="s">
        <v>109</v>
      </c>
      <c r="S831" t="s">
        <v>2982</v>
      </c>
      <c r="T831" t="s">
        <v>61</v>
      </c>
      <c r="U831">
        <v>2.1166999999999998</v>
      </c>
      <c r="V831" t="s">
        <v>62</v>
      </c>
      <c r="W831">
        <v>0</v>
      </c>
      <c r="X831">
        <v>29.295000000000002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111</v>
      </c>
      <c r="AG831" t="s">
        <v>65</v>
      </c>
      <c r="AH831" t="s">
        <v>65</v>
      </c>
      <c r="AI831" t="s">
        <v>67</v>
      </c>
      <c r="AK831" t="s">
        <v>66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105</v>
      </c>
      <c r="AT831" t="s">
        <v>71</v>
      </c>
      <c r="AU831">
        <v>0</v>
      </c>
      <c r="AV831">
        <v>0</v>
      </c>
    </row>
    <row r="832" spans="1:48" x14ac:dyDescent="0.25">
      <c r="A832" t="s">
        <v>2983</v>
      </c>
      <c r="B832" t="s">
        <v>105</v>
      </c>
      <c r="C832" t="s">
        <v>50</v>
      </c>
      <c r="D832">
        <v>440387.60009999998</v>
      </c>
      <c r="E832">
        <v>1827789.7609000001</v>
      </c>
      <c r="F832">
        <v>31.28</v>
      </c>
      <c r="G832" t="s">
        <v>2984</v>
      </c>
      <c r="H832" t="s">
        <v>52</v>
      </c>
      <c r="I832">
        <v>31.28</v>
      </c>
      <c r="J832" t="s">
        <v>53</v>
      </c>
      <c r="K832">
        <v>0</v>
      </c>
      <c r="L832" t="s">
        <v>117</v>
      </c>
      <c r="M832" s="1" t="s">
        <v>597</v>
      </c>
      <c r="N832">
        <v>-0.18859999999999999</v>
      </c>
      <c r="O832" t="s">
        <v>56</v>
      </c>
      <c r="P832" t="s">
        <v>57</v>
      </c>
      <c r="Q832" t="s">
        <v>59</v>
      </c>
      <c r="R832" t="s">
        <v>109</v>
      </c>
      <c r="S832" t="s">
        <v>2985</v>
      </c>
      <c r="T832" t="s">
        <v>61</v>
      </c>
      <c r="U832">
        <v>2.0047000000000001</v>
      </c>
      <c r="V832" t="s">
        <v>62</v>
      </c>
      <c r="W832">
        <v>0</v>
      </c>
      <c r="X832">
        <v>29.274999999999999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111</v>
      </c>
      <c r="AG832" t="s">
        <v>65</v>
      </c>
      <c r="AH832" t="s">
        <v>65</v>
      </c>
      <c r="AI832" t="s">
        <v>67</v>
      </c>
      <c r="AK832" t="s">
        <v>66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105</v>
      </c>
      <c r="AT832" t="s">
        <v>71</v>
      </c>
      <c r="AU832">
        <v>0</v>
      </c>
      <c r="AV832">
        <v>0</v>
      </c>
    </row>
    <row r="833" spans="1:48" x14ac:dyDescent="0.25">
      <c r="A833" t="s">
        <v>2986</v>
      </c>
      <c r="B833" t="s">
        <v>105</v>
      </c>
      <c r="C833" t="s">
        <v>50</v>
      </c>
      <c r="D833">
        <v>440387.60009999998</v>
      </c>
      <c r="E833">
        <v>1827769.7609000001</v>
      </c>
      <c r="F833">
        <v>31.065000000000001</v>
      </c>
      <c r="G833" t="s">
        <v>2987</v>
      </c>
      <c r="H833" t="s">
        <v>52</v>
      </c>
      <c r="I833">
        <v>31.065000000000001</v>
      </c>
      <c r="J833" t="s">
        <v>53</v>
      </c>
      <c r="K833">
        <v>0</v>
      </c>
      <c r="L833" t="s">
        <v>117</v>
      </c>
      <c r="M833" s="1" t="s">
        <v>432</v>
      </c>
      <c r="N833">
        <v>-0.18859999999999999</v>
      </c>
      <c r="O833" t="s">
        <v>56</v>
      </c>
      <c r="P833" t="s">
        <v>57</v>
      </c>
      <c r="Q833" t="s">
        <v>59</v>
      </c>
      <c r="R833" t="s">
        <v>109</v>
      </c>
      <c r="S833" t="s">
        <v>2988</v>
      </c>
      <c r="T833" t="s">
        <v>61</v>
      </c>
      <c r="U833">
        <v>1.8095000000000001</v>
      </c>
      <c r="V833" t="s">
        <v>62</v>
      </c>
      <c r="W833">
        <v>0</v>
      </c>
      <c r="X833">
        <v>29.254999999999999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111</v>
      </c>
      <c r="AG833" t="s">
        <v>65</v>
      </c>
      <c r="AH833" t="s">
        <v>65</v>
      </c>
      <c r="AI833" t="s">
        <v>67</v>
      </c>
      <c r="AK833" t="s">
        <v>66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105</v>
      </c>
      <c r="AT833" t="s">
        <v>71</v>
      </c>
      <c r="AU833">
        <v>0</v>
      </c>
      <c r="AV833">
        <v>0</v>
      </c>
    </row>
    <row r="834" spans="1:48" x14ac:dyDescent="0.25">
      <c r="A834" t="s">
        <v>2989</v>
      </c>
      <c r="B834" t="s">
        <v>105</v>
      </c>
      <c r="C834" t="s">
        <v>50</v>
      </c>
      <c r="D834">
        <v>440387.60009999998</v>
      </c>
      <c r="E834">
        <v>1827749.7609000001</v>
      </c>
      <c r="F834">
        <v>30.849</v>
      </c>
      <c r="G834" t="s">
        <v>2990</v>
      </c>
      <c r="H834" t="s">
        <v>52</v>
      </c>
      <c r="I834">
        <v>30.849</v>
      </c>
      <c r="J834" t="s">
        <v>53</v>
      </c>
      <c r="K834">
        <v>0</v>
      </c>
      <c r="L834" t="s">
        <v>117</v>
      </c>
      <c r="M834" s="1" t="s">
        <v>428</v>
      </c>
      <c r="N834">
        <v>-0.18859999999999999</v>
      </c>
      <c r="O834" t="s">
        <v>56</v>
      </c>
      <c r="P834" t="s">
        <v>57</v>
      </c>
      <c r="Q834" t="s">
        <v>59</v>
      </c>
      <c r="R834" t="s">
        <v>109</v>
      </c>
      <c r="S834" t="s">
        <v>2991</v>
      </c>
      <c r="T834" t="s">
        <v>61</v>
      </c>
      <c r="U834">
        <v>1.6144000000000001</v>
      </c>
      <c r="V834" t="s">
        <v>62</v>
      </c>
      <c r="W834">
        <v>0</v>
      </c>
      <c r="X834">
        <v>29.234999999999999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111</v>
      </c>
      <c r="AG834" t="s">
        <v>65</v>
      </c>
      <c r="AH834" t="s">
        <v>65</v>
      </c>
      <c r="AI834" t="s">
        <v>67</v>
      </c>
      <c r="AK834" t="s">
        <v>66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105</v>
      </c>
      <c r="AT834" t="s">
        <v>71</v>
      </c>
      <c r="AU834">
        <v>0</v>
      </c>
      <c r="AV834">
        <v>0</v>
      </c>
    </row>
    <row r="835" spans="1:48" x14ac:dyDescent="0.25">
      <c r="A835" t="s">
        <v>2992</v>
      </c>
      <c r="B835" t="s">
        <v>105</v>
      </c>
      <c r="C835" t="s">
        <v>50</v>
      </c>
      <c r="D835">
        <v>440387.60009999998</v>
      </c>
      <c r="E835">
        <v>1827729.7609000001</v>
      </c>
      <c r="F835">
        <v>30.634</v>
      </c>
      <c r="G835" t="s">
        <v>2993</v>
      </c>
      <c r="H835" t="s">
        <v>52</v>
      </c>
      <c r="I835">
        <v>30.634</v>
      </c>
      <c r="J835" t="s">
        <v>53</v>
      </c>
      <c r="K835">
        <v>0</v>
      </c>
      <c r="L835" t="s">
        <v>117</v>
      </c>
      <c r="M835" s="1" t="s">
        <v>424</v>
      </c>
      <c r="N835">
        <v>-0.18859999999999999</v>
      </c>
      <c r="O835" t="s">
        <v>56</v>
      </c>
      <c r="P835" t="s">
        <v>57</v>
      </c>
      <c r="Q835" t="s">
        <v>59</v>
      </c>
      <c r="R835" t="s">
        <v>109</v>
      </c>
      <c r="S835" t="s">
        <v>2994</v>
      </c>
      <c r="T835" t="s">
        <v>61</v>
      </c>
      <c r="U835">
        <v>1.6252</v>
      </c>
      <c r="V835" t="s">
        <v>62</v>
      </c>
      <c r="W835">
        <v>0</v>
      </c>
      <c r="X835">
        <v>29.009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111</v>
      </c>
      <c r="AG835" t="s">
        <v>65</v>
      </c>
      <c r="AH835" t="s">
        <v>65</v>
      </c>
      <c r="AI835" t="s">
        <v>67</v>
      </c>
      <c r="AK835" t="s">
        <v>66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105</v>
      </c>
      <c r="AT835" t="s">
        <v>71</v>
      </c>
      <c r="AU835">
        <v>0</v>
      </c>
      <c r="AV835">
        <v>0</v>
      </c>
    </row>
    <row r="836" spans="1:48" x14ac:dyDescent="0.25">
      <c r="A836" t="s">
        <v>2995</v>
      </c>
      <c r="B836" t="s">
        <v>105</v>
      </c>
      <c r="C836" t="s">
        <v>50</v>
      </c>
      <c r="D836">
        <v>440387.60009999998</v>
      </c>
      <c r="E836">
        <v>1827711.32</v>
      </c>
      <c r="F836">
        <v>30.436</v>
      </c>
      <c r="G836" t="s">
        <v>2996</v>
      </c>
      <c r="H836" t="s">
        <v>52</v>
      </c>
      <c r="I836">
        <v>30.436</v>
      </c>
      <c r="J836" t="s">
        <v>53</v>
      </c>
      <c r="K836">
        <v>0</v>
      </c>
      <c r="L836" t="s">
        <v>117</v>
      </c>
      <c r="M836" t="s">
        <v>2997</v>
      </c>
      <c r="N836">
        <v>-0.18859999999999999</v>
      </c>
      <c r="O836" t="s">
        <v>56</v>
      </c>
      <c r="P836" t="s">
        <v>57</v>
      </c>
      <c r="Q836" t="s">
        <v>59</v>
      </c>
      <c r="R836" t="s">
        <v>109</v>
      </c>
      <c r="S836" t="s">
        <v>2998</v>
      </c>
      <c r="T836" t="s">
        <v>61</v>
      </c>
      <c r="U836">
        <v>1.6758</v>
      </c>
      <c r="V836" t="s">
        <v>62</v>
      </c>
      <c r="W836">
        <v>0</v>
      </c>
      <c r="X836">
        <v>28.76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111</v>
      </c>
      <c r="AG836" t="s">
        <v>65</v>
      </c>
      <c r="AH836" t="s">
        <v>65</v>
      </c>
      <c r="AI836" t="s">
        <v>67</v>
      </c>
      <c r="AK836" t="s">
        <v>66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105</v>
      </c>
      <c r="AT836" t="s">
        <v>71</v>
      </c>
      <c r="AU836">
        <v>0</v>
      </c>
      <c r="AV836">
        <v>0</v>
      </c>
    </row>
    <row r="837" spans="1:48" x14ac:dyDescent="0.25">
      <c r="A837" t="s">
        <v>2999</v>
      </c>
      <c r="B837" t="s">
        <v>125</v>
      </c>
      <c r="C837" t="s">
        <v>50</v>
      </c>
      <c r="D837">
        <v>440387.45010000002</v>
      </c>
      <c r="E837">
        <v>1827703.6395</v>
      </c>
      <c r="F837">
        <v>30.189</v>
      </c>
      <c r="G837" t="s">
        <v>3000</v>
      </c>
      <c r="H837" t="s">
        <v>52</v>
      </c>
      <c r="I837">
        <v>30.189</v>
      </c>
      <c r="J837" t="s">
        <v>53</v>
      </c>
      <c r="K837">
        <v>0</v>
      </c>
      <c r="L837" t="s">
        <v>1056</v>
      </c>
      <c r="M837" t="s">
        <v>3001</v>
      </c>
      <c r="N837">
        <v>-7.4999999999999997E-2</v>
      </c>
      <c r="O837" t="s">
        <v>56</v>
      </c>
      <c r="P837" t="s">
        <v>57</v>
      </c>
      <c r="Q837" t="s">
        <v>109</v>
      </c>
      <c r="R837" t="s">
        <v>59</v>
      </c>
      <c r="S837" t="s">
        <v>3002</v>
      </c>
      <c r="T837" t="s">
        <v>61</v>
      </c>
      <c r="U837">
        <v>1.4483999999999999</v>
      </c>
      <c r="V837" t="s">
        <v>62</v>
      </c>
      <c r="W837">
        <v>0</v>
      </c>
      <c r="X837">
        <v>28.741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66</v>
      </c>
      <c r="AG837" t="s">
        <v>65</v>
      </c>
      <c r="AH837" t="s">
        <v>65</v>
      </c>
      <c r="AI837" t="s">
        <v>67</v>
      </c>
      <c r="AK837" t="s">
        <v>111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125</v>
      </c>
      <c r="AT837" t="s">
        <v>71</v>
      </c>
      <c r="AU837">
        <v>0</v>
      </c>
      <c r="AV837">
        <v>0</v>
      </c>
    </row>
    <row r="838" spans="1:48" x14ac:dyDescent="0.25">
      <c r="A838" t="s">
        <v>3003</v>
      </c>
      <c r="B838" t="s">
        <v>125</v>
      </c>
      <c r="C838" t="s">
        <v>50</v>
      </c>
      <c r="D838">
        <v>440410.4252</v>
      </c>
      <c r="E838">
        <v>1827703.5645000001</v>
      </c>
      <c r="F838">
        <v>30.209</v>
      </c>
      <c r="G838" t="s">
        <v>3004</v>
      </c>
      <c r="H838" t="s">
        <v>52</v>
      </c>
      <c r="I838">
        <v>30.209</v>
      </c>
      <c r="J838" t="s">
        <v>53</v>
      </c>
      <c r="K838">
        <v>0</v>
      </c>
      <c r="L838" t="s">
        <v>1056</v>
      </c>
      <c r="M838" t="s">
        <v>420</v>
      </c>
      <c r="N838">
        <v>-0.15</v>
      </c>
      <c r="O838" t="s">
        <v>56</v>
      </c>
      <c r="P838" t="s">
        <v>57</v>
      </c>
      <c r="Q838" t="s">
        <v>109</v>
      </c>
      <c r="R838" t="s">
        <v>59</v>
      </c>
      <c r="S838" t="s">
        <v>3005</v>
      </c>
      <c r="T838" t="s">
        <v>61</v>
      </c>
      <c r="U838">
        <v>1.6418999999999999</v>
      </c>
      <c r="V838" t="s">
        <v>62</v>
      </c>
      <c r="W838">
        <v>0</v>
      </c>
      <c r="X838">
        <v>28.567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66</v>
      </c>
      <c r="AG838" t="s">
        <v>65</v>
      </c>
      <c r="AH838" t="s">
        <v>65</v>
      </c>
      <c r="AI838" t="s">
        <v>67</v>
      </c>
      <c r="AK838" t="s">
        <v>111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125</v>
      </c>
      <c r="AT838" t="s">
        <v>71</v>
      </c>
      <c r="AU838">
        <v>0</v>
      </c>
      <c r="AV838">
        <v>0</v>
      </c>
    </row>
    <row r="839" spans="1:48" x14ac:dyDescent="0.25">
      <c r="A839" t="s">
        <v>3006</v>
      </c>
      <c r="B839" t="s">
        <v>125</v>
      </c>
      <c r="C839" t="s">
        <v>50</v>
      </c>
      <c r="D839">
        <v>440430.4252</v>
      </c>
      <c r="E839">
        <v>1827703.5645000001</v>
      </c>
      <c r="F839">
        <v>30.11</v>
      </c>
      <c r="G839" t="s">
        <v>3007</v>
      </c>
      <c r="H839" t="s">
        <v>52</v>
      </c>
      <c r="I839">
        <v>30.11</v>
      </c>
      <c r="J839" t="s">
        <v>53</v>
      </c>
      <c r="K839">
        <v>0</v>
      </c>
      <c r="L839" t="s">
        <v>1056</v>
      </c>
      <c r="M839" t="s">
        <v>424</v>
      </c>
      <c r="N839">
        <v>-0.15</v>
      </c>
      <c r="O839" t="s">
        <v>56</v>
      </c>
      <c r="P839" t="s">
        <v>57</v>
      </c>
      <c r="Q839" t="s">
        <v>109</v>
      </c>
      <c r="R839" t="s">
        <v>59</v>
      </c>
      <c r="S839" t="s">
        <v>3008</v>
      </c>
      <c r="T839" t="s">
        <v>61</v>
      </c>
      <c r="U839">
        <v>1.6206</v>
      </c>
      <c r="V839" t="s">
        <v>62</v>
      </c>
      <c r="W839">
        <v>0</v>
      </c>
      <c r="X839">
        <v>28.489000000000001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66</v>
      </c>
      <c r="AG839" t="s">
        <v>65</v>
      </c>
      <c r="AH839" t="s">
        <v>65</v>
      </c>
      <c r="AI839" t="s">
        <v>67</v>
      </c>
      <c r="AK839" t="s">
        <v>111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125</v>
      </c>
      <c r="AT839" t="s">
        <v>71</v>
      </c>
      <c r="AU839">
        <v>0</v>
      </c>
      <c r="AV839">
        <v>0</v>
      </c>
    </row>
    <row r="840" spans="1:48" x14ac:dyDescent="0.25">
      <c r="A840" t="s">
        <v>3009</v>
      </c>
      <c r="B840" t="s">
        <v>125</v>
      </c>
      <c r="C840" t="s">
        <v>50</v>
      </c>
      <c r="D840">
        <v>440450.4252</v>
      </c>
      <c r="E840">
        <v>1827703.5645000001</v>
      </c>
      <c r="F840">
        <v>30.032</v>
      </c>
      <c r="G840" t="s">
        <v>3010</v>
      </c>
      <c r="H840" t="s">
        <v>52</v>
      </c>
      <c r="I840">
        <v>30.032</v>
      </c>
      <c r="J840" t="s">
        <v>53</v>
      </c>
      <c r="K840">
        <v>0</v>
      </c>
      <c r="L840" t="s">
        <v>1056</v>
      </c>
      <c r="M840" t="s">
        <v>428</v>
      </c>
      <c r="N840">
        <v>-0.15</v>
      </c>
      <c r="O840" t="s">
        <v>56</v>
      </c>
      <c r="P840" t="s">
        <v>57</v>
      </c>
      <c r="Q840" t="s">
        <v>109</v>
      </c>
      <c r="R840" t="s">
        <v>59</v>
      </c>
      <c r="S840" t="s">
        <v>3011</v>
      </c>
      <c r="T840" t="s">
        <v>61</v>
      </c>
      <c r="U840">
        <v>1.6027</v>
      </c>
      <c r="V840" t="s">
        <v>62</v>
      </c>
      <c r="W840">
        <v>0</v>
      </c>
      <c r="X840">
        <v>28.428999999999998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66</v>
      </c>
      <c r="AG840" t="s">
        <v>65</v>
      </c>
      <c r="AH840" t="s">
        <v>65</v>
      </c>
      <c r="AI840" t="s">
        <v>67</v>
      </c>
      <c r="AK840" t="s">
        <v>111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125</v>
      </c>
      <c r="AT840" t="s">
        <v>71</v>
      </c>
      <c r="AU840">
        <v>0</v>
      </c>
      <c r="AV840">
        <v>0</v>
      </c>
    </row>
    <row r="841" spans="1:48" x14ac:dyDescent="0.25">
      <c r="A841" t="s">
        <v>3012</v>
      </c>
      <c r="B841" t="s">
        <v>125</v>
      </c>
      <c r="C841" t="s">
        <v>50</v>
      </c>
      <c r="D841">
        <v>440470.4252</v>
      </c>
      <c r="E841">
        <v>1827703.5645000001</v>
      </c>
      <c r="F841">
        <v>29.975000000000001</v>
      </c>
      <c r="G841" t="s">
        <v>3013</v>
      </c>
      <c r="H841" t="s">
        <v>52</v>
      </c>
      <c r="I841">
        <v>29.975000000000001</v>
      </c>
      <c r="J841" t="s">
        <v>53</v>
      </c>
      <c r="K841">
        <v>0</v>
      </c>
      <c r="L841" t="s">
        <v>1056</v>
      </c>
      <c r="M841" t="s">
        <v>432</v>
      </c>
      <c r="N841">
        <v>-0.15</v>
      </c>
      <c r="O841" t="s">
        <v>56</v>
      </c>
      <c r="P841" t="s">
        <v>57</v>
      </c>
      <c r="Q841" t="s">
        <v>109</v>
      </c>
      <c r="R841" t="s">
        <v>59</v>
      </c>
      <c r="S841" t="s">
        <v>3014</v>
      </c>
      <c r="T841" t="s">
        <v>61</v>
      </c>
      <c r="U841">
        <v>1.6022000000000001</v>
      </c>
      <c r="V841" t="s">
        <v>62</v>
      </c>
      <c r="W841">
        <v>0</v>
      </c>
      <c r="X841">
        <v>28.373000000000001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66</v>
      </c>
      <c r="AG841" t="s">
        <v>65</v>
      </c>
      <c r="AH841" t="s">
        <v>65</v>
      </c>
      <c r="AI841" t="s">
        <v>67</v>
      </c>
      <c r="AK841" t="s">
        <v>111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125</v>
      </c>
      <c r="AT841" t="s">
        <v>71</v>
      </c>
      <c r="AU841">
        <v>0</v>
      </c>
      <c r="AV841">
        <v>0</v>
      </c>
    </row>
    <row r="842" spans="1:48" x14ac:dyDescent="0.25">
      <c r="A842" t="s">
        <v>3015</v>
      </c>
      <c r="B842" t="s">
        <v>125</v>
      </c>
      <c r="C842" t="s">
        <v>50</v>
      </c>
      <c r="D842">
        <v>440490.4252</v>
      </c>
      <c r="E842">
        <v>1827703.5645000001</v>
      </c>
      <c r="F842">
        <v>29.934000000000001</v>
      </c>
      <c r="G842" t="s">
        <v>3016</v>
      </c>
      <c r="H842" t="s">
        <v>52</v>
      </c>
      <c r="I842">
        <v>29.934000000000001</v>
      </c>
      <c r="J842" t="s">
        <v>53</v>
      </c>
      <c r="K842">
        <v>0</v>
      </c>
      <c r="L842" t="s">
        <v>1056</v>
      </c>
      <c r="M842" t="s">
        <v>597</v>
      </c>
      <c r="N842">
        <v>-0.15</v>
      </c>
      <c r="O842" t="s">
        <v>56</v>
      </c>
      <c r="P842" t="s">
        <v>57</v>
      </c>
      <c r="Q842" t="s">
        <v>109</v>
      </c>
      <c r="R842" t="s">
        <v>59</v>
      </c>
      <c r="S842" t="s">
        <v>3017</v>
      </c>
      <c r="T842" t="s">
        <v>61</v>
      </c>
      <c r="U842">
        <v>1.6024</v>
      </c>
      <c r="V842" t="s">
        <v>62</v>
      </c>
      <c r="W842">
        <v>0</v>
      </c>
      <c r="X842">
        <v>28.332000000000001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66</v>
      </c>
      <c r="AG842" t="s">
        <v>65</v>
      </c>
      <c r="AH842" t="s">
        <v>65</v>
      </c>
      <c r="AI842" t="s">
        <v>67</v>
      </c>
      <c r="AK842" t="s">
        <v>111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125</v>
      </c>
      <c r="AT842" t="s">
        <v>71</v>
      </c>
      <c r="AU842">
        <v>0</v>
      </c>
      <c r="AV842">
        <v>0</v>
      </c>
    </row>
    <row r="843" spans="1:48" x14ac:dyDescent="0.25">
      <c r="A843" t="s">
        <v>3018</v>
      </c>
      <c r="B843" t="s">
        <v>125</v>
      </c>
      <c r="C843" t="s">
        <v>50</v>
      </c>
      <c r="D843">
        <v>440510.4252</v>
      </c>
      <c r="E843">
        <v>1827703.5645000001</v>
      </c>
      <c r="F843">
        <v>29.893999999999998</v>
      </c>
      <c r="G843" t="s">
        <v>3019</v>
      </c>
      <c r="H843" t="s">
        <v>52</v>
      </c>
      <c r="I843">
        <v>29.893999999999998</v>
      </c>
      <c r="J843" t="s">
        <v>53</v>
      </c>
      <c r="K843">
        <v>0</v>
      </c>
      <c r="L843" t="s">
        <v>1056</v>
      </c>
      <c r="M843" t="s">
        <v>440</v>
      </c>
      <c r="N843">
        <v>-0.15</v>
      </c>
      <c r="O843" t="s">
        <v>56</v>
      </c>
      <c r="P843" t="s">
        <v>57</v>
      </c>
      <c r="Q843" t="s">
        <v>109</v>
      </c>
      <c r="R843" t="s">
        <v>59</v>
      </c>
      <c r="S843" t="s">
        <v>3020</v>
      </c>
      <c r="T843" t="s">
        <v>61</v>
      </c>
      <c r="U843">
        <v>1.6024</v>
      </c>
      <c r="V843" t="s">
        <v>62</v>
      </c>
      <c r="W843">
        <v>0</v>
      </c>
      <c r="X843">
        <v>28.292000000000002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66</v>
      </c>
      <c r="AG843" t="s">
        <v>65</v>
      </c>
      <c r="AH843" t="s">
        <v>65</v>
      </c>
      <c r="AI843" t="s">
        <v>67</v>
      </c>
      <c r="AK843" t="s">
        <v>111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125</v>
      </c>
      <c r="AT843" t="s">
        <v>71</v>
      </c>
      <c r="AU843">
        <v>0</v>
      </c>
      <c r="AV843">
        <v>0</v>
      </c>
    </row>
    <row r="844" spans="1:48" x14ac:dyDescent="0.25">
      <c r="A844" t="s">
        <v>3021</v>
      </c>
      <c r="B844" t="s">
        <v>125</v>
      </c>
      <c r="C844" t="s">
        <v>50</v>
      </c>
      <c r="D844">
        <v>440530.4252</v>
      </c>
      <c r="E844">
        <v>1827703.5645000001</v>
      </c>
      <c r="F844">
        <v>29.853999999999999</v>
      </c>
      <c r="G844" t="s">
        <v>3022</v>
      </c>
      <c r="H844" t="s">
        <v>52</v>
      </c>
      <c r="I844">
        <v>29.853999999999999</v>
      </c>
      <c r="J844" t="s">
        <v>53</v>
      </c>
      <c r="K844">
        <v>0</v>
      </c>
      <c r="L844" t="s">
        <v>1056</v>
      </c>
      <c r="M844" t="s">
        <v>444</v>
      </c>
      <c r="N844">
        <v>-0.15</v>
      </c>
      <c r="O844" t="s">
        <v>56</v>
      </c>
      <c r="P844" t="s">
        <v>57</v>
      </c>
      <c r="Q844" t="s">
        <v>109</v>
      </c>
      <c r="R844" t="s">
        <v>59</v>
      </c>
      <c r="S844" t="s">
        <v>3023</v>
      </c>
      <c r="T844" t="s">
        <v>61</v>
      </c>
      <c r="U844">
        <v>1.6023000000000001</v>
      </c>
      <c r="V844" t="s">
        <v>62</v>
      </c>
      <c r="W844">
        <v>0</v>
      </c>
      <c r="X844">
        <v>28.251999999999999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66</v>
      </c>
      <c r="AG844" t="s">
        <v>65</v>
      </c>
      <c r="AH844" t="s">
        <v>65</v>
      </c>
      <c r="AI844" t="s">
        <v>67</v>
      </c>
      <c r="AK844" t="s">
        <v>111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125</v>
      </c>
      <c r="AT844" t="s">
        <v>71</v>
      </c>
      <c r="AU844">
        <v>0</v>
      </c>
      <c r="AV844">
        <v>0</v>
      </c>
    </row>
    <row r="845" spans="1:48" x14ac:dyDescent="0.25">
      <c r="A845" t="s">
        <v>3024</v>
      </c>
      <c r="B845" t="s">
        <v>125</v>
      </c>
      <c r="C845" t="s">
        <v>50</v>
      </c>
      <c r="D845">
        <v>440550.4252</v>
      </c>
      <c r="E845">
        <v>1827703.5645000001</v>
      </c>
      <c r="F845">
        <v>29.814</v>
      </c>
      <c r="G845" t="s">
        <v>3025</v>
      </c>
      <c r="H845" t="s">
        <v>52</v>
      </c>
      <c r="I845">
        <v>29.814</v>
      </c>
      <c r="J845" t="s">
        <v>53</v>
      </c>
      <c r="K845">
        <v>0</v>
      </c>
      <c r="L845" t="s">
        <v>1056</v>
      </c>
      <c r="M845" t="s">
        <v>448</v>
      </c>
      <c r="N845">
        <v>-0.15</v>
      </c>
      <c r="O845" t="s">
        <v>56</v>
      </c>
      <c r="P845" t="s">
        <v>57</v>
      </c>
      <c r="Q845" t="s">
        <v>109</v>
      </c>
      <c r="R845" t="s">
        <v>59</v>
      </c>
      <c r="S845" t="s">
        <v>3026</v>
      </c>
      <c r="T845" t="s">
        <v>61</v>
      </c>
      <c r="U845">
        <v>1.6023000000000001</v>
      </c>
      <c r="V845" t="s">
        <v>62</v>
      </c>
      <c r="W845">
        <v>0</v>
      </c>
      <c r="X845">
        <v>28.212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66</v>
      </c>
      <c r="AG845" t="s">
        <v>65</v>
      </c>
      <c r="AH845" t="s">
        <v>65</v>
      </c>
      <c r="AI845" t="s">
        <v>67</v>
      </c>
      <c r="AK845" t="s">
        <v>111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125</v>
      </c>
      <c r="AT845" t="s">
        <v>71</v>
      </c>
      <c r="AU845">
        <v>0</v>
      </c>
      <c r="AV845">
        <v>0</v>
      </c>
    </row>
    <row r="846" spans="1:48" x14ac:dyDescent="0.25">
      <c r="A846" t="s">
        <v>3027</v>
      </c>
      <c r="B846" t="s">
        <v>125</v>
      </c>
      <c r="C846" t="s">
        <v>50</v>
      </c>
      <c r="D846">
        <v>440570.4252</v>
      </c>
      <c r="E846">
        <v>1827703.5645000001</v>
      </c>
      <c r="F846">
        <v>29.774000000000001</v>
      </c>
      <c r="G846" t="s">
        <v>3028</v>
      </c>
      <c r="H846" t="s">
        <v>52</v>
      </c>
      <c r="I846">
        <v>29.774000000000001</v>
      </c>
      <c r="J846" t="s">
        <v>53</v>
      </c>
      <c r="K846">
        <v>0</v>
      </c>
      <c r="L846" t="s">
        <v>1056</v>
      </c>
      <c r="M846" t="s">
        <v>452</v>
      </c>
      <c r="N846">
        <v>-0.15</v>
      </c>
      <c r="O846" t="s">
        <v>56</v>
      </c>
      <c r="P846" t="s">
        <v>57</v>
      </c>
      <c r="Q846" t="s">
        <v>109</v>
      </c>
      <c r="R846" t="s">
        <v>59</v>
      </c>
      <c r="S846" t="s">
        <v>3029</v>
      </c>
      <c r="T846" t="s">
        <v>61</v>
      </c>
      <c r="U846">
        <v>1.6223000000000001</v>
      </c>
      <c r="V846" t="s">
        <v>62</v>
      </c>
      <c r="W846">
        <v>0</v>
      </c>
      <c r="X846">
        <v>28.152000000000001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66</v>
      </c>
      <c r="AG846" t="s">
        <v>65</v>
      </c>
      <c r="AH846" t="s">
        <v>65</v>
      </c>
      <c r="AI846" t="s">
        <v>67</v>
      </c>
      <c r="AK846" t="s">
        <v>111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125</v>
      </c>
      <c r="AT846" t="s">
        <v>71</v>
      </c>
      <c r="AU846">
        <v>0</v>
      </c>
      <c r="AV846">
        <v>0</v>
      </c>
    </row>
    <row r="847" spans="1:48" x14ac:dyDescent="0.25">
      <c r="A847" t="s">
        <v>3030</v>
      </c>
      <c r="B847" t="s">
        <v>125</v>
      </c>
      <c r="C847" t="s">
        <v>50</v>
      </c>
      <c r="D847">
        <v>440590.42509999999</v>
      </c>
      <c r="E847">
        <v>1827703.5645000001</v>
      </c>
      <c r="F847">
        <v>29.695</v>
      </c>
      <c r="G847" t="s">
        <v>3031</v>
      </c>
      <c r="H847" t="s">
        <v>52</v>
      </c>
      <c r="I847">
        <v>29.695</v>
      </c>
      <c r="J847" t="s">
        <v>53</v>
      </c>
      <c r="K847">
        <v>0</v>
      </c>
      <c r="L847" t="s">
        <v>1056</v>
      </c>
      <c r="M847" t="s">
        <v>774</v>
      </c>
      <c r="N847">
        <v>-0.15</v>
      </c>
      <c r="O847" t="s">
        <v>56</v>
      </c>
      <c r="P847" t="s">
        <v>57</v>
      </c>
      <c r="Q847" t="s">
        <v>109</v>
      </c>
      <c r="R847" t="s">
        <v>59</v>
      </c>
      <c r="S847" t="s">
        <v>3032</v>
      </c>
      <c r="T847" t="s">
        <v>61</v>
      </c>
      <c r="U847">
        <v>1.6028</v>
      </c>
      <c r="V847" t="s">
        <v>62</v>
      </c>
      <c r="W847">
        <v>0</v>
      </c>
      <c r="X847">
        <v>28.091999999999999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66</v>
      </c>
      <c r="AG847" t="s">
        <v>65</v>
      </c>
      <c r="AH847" t="s">
        <v>65</v>
      </c>
      <c r="AI847" t="s">
        <v>67</v>
      </c>
      <c r="AK847" t="s">
        <v>111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125</v>
      </c>
      <c r="AT847" t="s">
        <v>71</v>
      </c>
      <c r="AU847">
        <v>0</v>
      </c>
      <c r="AV847">
        <v>0</v>
      </c>
    </row>
    <row r="848" spans="1:48" x14ac:dyDescent="0.25">
      <c r="A848" t="s">
        <v>3033</v>
      </c>
      <c r="B848" t="s">
        <v>73</v>
      </c>
      <c r="C848" t="s">
        <v>50</v>
      </c>
      <c r="D848">
        <v>440595.1251</v>
      </c>
      <c r="E848">
        <v>1827275.0075000001</v>
      </c>
      <c r="F848">
        <v>30.774999999999999</v>
      </c>
      <c r="G848" t="s">
        <v>3034</v>
      </c>
      <c r="H848" t="s">
        <v>52</v>
      </c>
      <c r="I848">
        <v>30.774999999999999</v>
      </c>
      <c r="J848" t="s">
        <v>53</v>
      </c>
      <c r="K848">
        <v>0</v>
      </c>
      <c r="L848" t="s">
        <v>797</v>
      </c>
      <c r="M848" t="s">
        <v>3035</v>
      </c>
      <c r="N848">
        <v>0.18310000000000001</v>
      </c>
      <c r="O848" t="s">
        <v>56</v>
      </c>
      <c r="P848" t="s">
        <v>57</v>
      </c>
      <c r="Q848" t="s">
        <v>59</v>
      </c>
      <c r="R848" t="s">
        <v>58</v>
      </c>
      <c r="S848" t="s">
        <v>3036</v>
      </c>
      <c r="T848" t="s">
        <v>61</v>
      </c>
      <c r="U848">
        <v>1.5232000000000001</v>
      </c>
      <c r="V848" t="s">
        <v>62</v>
      </c>
      <c r="W848">
        <v>0</v>
      </c>
      <c r="X848">
        <v>29.251999999999999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68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73</v>
      </c>
      <c r="AT848" t="s">
        <v>71</v>
      </c>
      <c r="AU848">
        <v>0</v>
      </c>
      <c r="AV848">
        <v>0</v>
      </c>
    </row>
    <row r="849" spans="1:48" x14ac:dyDescent="0.25">
      <c r="A849" t="s">
        <v>3037</v>
      </c>
      <c r="B849" t="s">
        <v>73</v>
      </c>
      <c r="C849" t="s">
        <v>50</v>
      </c>
      <c r="D849">
        <v>440595.1251</v>
      </c>
      <c r="E849">
        <v>1827294.6311000001</v>
      </c>
      <c r="F849">
        <v>30.666</v>
      </c>
      <c r="G849" t="s">
        <v>3038</v>
      </c>
      <c r="H849" t="s">
        <v>52</v>
      </c>
      <c r="I849">
        <v>30.666</v>
      </c>
      <c r="J849" t="s">
        <v>53</v>
      </c>
      <c r="K849">
        <v>0</v>
      </c>
      <c r="L849" t="s">
        <v>797</v>
      </c>
      <c r="M849" t="s">
        <v>3039</v>
      </c>
      <c r="N849">
        <v>0.18310000000000001</v>
      </c>
      <c r="O849" t="s">
        <v>56</v>
      </c>
      <c r="P849" t="s">
        <v>57</v>
      </c>
      <c r="Q849" t="s">
        <v>59</v>
      </c>
      <c r="R849" t="s">
        <v>58</v>
      </c>
      <c r="S849" t="s">
        <v>3040</v>
      </c>
      <c r="T849" t="s">
        <v>61</v>
      </c>
      <c r="U849">
        <v>1.5253000000000001</v>
      </c>
      <c r="V849" t="s">
        <v>62</v>
      </c>
      <c r="W849">
        <v>0</v>
      </c>
      <c r="X849">
        <v>29.140999999999998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68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73</v>
      </c>
      <c r="AT849" t="s">
        <v>71</v>
      </c>
      <c r="AU849">
        <v>0</v>
      </c>
      <c r="AV849">
        <v>0</v>
      </c>
    </row>
    <row r="850" spans="1:48" x14ac:dyDescent="0.25">
      <c r="A850" t="s">
        <v>3041</v>
      </c>
      <c r="B850" t="s">
        <v>73</v>
      </c>
      <c r="C850" t="s">
        <v>50</v>
      </c>
      <c r="D850">
        <v>440595.1251</v>
      </c>
      <c r="E850">
        <v>1827315.0075000001</v>
      </c>
      <c r="F850">
        <v>30.553000000000001</v>
      </c>
      <c r="G850" t="s">
        <v>3042</v>
      </c>
      <c r="H850" t="s">
        <v>52</v>
      </c>
      <c r="I850">
        <v>30.553000000000001</v>
      </c>
      <c r="J850" t="s">
        <v>53</v>
      </c>
      <c r="K850">
        <v>0</v>
      </c>
      <c r="L850" t="s">
        <v>797</v>
      </c>
      <c r="M850" t="s">
        <v>3043</v>
      </c>
      <c r="N850">
        <v>0.18310000000000001</v>
      </c>
      <c r="O850" t="s">
        <v>56</v>
      </c>
      <c r="P850" t="s">
        <v>57</v>
      </c>
      <c r="Q850" t="s">
        <v>59</v>
      </c>
      <c r="R850" t="s">
        <v>58</v>
      </c>
      <c r="S850" t="s">
        <v>3044</v>
      </c>
      <c r="T850" t="s">
        <v>61</v>
      </c>
      <c r="U850">
        <v>1.5233000000000001</v>
      </c>
      <c r="V850" t="s">
        <v>62</v>
      </c>
      <c r="W850">
        <v>0</v>
      </c>
      <c r="X850">
        <v>29.03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68</v>
      </c>
      <c r="AG850" t="s">
        <v>65</v>
      </c>
      <c r="AH850" t="s">
        <v>65</v>
      </c>
      <c r="AI850" t="s">
        <v>67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73</v>
      </c>
      <c r="AT850" t="s">
        <v>71</v>
      </c>
      <c r="AU850">
        <v>0</v>
      </c>
      <c r="AV850">
        <v>0</v>
      </c>
    </row>
    <row r="851" spans="1:48" x14ac:dyDescent="0.25">
      <c r="A851" t="s">
        <v>3045</v>
      </c>
      <c r="B851" t="s">
        <v>73</v>
      </c>
      <c r="C851" t="s">
        <v>50</v>
      </c>
      <c r="D851">
        <v>440595.1251</v>
      </c>
      <c r="E851">
        <v>1827335.0075000001</v>
      </c>
      <c r="F851">
        <v>30.442</v>
      </c>
      <c r="G851" t="s">
        <v>3046</v>
      </c>
      <c r="H851" t="s">
        <v>52</v>
      </c>
      <c r="I851">
        <v>30.442</v>
      </c>
      <c r="J851" t="s">
        <v>53</v>
      </c>
      <c r="K851">
        <v>0</v>
      </c>
      <c r="L851" t="s">
        <v>797</v>
      </c>
      <c r="M851" t="s">
        <v>3047</v>
      </c>
      <c r="N851">
        <v>0.18310000000000001</v>
      </c>
      <c r="O851" t="s">
        <v>56</v>
      </c>
      <c r="P851" t="s">
        <v>57</v>
      </c>
      <c r="Q851" t="s">
        <v>59</v>
      </c>
      <c r="R851" t="s">
        <v>58</v>
      </c>
      <c r="S851" t="s">
        <v>3048</v>
      </c>
      <c r="T851" t="s">
        <v>61</v>
      </c>
      <c r="U851">
        <v>1.5233000000000001</v>
      </c>
      <c r="V851" t="s">
        <v>62</v>
      </c>
      <c r="W851">
        <v>0</v>
      </c>
      <c r="X851">
        <v>28.919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68</v>
      </c>
      <c r="AG851" t="s">
        <v>65</v>
      </c>
      <c r="AH851" t="s">
        <v>65</v>
      </c>
      <c r="AI851" t="s">
        <v>67</v>
      </c>
      <c r="AK851" t="s">
        <v>66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73</v>
      </c>
      <c r="AT851" t="s">
        <v>71</v>
      </c>
      <c r="AU851">
        <v>0</v>
      </c>
      <c r="AV851">
        <v>0</v>
      </c>
    </row>
    <row r="852" spans="1:48" x14ac:dyDescent="0.25">
      <c r="A852" t="s">
        <v>3049</v>
      </c>
      <c r="B852" t="s">
        <v>73</v>
      </c>
      <c r="C852" t="s">
        <v>50</v>
      </c>
      <c r="D852">
        <v>440595.1251</v>
      </c>
      <c r="E852">
        <v>1827355.0075000001</v>
      </c>
      <c r="F852">
        <v>30.331</v>
      </c>
      <c r="G852" t="s">
        <v>3050</v>
      </c>
      <c r="H852" t="s">
        <v>52</v>
      </c>
      <c r="I852">
        <v>30.331</v>
      </c>
      <c r="J852" t="s">
        <v>53</v>
      </c>
      <c r="K852">
        <v>0</v>
      </c>
      <c r="L852" t="s">
        <v>797</v>
      </c>
      <c r="M852" t="s">
        <v>3051</v>
      </c>
      <c r="N852">
        <v>0.18310000000000001</v>
      </c>
      <c r="O852" t="s">
        <v>56</v>
      </c>
      <c r="P852" t="s">
        <v>57</v>
      </c>
      <c r="Q852" t="s">
        <v>59</v>
      </c>
      <c r="R852" t="s">
        <v>58</v>
      </c>
      <c r="S852" t="s">
        <v>3052</v>
      </c>
      <c r="T852" t="s">
        <v>61</v>
      </c>
      <c r="U852">
        <v>1.5153000000000001</v>
      </c>
      <c r="V852" t="s">
        <v>62</v>
      </c>
      <c r="W852">
        <v>0</v>
      </c>
      <c r="X852">
        <v>28.815999999999999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68</v>
      </c>
      <c r="AG852" t="s">
        <v>65</v>
      </c>
      <c r="AH852" t="s">
        <v>65</v>
      </c>
      <c r="AI852" t="s">
        <v>67</v>
      </c>
      <c r="AK852" t="s">
        <v>66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73</v>
      </c>
      <c r="AT852" t="s">
        <v>71</v>
      </c>
      <c r="AU852">
        <v>0</v>
      </c>
      <c r="AV852">
        <v>0</v>
      </c>
    </row>
    <row r="853" spans="1:48" x14ac:dyDescent="0.25">
      <c r="A853" t="s">
        <v>3053</v>
      </c>
      <c r="B853" t="s">
        <v>73</v>
      </c>
      <c r="C853" t="s">
        <v>50</v>
      </c>
      <c r="D853">
        <v>440585.72509999998</v>
      </c>
      <c r="E853">
        <v>1827275.0075000001</v>
      </c>
      <c r="F853">
        <v>30.774999999999999</v>
      </c>
      <c r="G853" t="s">
        <v>3054</v>
      </c>
      <c r="H853" t="s">
        <v>52</v>
      </c>
      <c r="I853">
        <v>30.774999999999999</v>
      </c>
      <c r="J853" t="s">
        <v>53</v>
      </c>
      <c r="K853">
        <v>0</v>
      </c>
      <c r="L853" t="s">
        <v>357</v>
      </c>
      <c r="M853" t="s">
        <v>3035</v>
      </c>
      <c r="N853">
        <v>-4.0000000000000002E-4</v>
      </c>
      <c r="O853" t="s">
        <v>56</v>
      </c>
      <c r="P853" t="s">
        <v>57</v>
      </c>
      <c r="Q853" t="s">
        <v>59</v>
      </c>
      <c r="R853" t="s">
        <v>58</v>
      </c>
      <c r="S853" t="s">
        <v>3036</v>
      </c>
      <c r="T853" t="s">
        <v>61</v>
      </c>
      <c r="U853">
        <v>1.5232000000000001</v>
      </c>
      <c r="V853" t="s">
        <v>62</v>
      </c>
      <c r="W853">
        <v>0</v>
      </c>
      <c r="X853">
        <v>29.251999999999999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68</v>
      </c>
      <c r="AG853" t="s">
        <v>65</v>
      </c>
      <c r="AH853" t="s">
        <v>65</v>
      </c>
      <c r="AI853" t="s">
        <v>67</v>
      </c>
      <c r="AK853" t="s">
        <v>66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73</v>
      </c>
      <c r="AT853" t="s">
        <v>71</v>
      </c>
      <c r="AU853">
        <v>0</v>
      </c>
      <c r="AV853">
        <v>0</v>
      </c>
    </row>
    <row r="854" spans="1:48" x14ac:dyDescent="0.25">
      <c r="A854" t="s">
        <v>3055</v>
      </c>
      <c r="B854" t="s">
        <v>73</v>
      </c>
      <c r="C854" t="s">
        <v>50</v>
      </c>
      <c r="D854">
        <v>440585.72509999998</v>
      </c>
      <c r="E854">
        <v>1827294.6947999999</v>
      </c>
      <c r="F854">
        <v>30.666</v>
      </c>
      <c r="G854" t="s">
        <v>3056</v>
      </c>
      <c r="H854" t="s">
        <v>52</v>
      </c>
      <c r="I854">
        <v>30.666</v>
      </c>
      <c r="J854" t="s">
        <v>53</v>
      </c>
      <c r="K854">
        <v>0</v>
      </c>
      <c r="L854" t="s">
        <v>357</v>
      </c>
      <c r="M854" t="s">
        <v>3057</v>
      </c>
      <c r="N854">
        <v>-1.1299999999999999E-2</v>
      </c>
      <c r="O854" t="s">
        <v>56</v>
      </c>
      <c r="P854" t="s">
        <v>57</v>
      </c>
      <c r="Q854" t="s">
        <v>59</v>
      </c>
      <c r="R854" t="s">
        <v>58</v>
      </c>
      <c r="S854" t="s">
        <v>3058</v>
      </c>
      <c r="T854" t="s">
        <v>61</v>
      </c>
      <c r="U854">
        <v>1.5229999999999999</v>
      </c>
      <c r="V854" t="s">
        <v>62</v>
      </c>
      <c r="W854">
        <v>0</v>
      </c>
      <c r="X854">
        <v>29.143000000000001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68</v>
      </c>
      <c r="AG854" t="s">
        <v>65</v>
      </c>
      <c r="AH854" t="s">
        <v>65</v>
      </c>
      <c r="AI854" t="s">
        <v>67</v>
      </c>
      <c r="AK854" t="s">
        <v>66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73</v>
      </c>
      <c r="AT854" t="s">
        <v>71</v>
      </c>
      <c r="AU854">
        <v>0</v>
      </c>
      <c r="AV854">
        <v>0</v>
      </c>
    </row>
    <row r="855" spans="1:48" x14ac:dyDescent="0.25">
      <c r="A855" t="s">
        <v>3059</v>
      </c>
      <c r="B855" t="s">
        <v>73</v>
      </c>
      <c r="C855" t="s">
        <v>50</v>
      </c>
      <c r="D855">
        <v>440585.72509999998</v>
      </c>
      <c r="E855">
        <v>1827334.8918000001</v>
      </c>
      <c r="F855">
        <v>30.443000000000001</v>
      </c>
      <c r="G855" t="s">
        <v>3060</v>
      </c>
      <c r="H855" t="s">
        <v>52</v>
      </c>
      <c r="I855">
        <v>30.443000000000001</v>
      </c>
      <c r="J855" t="s">
        <v>53</v>
      </c>
      <c r="K855">
        <v>0</v>
      </c>
      <c r="L855" t="s">
        <v>357</v>
      </c>
      <c r="M855" t="s">
        <v>3061</v>
      </c>
      <c r="N855">
        <v>-3.3500000000000002E-2</v>
      </c>
      <c r="O855" t="s">
        <v>56</v>
      </c>
      <c r="P855" t="s">
        <v>57</v>
      </c>
      <c r="Q855" t="s">
        <v>59</v>
      </c>
      <c r="R855" t="s">
        <v>58</v>
      </c>
      <c r="S855" t="s">
        <v>3062</v>
      </c>
      <c r="T855" t="s">
        <v>61</v>
      </c>
      <c r="U855">
        <v>1.5228999999999999</v>
      </c>
      <c r="V855" t="s">
        <v>62</v>
      </c>
      <c r="W855">
        <v>0</v>
      </c>
      <c r="X855">
        <v>28.92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68</v>
      </c>
      <c r="AG855" t="s">
        <v>65</v>
      </c>
      <c r="AH855" t="s">
        <v>65</v>
      </c>
      <c r="AI855" t="s">
        <v>67</v>
      </c>
      <c r="AK855" t="s">
        <v>66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73</v>
      </c>
      <c r="AT855" t="s">
        <v>71</v>
      </c>
      <c r="AU855">
        <v>0</v>
      </c>
      <c r="AV855">
        <v>0</v>
      </c>
    </row>
    <row r="856" spans="1:48" x14ac:dyDescent="0.25">
      <c r="A856" t="s">
        <v>3063</v>
      </c>
      <c r="B856" t="s">
        <v>73</v>
      </c>
      <c r="C856" t="s">
        <v>50</v>
      </c>
      <c r="D856">
        <v>440585.72509999998</v>
      </c>
      <c r="E856">
        <v>1827355.0075000001</v>
      </c>
      <c r="F856">
        <v>30.331</v>
      </c>
      <c r="G856" t="s">
        <v>3064</v>
      </c>
      <c r="H856" t="s">
        <v>52</v>
      </c>
      <c r="I856">
        <v>30.331</v>
      </c>
      <c r="J856" t="s">
        <v>53</v>
      </c>
      <c r="K856">
        <v>0</v>
      </c>
      <c r="L856" t="s">
        <v>357</v>
      </c>
      <c r="M856" t="s">
        <v>3051</v>
      </c>
      <c r="N856">
        <v>-4.4600000000000001E-2</v>
      </c>
      <c r="O856" t="s">
        <v>56</v>
      </c>
      <c r="P856" t="s">
        <v>57</v>
      </c>
      <c r="Q856" t="s">
        <v>59</v>
      </c>
      <c r="R856" t="s">
        <v>58</v>
      </c>
      <c r="S856" t="s">
        <v>3065</v>
      </c>
      <c r="T856" t="s">
        <v>61</v>
      </c>
      <c r="U856">
        <v>1.6583000000000001</v>
      </c>
      <c r="V856" t="s">
        <v>62</v>
      </c>
      <c r="W856">
        <v>0</v>
      </c>
      <c r="X856">
        <v>28.672999999999998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68</v>
      </c>
      <c r="AG856" t="s">
        <v>65</v>
      </c>
      <c r="AH856" t="s">
        <v>65</v>
      </c>
      <c r="AI856" t="s">
        <v>67</v>
      </c>
      <c r="AK856" t="s">
        <v>66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73</v>
      </c>
      <c r="AT856" t="s">
        <v>71</v>
      </c>
      <c r="AU856">
        <v>0</v>
      </c>
      <c r="AV856">
        <v>0</v>
      </c>
    </row>
    <row r="857" spans="1:48" x14ac:dyDescent="0.25">
      <c r="A857" t="s">
        <v>3066</v>
      </c>
      <c r="B857" t="s">
        <v>73</v>
      </c>
      <c r="C857" t="s">
        <v>50</v>
      </c>
      <c r="D857">
        <v>440323.82490000001</v>
      </c>
      <c r="E857">
        <v>1827275.1608</v>
      </c>
      <c r="F857">
        <v>32.140999999999998</v>
      </c>
      <c r="G857" t="s">
        <v>3067</v>
      </c>
      <c r="H857" t="s">
        <v>52</v>
      </c>
      <c r="I857">
        <v>32.140999999999998</v>
      </c>
      <c r="J857" t="s">
        <v>53</v>
      </c>
      <c r="K857">
        <v>0</v>
      </c>
      <c r="L857" t="s">
        <v>3068</v>
      </c>
      <c r="M857" t="s">
        <v>3069</v>
      </c>
      <c r="N857">
        <v>8.9999999999999998E-4</v>
      </c>
      <c r="O857" t="s">
        <v>56</v>
      </c>
      <c r="P857" t="s">
        <v>57</v>
      </c>
      <c r="Q857" t="s">
        <v>59</v>
      </c>
      <c r="R857" t="s">
        <v>58</v>
      </c>
      <c r="S857" t="s">
        <v>3070</v>
      </c>
      <c r="T857" t="s">
        <v>61</v>
      </c>
      <c r="U857">
        <v>1.4673</v>
      </c>
      <c r="V857" t="s">
        <v>62</v>
      </c>
      <c r="W857">
        <v>0</v>
      </c>
      <c r="X857">
        <v>30.673999999999999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68</v>
      </c>
      <c r="AG857" t="s">
        <v>65</v>
      </c>
      <c r="AH857" t="s">
        <v>65</v>
      </c>
      <c r="AI857" t="s">
        <v>67</v>
      </c>
      <c r="AK857" t="s">
        <v>66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73</v>
      </c>
      <c r="AT857" t="s">
        <v>71</v>
      </c>
      <c r="AU857">
        <v>0</v>
      </c>
      <c r="AV857">
        <v>0</v>
      </c>
    </row>
    <row r="858" spans="1:48" x14ac:dyDescent="0.25">
      <c r="A858" t="s">
        <v>3071</v>
      </c>
      <c r="B858" t="s">
        <v>73</v>
      </c>
      <c r="C858" t="s">
        <v>50</v>
      </c>
      <c r="D858">
        <v>440323.82490000001</v>
      </c>
      <c r="E858">
        <v>1827295.1608</v>
      </c>
      <c r="F858">
        <v>32.085000000000001</v>
      </c>
      <c r="G858" t="s">
        <v>3072</v>
      </c>
      <c r="H858" t="s">
        <v>52</v>
      </c>
      <c r="I858">
        <v>32.085000000000001</v>
      </c>
      <c r="J858" t="s">
        <v>53</v>
      </c>
      <c r="K858">
        <v>0</v>
      </c>
      <c r="L858" t="s">
        <v>3068</v>
      </c>
      <c r="M858" t="s">
        <v>3073</v>
      </c>
      <c r="N858">
        <v>2.3800000000000002E-2</v>
      </c>
      <c r="O858" t="s">
        <v>56</v>
      </c>
      <c r="P858" t="s">
        <v>57</v>
      </c>
      <c r="Q858" t="s">
        <v>59</v>
      </c>
      <c r="R858" t="s">
        <v>58</v>
      </c>
      <c r="S858" t="s">
        <v>3074</v>
      </c>
      <c r="T858" t="s">
        <v>61</v>
      </c>
      <c r="U858">
        <v>1.4668000000000001</v>
      </c>
      <c r="V858" t="s">
        <v>62</v>
      </c>
      <c r="W858">
        <v>0</v>
      </c>
      <c r="X858">
        <v>30.617999999999999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68</v>
      </c>
      <c r="AG858" t="s">
        <v>65</v>
      </c>
      <c r="AH858" t="s">
        <v>65</v>
      </c>
      <c r="AI858" t="s">
        <v>67</v>
      </c>
      <c r="AK858" t="s">
        <v>66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73</v>
      </c>
      <c r="AT858" t="s">
        <v>71</v>
      </c>
      <c r="AU858">
        <v>0</v>
      </c>
      <c r="AV858">
        <v>0</v>
      </c>
    </row>
    <row r="859" spans="1:48" x14ac:dyDescent="0.25">
      <c r="A859" t="s">
        <v>3075</v>
      </c>
      <c r="B859" t="s">
        <v>73</v>
      </c>
      <c r="C859" t="s">
        <v>50</v>
      </c>
      <c r="D859">
        <v>440323.82490000001</v>
      </c>
      <c r="E859">
        <v>1827315.1608</v>
      </c>
      <c r="F859">
        <v>32.027999999999999</v>
      </c>
      <c r="G859" t="s">
        <v>3076</v>
      </c>
      <c r="H859" t="s">
        <v>52</v>
      </c>
      <c r="I859">
        <v>32.027999999999999</v>
      </c>
      <c r="J859" t="s">
        <v>53</v>
      </c>
      <c r="K859">
        <v>0</v>
      </c>
      <c r="L859" t="s">
        <v>3068</v>
      </c>
      <c r="M859" t="s">
        <v>3077</v>
      </c>
      <c r="N859">
        <v>4.6800000000000001E-2</v>
      </c>
      <c r="O859" t="s">
        <v>56</v>
      </c>
      <c r="P859" t="s">
        <v>57</v>
      </c>
      <c r="Q859" t="s">
        <v>59</v>
      </c>
      <c r="R859" t="s">
        <v>58</v>
      </c>
      <c r="S859" t="s">
        <v>3078</v>
      </c>
      <c r="T859" t="s">
        <v>61</v>
      </c>
      <c r="U859">
        <v>1.4674</v>
      </c>
      <c r="V859" t="s">
        <v>62</v>
      </c>
      <c r="W859">
        <v>0</v>
      </c>
      <c r="X859">
        <v>30.561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68</v>
      </c>
      <c r="AG859" t="s">
        <v>65</v>
      </c>
      <c r="AH859" t="s">
        <v>65</v>
      </c>
      <c r="AI859" t="s">
        <v>67</v>
      </c>
      <c r="AK859" t="s">
        <v>66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73</v>
      </c>
      <c r="AT859" t="s">
        <v>71</v>
      </c>
      <c r="AU859">
        <v>0</v>
      </c>
      <c r="AV859">
        <v>0</v>
      </c>
    </row>
    <row r="860" spans="1:48" x14ac:dyDescent="0.25">
      <c r="A860" t="s">
        <v>3079</v>
      </c>
      <c r="B860" t="s">
        <v>73</v>
      </c>
      <c r="C860" t="s">
        <v>50</v>
      </c>
      <c r="D860">
        <v>440323.82490000001</v>
      </c>
      <c r="E860">
        <v>1827335.1608</v>
      </c>
      <c r="F860">
        <v>31.972000000000001</v>
      </c>
      <c r="G860" t="s">
        <v>3080</v>
      </c>
      <c r="H860" t="s">
        <v>52</v>
      </c>
      <c r="I860">
        <v>31.972000000000001</v>
      </c>
      <c r="J860" t="s">
        <v>53</v>
      </c>
      <c r="K860">
        <v>0</v>
      </c>
      <c r="L860" t="s">
        <v>3068</v>
      </c>
      <c r="M860" t="s">
        <v>3081</v>
      </c>
      <c r="N860">
        <v>6.9699999999999998E-2</v>
      </c>
      <c r="O860" t="s">
        <v>56</v>
      </c>
      <c r="P860" t="s">
        <v>57</v>
      </c>
      <c r="Q860" t="s">
        <v>59</v>
      </c>
      <c r="R860" t="s">
        <v>58</v>
      </c>
      <c r="S860" t="s">
        <v>3082</v>
      </c>
      <c r="T860" t="s">
        <v>61</v>
      </c>
      <c r="U860">
        <v>1.4669000000000001</v>
      </c>
      <c r="V860" t="s">
        <v>62</v>
      </c>
      <c r="W860">
        <v>0</v>
      </c>
      <c r="X860">
        <v>30.504999999999999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68</v>
      </c>
      <c r="AG860" t="s">
        <v>65</v>
      </c>
      <c r="AH860" t="s">
        <v>65</v>
      </c>
      <c r="AI860" t="s">
        <v>67</v>
      </c>
      <c r="AK860" t="s">
        <v>66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73</v>
      </c>
      <c r="AT860" t="s">
        <v>71</v>
      </c>
      <c r="AU860">
        <v>0</v>
      </c>
      <c r="AV860">
        <v>0</v>
      </c>
    </row>
    <row r="861" spans="1:48" x14ac:dyDescent="0.25">
      <c r="A861" t="s">
        <v>3083</v>
      </c>
      <c r="B861" t="s">
        <v>73</v>
      </c>
      <c r="C861" t="s">
        <v>50</v>
      </c>
      <c r="D861">
        <v>440323.82490000001</v>
      </c>
      <c r="E861">
        <v>1827355.1608</v>
      </c>
      <c r="F861">
        <v>31.914999999999999</v>
      </c>
      <c r="G861" t="s">
        <v>3084</v>
      </c>
      <c r="H861" t="s">
        <v>52</v>
      </c>
      <c r="I861">
        <v>31.914999999999999</v>
      </c>
      <c r="J861" t="s">
        <v>53</v>
      </c>
      <c r="K861">
        <v>0</v>
      </c>
      <c r="L861" t="s">
        <v>3068</v>
      </c>
      <c r="M861" t="s">
        <v>3085</v>
      </c>
      <c r="N861">
        <v>9.2600000000000002E-2</v>
      </c>
      <c r="O861" t="s">
        <v>56</v>
      </c>
      <c r="P861" t="s">
        <v>57</v>
      </c>
      <c r="Q861" t="s">
        <v>59</v>
      </c>
      <c r="R861" t="s">
        <v>58</v>
      </c>
      <c r="S861" t="s">
        <v>3086</v>
      </c>
      <c r="T861" t="s">
        <v>61</v>
      </c>
      <c r="U861">
        <v>1.6484000000000001</v>
      </c>
      <c r="V861" t="s">
        <v>62</v>
      </c>
      <c r="W861">
        <v>0</v>
      </c>
      <c r="X861">
        <v>30.266999999999999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68</v>
      </c>
      <c r="AG861" t="s">
        <v>65</v>
      </c>
      <c r="AH861" t="s">
        <v>65</v>
      </c>
      <c r="AI861" t="s">
        <v>67</v>
      </c>
      <c r="AK861" t="s">
        <v>66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73</v>
      </c>
      <c r="AT861" t="s">
        <v>71</v>
      </c>
      <c r="AU861">
        <v>0</v>
      </c>
      <c r="AV861">
        <v>0</v>
      </c>
    </row>
    <row r="862" spans="1:48" x14ac:dyDescent="0.25">
      <c r="A862" t="s">
        <v>3087</v>
      </c>
      <c r="B862" t="s">
        <v>49</v>
      </c>
      <c r="C862" t="s">
        <v>50</v>
      </c>
      <c r="D862">
        <v>440323.81599999999</v>
      </c>
      <c r="E862">
        <v>1827375.0486000001</v>
      </c>
      <c r="F862">
        <v>31.661000000000001</v>
      </c>
      <c r="G862" t="s">
        <v>3088</v>
      </c>
      <c r="H862" t="s">
        <v>52</v>
      </c>
      <c r="I862">
        <v>31.661000000000001</v>
      </c>
      <c r="J862" t="s">
        <v>53</v>
      </c>
      <c r="K862">
        <v>0</v>
      </c>
      <c r="L862" t="s">
        <v>3089</v>
      </c>
      <c r="M862" t="s">
        <v>3090</v>
      </c>
      <c r="N862">
        <v>-0.125</v>
      </c>
      <c r="O862" t="s">
        <v>56</v>
      </c>
      <c r="P862" t="s">
        <v>57</v>
      </c>
      <c r="Q862" t="s">
        <v>58</v>
      </c>
      <c r="R862" t="s">
        <v>59</v>
      </c>
      <c r="S862" t="s">
        <v>3091</v>
      </c>
      <c r="T862" t="s">
        <v>61</v>
      </c>
      <c r="U862">
        <v>1.4533</v>
      </c>
      <c r="V862" t="s">
        <v>62</v>
      </c>
      <c r="W862">
        <v>0</v>
      </c>
      <c r="X862">
        <v>30.207999999999998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66</v>
      </c>
      <c r="AG862" t="s">
        <v>65</v>
      </c>
      <c r="AH862" t="s">
        <v>65</v>
      </c>
      <c r="AI862" t="s">
        <v>67</v>
      </c>
      <c r="AK862" t="s">
        <v>68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49</v>
      </c>
      <c r="AT862" t="s">
        <v>71</v>
      </c>
      <c r="AU862">
        <v>0</v>
      </c>
      <c r="AV862">
        <v>0</v>
      </c>
    </row>
    <row r="863" spans="1:48" x14ac:dyDescent="0.25">
      <c r="A863" t="s">
        <v>3092</v>
      </c>
      <c r="B863" t="s">
        <v>49</v>
      </c>
      <c r="C863" t="s">
        <v>50</v>
      </c>
      <c r="D863">
        <v>440344.1496</v>
      </c>
      <c r="E863">
        <v>1827375.0486000001</v>
      </c>
      <c r="F863">
        <v>31.693999999999999</v>
      </c>
      <c r="G863" t="s">
        <v>3093</v>
      </c>
      <c r="H863" t="s">
        <v>52</v>
      </c>
      <c r="I863">
        <v>31.693999999999999</v>
      </c>
      <c r="J863" t="s">
        <v>53</v>
      </c>
      <c r="K863">
        <v>0</v>
      </c>
      <c r="L863" t="s">
        <v>3089</v>
      </c>
      <c r="M863" t="s">
        <v>3094</v>
      </c>
      <c r="N863">
        <v>-0.125</v>
      </c>
      <c r="O863" t="s">
        <v>56</v>
      </c>
      <c r="P863" t="s">
        <v>57</v>
      </c>
      <c r="Q863" t="s">
        <v>58</v>
      </c>
      <c r="R863" t="s">
        <v>59</v>
      </c>
      <c r="S863" t="s">
        <v>3095</v>
      </c>
      <c r="T863" t="s">
        <v>61</v>
      </c>
      <c r="U863">
        <v>1.8045</v>
      </c>
      <c r="V863" t="s">
        <v>62</v>
      </c>
      <c r="W863">
        <v>0</v>
      </c>
      <c r="X863">
        <v>29.888999999999999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66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49</v>
      </c>
      <c r="AT863" t="s">
        <v>71</v>
      </c>
      <c r="AU863">
        <v>0</v>
      </c>
      <c r="AV863">
        <v>0</v>
      </c>
    </row>
    <row r="864" spans="1:48" x14ac:dyDescent="0.25">
      <c r="A864" t="s">
        <v>3096</v>
      </c>
      <c r="B864" t="s">
        <v>49</v>
      </c>
      <c r="C864" t="s">
        <v>50</v>
      </c>
      <c r="D864">
        <v>440364.1496</v>
      </c>
      <c r="E864">
        <v>1827375.0486000001</v>
      </c>
      <c r="F864">
        <v>31.571999999999999</v>
      </c>
      <c r="G864" t="s">
        <v>3097</v>
      </c>
      <c r="H864" t="s">
        <v>52</v>
      </c>
      <c r="I864">
        <v>31.571999999999999</v>
      </c>
      <c r="J864" t="s">
        <v>53</v>
      </c>
      <c r="K864">
        <v>0</v>
      </c>
      <c r="L864" t="s">
        <v>3089</v>
      </c>
      <c r="M864" t="s">
        <v>3098</v>
      </c>
      <c r="N864">
        <v>-0.125</v>
      </c>
      <c r="O864" t="s">
        <v>56</v>
      </c>
      <c r="P864" t="s">
        <v>57</v>
      </c>
      <c r="Q864" t="s">
        <v>58</v>
      </c>
      <c r="R864" t="s">
        <v>59</v>
      </c>
      <c r="S864" t="s">
        <v>3099</v>
      </c>
      <c r="T864" t="s">
        <v>61</v>
      </c>
      <c r="U864">
        <v>1.8038000000000001</v>
      </c>
      <c r="V864" t="s">
        <v>62</v>
      </c>
      <c r="W864">
        <v>0</v>
      </c>
      <c r="X864">
        <v>29.768000000000001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66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49</v>
      </c>
      <c r="AT864" t="s">
        <v>71</v>
      </c>
      <c r="AU864">
        <v>0</v>
      </c>
      <c r="AV864">
        <v>0</v>
      </c>
    </row>
    <row r="865" spans="1:48" x14ac:dyDescent="0.25">
      <c r="A865" t="s">
        <v>3100</v>
      </c>
      <c r="B865" t="s">
        <v>49</v>
      </c>
      <c r="C865" t="s">
        <v>50</v>
      </c>
      <c r="D865">
        <v>440384.1496</v>
      </c>
      <c r="E865">
        <v>1827375.0486000001</v>
      </c>
      <c r="F865">
        <v>31.45</v>
      </c>
      <c r="G865" t="s">
        <v>3101</v>
      </c>
      <c r="H865" t="s">
        <v>52</v>
      </c>
      <c r="I865">
        <v>31.45</v>
      </c>
      <c r="J865" t="s">
        <v>53</v>
      </c>
      <c r="K865">
        <v>0</v>
      </c>
      <c r="L865" t="s">
        <v>3089</v>
      </c>
      <c r="M865" t="s">
        <v>3102</v>
      </c>
      <c r="N865">
        <v>-0.125</v>
      </c>
      <c r="O865" t="s">
        <v>56</v>
      </c>
      <c r="P865" t="s">
        <v>57</v>
      </c>
      <c r="Q865" t="s">
        <v>58</v>
      </c>
      <c r="R865" t="s">
        <v>59</v>
      </c>
      <c r="S865" t="s">
        <v>3103</v>
      </c>
      <c r="T865" t="s">
        <v>61</v>
      </c>
      <c r="U865">
        <v>1.804</v>
      </c>
      <c r="V865" t="s">
        <v>62</v>
      </c>
      <c r="W865">
        <v>0</v>
      </c>
      <c r="X865">
        <v>29.646000000000001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66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49</v>
      </c>
      <c r="AT865" t="s">
        <v>71</v>
      </c>
      <c r="AU865">
        <v>0</v>
      </c>
      <c r="AV865">
        <v>0</v>
      </c>
    </row>
    <row r="866" spans="1:48" x14ac:dyDescent="0.25">
      <c r="A866" t="s">
        <v>3104</v>
      </c>
      <c r="B866" t="s">
        <v>49</v>
      </c>
      <c r="C866" t="s">
        <v>50</v>
      </c>
      <c r="D866">
        <v>440404.1496</v>
      </c>
      <c r="E866">
        <v>1827375.0486000001</v>
      </c>
      <c r="F866">
        <v>31.327999999999999</v>
      </c>
      <c r="G866" t="s">
        <v>3105</v>
      </c>
      <c r="H866" t="s">
        <v>52</v>
      </c>
      <c r="I866">
        <v>31.327999999999999</v>
      </c>
      <c r="J866" t="s">
        <v>53</v>
      </c>
      <c r="K866">
        <v>0</v>
      </c>
      <c r="L866" t="s">
        <v>3089</v>
      </c>
      <c r="M866" t="s">
        <v>3106</v>
      </c>
      <c r="N866">
        <v>-0.125</v>
      </c>
      <c r="O866" t="s">
        <v>56</v>
      </c>
      <c r="P866" t="s">
        <v>57</v>
      </c>
      <c r="Q866" t="s">
        <v>58</v>
      </c>
      <c r="R866" t="s">
        <v>59</v>
      </c>
      <c r="S866" t="s">
        <v>3107</v>
      </c>
      <c r="T866" t="s">
        <v>61</v>
      </c>
      <c r="U866">
        <v>1.8042</v>
      </c>
      <c r="V866" t="s">
        <v>62</v>
      </c>
      <c r="W866">
        <v>0</v>
      </c>
      <c r="X866">
        <v>29.524000000000001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66</v>
      </c>
      <c r="AG866" t="s">
        <v>65</v>
      </c>
      <c r="AH866" t="s">
        <v>65</v>
      </c>
      <c r="AI866" t="s">
        <v>67</v>
      </c>
      <c r="AK866" t="s">
        <v>68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49</v>
      </c>
      <c r="AT866" t="s">
        <v>71</v>
      </c>
      <c r="AU866">
        <v>0</v>
      </c>
      <c r="AV866">
        <v>0</v>
      </c>
    </row>
    <row r="867" spans="1:48" x14ac:dyDescent="0.25">
      <c r="A867" t="s">
        <v>3108</v>
      </c>
      <c r="B867" t="s">
        <v>49</v>
      </c>
      <c r="C867" t="s">
        <v>50</v>
      </c>
      <c r="D867">
        <v>440424.1496</v>
      </c>
      <c r="E867">
        <v>1827375.0486000001</v>
      </c>
      <c r="F867">
        <v>31.206</v>
      </c>
      <c r="G867" t="s">
        <v>3109</v>
      </c>
      <c r="H867" t="s">
        <v>52</v>
      </c>
      <c r="I867">
        <v>31.206</v>
      </c>
      <c r="J867" t="s">
        <v>53</v>
      </c>
      <c r="K867">
        <v>0</v>
      </c>
      <c r="L867" t="s">
        <v>3089</v>
      </c>
      <c r="M867" t="s">
        <v>3110</v>
      </c>
      <c r="N867">
        <v>-0.125</v>
      </c>
      <c r="O867" t="s">
        <v>56</v>
      </c>
      <c r="P867" t="s">
        <v>57</v>
      </c>
      <c r="Q867" t="s">
        <v>58</v>
      </c>
      <c r="R867" t="s">
        <v>59</v>
      </c>
      <c r="S867" t="s">
        <v>3111</v>
      </c>
      <c r="T867" t="s">
        <v>61</v>
      </c>
      <c r="U867">
        <v>1.7864</v>
      </c>
      <c r="V867" t="s">
        <v>62</v>
      </c>
      <c r="W867">
        <v>0</v>
      </c>
      <c r="X867">
        <v>29.42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66</v>
      </c>
      <c r="AG867" t="s">
        <v>65</v>
      </c>
      <c r="AH867" t="s">
        <v>65</v>
      </c>
      <c r="AI867" t="s">
        <v>67</v>
      </c>
      <c r="AK867" t="s">
        <v>68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49</v>
      </c>
      <c r="AT867" t="s">
        <v>71</v>
      </c>
      <c r="AU867">
        <v>0</v>
      </c>
      <c r="AV867">
        <v>0</v>
      </c>
    </row>
    <row r="868" spans="1:48" x14ac:dyDescent="0.25">
      <c r="A868" t="s">
        <v>3112</v>
      </c>
      <c r="B868" t="s">
        <v>49</v>
      </c>
      <c r="C868" t="s">
        <v>50</v>
      </c>
      <c r="D868">
        <v>440438.20919999998</v>
      </c>
      <c r="E868">
        <v>1827375.0486000001</v>
      </c>
      <c r="F868">
        <v>31.120999999999999</v>
      </c>
      <c r="G868" t="s">
        <v>3113</v>
      </c>
      <c r="H868" t="s">
        <v>52</v>
      </c>
      <c r="I868">
        <v>31.120999999999999</v>
      </c>
      <c r="J868" t="s">
        <v>53</v>
      </c>
      <c r="K868">
        <v>0</v>
      </c>
      <c r="L868" t="s">
        <v>3089</v>
      </c>
      <c r="M868" t="s">
        <v>3114</v>
      </c>
      <c r="N868">
        <v>-0.125</v>
      </c>
      <c r="O868" t="s">
        <v>56</v>
      </c>
      <c r="P868" t="s">
        <v>57</v>
      </c>
      <c r="Q868" t="s">
        <v>58</v>
      </c>
      <c r="R868" t="s">
        <v>59</v>
      </c>
      <c r="S868" t="s">
        <v>3115</v>
      </c>
      <c r="T868" t="s">
        <v>61</v>
      </c>
      <c r="U868">
        <v>1.8997999999999999</v>
      </c>
      <c r="V868" t="s">
        <v>62</v>
      </c>
      <c r="W868">
        <v>0</v>
      </c>
      <c r="X868">
        <v>29.221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66</v>
      </c>
      <c r="AG868" t="s">
        <v>65</v>
      </c>
      <c r="AH868" t="s">
        <v>65</v>
      </c>
      <c r="AI868" t="s">
        <v>67</v>
      </c>
      <c r="AK868" t="s">
        <v>68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49</v>
      </c>
      <c r="AT868" t="s">
        <v>71</v>
      </c>
      <c r="AU868">
        <v>0</v>
      </c>
      <c r="AV868">
        <v>0</v>
      </c>
    </row>
    <row r="869" spans="1:48" x14ac:dyDescent="0.25">
      <c r="A869" t="s">
        <v>3116</v>
      </c>
      <c r="B869" t="s">
        <v>73</v>
      </c>
      <c r="C869" t="s">
        <v>50</v>
      </c>
      <c r="D869">
        <v>440454.52510000003</v>
      </c>
      <c r="E869">
        <v>1827275.041</v>
      </c>
      <c r="F869">
        <v>31.22</v>
      </c>
      <c r="G869" t="s">
        <v>3117</v>
      </c>
      <c r="H869" t="s">
        <v>52</v>
      </c>
      <c r="I869">
        <v>31.22</v>
      </c>
      <c r="J869" t="s">
        <v>53</v>
      </c>
      <c r="K869">
        <v>0</v>
      </c>
      <c r="L869" t="s">
        <v>3118</v>
      </c>
      <c r="M869" t="s">
        <v>3119</v>
      </c>
      <c r="N869">
        <v>-0.24279999999999999</v>
      </c>
      <c r="O869" t="s">
        <v>56</v>
      </c>
      <c r="P869" t="s">
        <v>57</v>
      </c>
      <c r="Q869" t="s">
        <v>59</v>
      </c>
      <c r="R869" t="s">
        <v>58</v>
      </c>
      <c r="S869" t="s">
        <v>3120</v>
      </c>
      <c r="T869" t="s">
        <v>61</v>
      </c>
      <c r="U869">
        <v>1.464</v>
      </c>
      <c r="V869" t="s">
        <v>62</v>
      </c>
      <c r="W869">
        <v>0</v>
      </c>
      <c r="X869">
        <v>29.756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68</v>
      </c>
      <c r="AG869" t="s">
        <v>65</v>
      </c>
      <c r="AH869" t="s">
        <v>65</v>
      </c>
      <c r="AI869" t="s">
        <v>67</v>
      </c>
      <c r="AK869" t="s">
        <v>66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73</v>
      </c>
      <c r="AT869" t="s">
        <v>71</v>
      </c>
      <c r="AU869">
        <v>0</v>
      </c>
      <c r="AV869">
        <v>0</v>
      </c>
    </row>
    <row r="870" spans="1:48" x14ac:dyDescent="0.25">
      <c r="A870" t="s">
        <v>3121</v>
      </c>
      <c r="B870" t="s">
        <v>73</v>
      </c>
      <c r="C870" t="s">
        <v>50</v>
      </c>
      <c r="D870">
        <v>440454.52510000003</v>
      </c>
      <c r="E870">
        <v>1827295.041</v>
      </c>
      <c r="F870">
        <v>31.177</v>
      </c>
      <c r="G870" t="s">
        <v>3122</v>
      </c>
      <c r="H870" t="s">
        <v>52</v>
      </c>
      <c r="I870">
        <v>31.177</v>
      </c>
      <c r="J870" t="s">
        <v>53</v>
      </c>
      <c r="K870">
        <v>0</v>
      </c>
      <c r="L870" t="s">
        <v>3118</v>
      </c>
      <c r="M870" t="s">
        <v>3123</v>
      </c>
      <c r="N870">
        <v>-0.24279999999999999</v>
      </c>
      <c r="O870" t="s">
        <v>56</v>
      </c>
      <c r="P870" t="s">
        <v>57</v>
      </c>
      <c r="Q870" t="s">
        <v>59</v>
      </c>
      <c r="R870" t="s">
        <v>58</v>
      </c>
      <c r="S870" t="s">
        <v>3124</v>
      </c>
      <c r="T870" t="s">
        <v>61</v>
      </c>
      <c r="U870">
        <v>1.4645999999999999</v>
      </c>
      <c r="V870" t="s">
        <v>62</v>
      </c>
      <c r="W870">
        <v>0</v>
      </c>
      <c r="X870">
        <v>29.712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68</v>
      </c>
      <c r="AG870" t="s">
        <v>65</v>
      </c>
      <c r="AH870" t="s">
        <v>65</v>
      </c>
      <c r="AI870" t="s">
        <v>67</v>
      </c>
      <c r="AK870" t="s">
        <v>66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73</v>
      </c>
      <c r="AT870" t="s">
        <v>71</v>
      </c>
      <c r="AU870">
        <v>0</v>
      </c>
      <c r="AV870">
        <v>0</v>
      </c>
    </row>
    <row r="871" spans="1:48" x14ac:dyDescent="0.25">
      <c r="A871" t="s">
        <v>3125</v>
      </c>
      <c r="B871" t="s">
        <v>73</v>
      </c>
      <c r="C871" t="s">
        <v>50</v>
      </c>
      <c r="D871">
        <v>440454.52510000003</v>
      </c>
      <c r="E871">
        <v>1827315.041</v>
      </c>
      <c r="F871">
        <v>31.132999999999999</v>
      </c>
      <c r="G871" t="s">
        <v>3126</v>
      </c>
      <c r="H871" t="s">
        <v>52</v>
      </c>
      <c r="I871">
        <v>31.132999999999999</v>
      </c>
      <c r="J871" t="s">
        <v>53</v>
      </c>
      <c r="K871">
        <v>0</v>
      </c>
      <c r="L871" t="s">
        <v>3118</v>
      </c>
      <c r="M871" t="s">
        <v>3127</v>
      </c>
      <c r="N871">
        <v>-0.24279999999999999</v>
      </c>
      <c r="O871" t="s">
        <v>56</v>
      </c>
      <c r="P871" t="s">
        <v>57</v>
      </c>
      <c r="Q871" t="s">
        <v>59</v>
      </c>
      <c r="R871" t="s">
        <v>58</v>
      </c>
      <c r="S871" t="s">
        <v>3128</v>
      </c>
      <c r="T871" t="s">
        <v>61</v>
      </c>
      <c r="U871">
        <v>1.4642999999999999</v>
      </c>
      <c r="V871" t="s">
        <v>62</v>
      </c>
      <c r="W871">
        <v>0</v>
      </c>
      <c r="X871">
        <v>29.669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68</v>
      </c>
      <c r="AG871" t="s">
        <v>65</v>
      </c>
      <c r="AH871" t="s">
        <v>65</v>
      </c>
      <c r="AI871" t="s">
        <v>67</v>
      </c>
      <c r="AK871" t="s">
        <v>66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73</v>
      </c>
      <c r="AT871" t="s">
        <v>71</v>
      </c>
      <c r="AU871">
        <v>0</v>
      </c>
      <c r="AV871">
        <v>0</v>
      </c>
    </row>
    <row r="872" spans="1:48" x14ac:dyDescent="0.25">
      <c r="A872" t="s">
        <v>3129</v>
      </c>
      <c r="B872" t="s">
        <v>73</v>
      </c>
      <c r="C872" t="s">
        <v>50</v>
      </c>
      <c r="D872">
        <v>440454.52510000003</v>
      </c>
      <c r="E872">
        <v>1827335.041</v>
      </c>
      <c r="F872">
        <v>31.09</v>
      </c>
      <c r="G872" t="s">
        <v>3130</v>
      </c>
      <c r="H872" t="s">
        <v>52</v>
      </c>
      <c r="I872">
        <v>31.09</v>
      </c>
      <c r="J872" t="s">
        <v>53</v>
      </c>
      <c r="K872">
        <v>0</v>
      </c>
      <c r="L872" t="s">
        <v>3118</v>
      </c>
      <c r="M872" t="s">
        <v>3131</v>
      </c>
      <c r="N872">
        <v>-0.24279999999999999</v>
      </c>
      <c r="O872" t="s">
        <v>56</v>
      </c>
      <c r="P872" t="s">
        <v>57</v>
      </c>
      <c r="Q872" t="s">
        <v>59</v>
      </c>
      <c r="R872" t="s">
        <v>58</v>
      </c>
      <c r="S872" t="s">
        <v>3132</v>
      </c>
      <c r="T872" t="s">
        <v>61</v>
      </c>
      <c r="U872">
        <v>1.4719</v>
      </c>
      <c r="V872" t="s">
        <v>62</v>
      </c>
      <c r="W872">
        <v>0</v>
      </c>
      <c r="X872">
        <v>29.617999999999999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68</v>
      </c>
      <c r="AG872" t="s">
        <v>65</v>
      </c>
      <c r="AH872" t="s">
        <v>65</v>
      </c>
      <c r="AI872" t="s">
        <v>67</v>
      </c>
      <c r="AK872" t="s">
        <v>66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73</v>
      </c>
      <c r="AT872" t="s">
        <v>71</v>
      </c>
      <c r="AU872">
        <v>0</v>
      </c>
      <c r="AV872">
        <v>0</v>
      </c>
    </row>
    <row r="873" spans="1:48" x14ac:dyDescent="0.25">
      <c r="A873" t="s">
        <v>3133</v>
      </c>
      <c r="B873" t="s">
        <v>73</v>
      </c>
      <c r="C873" t="s">
        <v>50</v>
      </c>
      <c r="D873">
        <v>440454.52510000003</v>
      </c>
      <c r="E873">
        <v>1827355.041</v>
      </c>
      <c r="F873">
        <v>31.047000000000001</v>
      </c>
      <c r="G873" t="s">
        <v>3134</v>
      </c>
      <c r="H873" t="s">
        <v>52</v>
      </c>
      <c r="I873">
        <v>31.047000000000001</v>
      </c>
      <c r="J873" t="s">
        <v>53</v>
      </c>
      <c r="K873">
        <v>0</v>
      </c>
      <c r="L873" t="s">
        <v>3118</v>
      </c>
      <c r="M873" t="s">
        <v>3135</v>
      </c>
      <c r="N873">
        <v>-0.24279999999999999</v>
      </c>
      <c r="O873" t="s">
        <v>56</v>
      </c>
      <c r="P873" t="s">
        <v>57</v>
      </c>
      <c r="Q873" t="s">
        <v>59</v>
      </c>
      <c r="R873" t="s">
        <v>58</v>
      </c>
      <c r="S873" t="s">
        <v>3136</v>
      </c>
      <c r="T873" t="s">
        <v>61</v>
      </c>
      <c r="U873">
        <v>1.5606</v>
      </c>
      <c r="V873" t="s">
        <v>62</v>
      </c>
      <c r="W873">
        <v>0</v>
      </c>
      <c r="X873">
        <v>29.486000000000001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68</v>
      </c>
      <c r="AG873" t="s">
        <v>65</v>
      </c>
      <c r="AH873" t="s">
        <v>65</v>
      </c>
      <c r="AI873" t="s">
        <v>67</v>
      </c>
      <c r="AK873" t="s">
        <v>66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73</v>
      </c>
      <c r="AT873" t="s">
        <v>71</v>
      </c>
      <c r="AU873">
        <v>0</v>
      </c>
      <c r="AV873">
        <v>0</v>
      </c>
    </row>
    <row r="874" spans="1:48" x14ac:dyDescent="0.25">
      <c r="A874" t="s">
        <v>3137</v>
      </c>
      <c r="B874" t="s">
        <v>49</v>
      </c>
      <c r="C874" t="s">
        <v>50</v>
      </c>
      <c r="D874">
        <v>440454.3751</v>
      </c>
      <c r="E874">
        <v>1827375.0874000001</v>
      </c>
      <c r="F874">
        <v>30.882999999999999</v>
      </c>
      <c r="G874" t="s">
        <v>3138</v>
      </c>
      <c r="H874" t="s">
        <v>52</v>
      </c>
      <c r="I874">
        <v>30.882999999999999</v>
      </c>
      <c r="J874" t="s">
        <v>53</v>
      </c>
      <c r="K874">
        <v>0</v>
      </c>
      <c r="L874" t="s">
        <v>3089</v>
      </c>
      <c r="M874" t="s">
        <v>2712</v>
      </c>
      <c r="N874">
        <v>-8.6199999999999999E-2</v>
      </c>
      <c r="O874" t="s">
        <v>56</v>
      </c>
      <c r="P874" t="s">
        <v>57</v>
      </c>
      <c r="Q874" t="s">
        <v>58</v>
      </c>
      <c r="R874" t="s">
        <v>59</v>
      </c>
      <c r="S874" t="s">
        <v>3139</v>
      </c>
      <c r="T874" t="s">
        <v>61</v>
      </c>
      <c r="U874">
        <v>2.1393</v>
      </c>
      <c r="V874" t="s">
        <v>1033</v>
      </c>
      <c r="W874">
        <v>0</v>
      </c>
      <c r="X874">
        <v>28.744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66</v>
      </c>
      <c r="AG874" t="s">
        <v>65</v>
      </c>
      <c r="AH874" t="s">
        <v>65</v>
      </c>
      <c r="AI874" t="s">
        <v>67</v>
      </c>
      <c r="AK874" t="s">
        <v>68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49</v>
      </c>
      <c r="AT874" t="s">
        <v>71</v>
      </c>
      <c r="AU874">
        <v>0</v>
      </c>
      <c r="AV874">
        <v>0</v>
      </c>
    </row>
    <row r="875" spans="1:48" x14ac:dyDescent="0.25">
      <c r="A875" t="s">
        <v>3140</v>
      </c>
      <c r="B875" t="s">
        <v>73</v>
      </c>
      <c r="C875" t="s">
        <v>50</v>
      </c>
      <c r="D875">
        <v>440463.92509999999</v>
      </c>
      <c r="E875">
        <v>1827275.041</v>
      </c>
      <c r="F875">
        <v>31.22</v>
      </c>
      <c r="G875" t="s">
        <v>3141</v>
      </c>
      <c r="H875" t="s">
        <v>52</v>
      </c>
      <c r="I875">
        <v>31.22</v>
      </c>
      <c r="J875" t="s">
        <v>53</v>
      </c>
      <c r="K875">
        <v>0</v>
      </c>
      <c r="L875" t="s">
        <v>3142</v>
      </c>
      <c r="M875" t="s">
        <v>3119</v>
      </c>
      <c r="N875">
        <v>0.15</v>
      </c>
      <c r="O875" t="s">
        <v>56</v>
      </c>
      <c r="P875" t="s">
        <v>57</v>
      </c>
      <c r="Q875" t="s">
        <v>59</v>
      </c>
      <c r="R875" t="s">
        <v>58</v>
      </c>
      <c r="S875" t="s">
        <v>3120</v>
      </c>
      <c r="T875" t="s">
        <v>61</v>
      </c>
      <c r="U875">
        <v>1.464</v>
      </c>
      <c r="V875" t="s">
        <v>62</v>
      </c>
      <c r="W875">
        <v>0</v>
      </c>
      <c r="X875">
        <v>29.756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68</v>
      </c>
      <c r="AG875" t="s">
        <v>65</v>
      </c>
      <c r="AH875" t="s">
        <v>65</v>
      </c>
      <c r="AI875" t="s">
        <v>67</v>
      </c>
      <c r="AK875" t="s">
        <v>66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73</v>
      </c>
      <c r="AT875" t="s">
        <v>71</v>
      </c>
      <c r="AU875">
        <v>0</v>
      </c>
      <c r="AV875">
        <v>0</v>
      </c>
    </row>
    <row r="876" spans="1:48" x14ac:dyDescent="0.25">
      <c r="A876" t="s">
        <v>3143</v>
      </c>
      <c r="B876" t="s">
        <v>73</v>
      </c>
      <c r="C876" t="s">
        <v>50</v>
      </c>
      <c r="D876">
        <v>440463.92509999999</v>
      </c>
      <c r="E876">
        <v>1827295.041</v>
      </c>
      <c r="F876">
        <v>31.177</v>
      </c>
      <c r="G876" t="s">
        <v>3144</v>
      </c>
      <c r="H876" t="s">
        <v>52</v>
      </c>
      <c r="I876">
        <v>31.177</v>
      </c>
      <c r="J876" t="s">
        <v>53</v>
      </c>
      <c r="K876">
        <v>0</v>
      </c>
      <c r="L876" t="s">
        <v>3142</v>
      </c>
      <c r="M876" t="s">
        <v>3123</v>
      </c>
      <c r="N876">
        <v>0.15</v>
      </c>
      <c r="O876" t="s">
        <v>56</v>
      </c>
      <c r="P876" t="s">
        <v>57</v>
      </c>
      <c r="Q876" t="s">
        <v>59</v>
      </c>
      <c r="R876" t="s">
        <v>58</v>
      </c>
      <c r="S876" t="s">
        <v>3124</v>
      </c>
      <c r="T876" t="s">
        <v>61</v>
      </c>
      <c r="U876">
        <v>1.4645999999999999</v>
      </c>
      <c r="V876" t="s">
        <v>62</v>
      </c>
      <c r="W876">
        <v>0</v>
      </c>
      <c r="X876">
        <v>29.712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68</v>
      </c>
      <c r="AG876" t="s">
        <v>65</v>
      </c>
      <c r="AH876" t="s">
        <v>65</v>
      </c>
      <c r="AI876" t="s">
        <v>67</v>
      </c>
      <c r="AK876" t="s">
        <v>66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73</v>
      </c>
      <c r="AT876" t="s">
        <v>71</v>
      </c>
      <c r="AU876">
        <v>0</v>
      </c>
      <c r="AV876">
        <v>0</v>
      </c>
    </row>
    <row r="877" spans="1:48" x14ac:dyDescent="0.25">
      <c r="A877" t="s">
        <v>3145</v>
      </c>
      <c r="B877" t="s">
        <v>73</v>
      </c>
      <c r="C877" t="s">
        <v>50</v>
      </c>
      <c r="D877">
        <v>440463.92509999999</v>
      </c>
      <c r="E877">
        <v>1827315.4073000001</v>
      </c>
      <c r="F877">
        <v>31.132000000000001</v>
      </c>
      <c r="G877" t="s">
        <v>3146</v>
      </c>
      <c r="H877" t="s">
        <v>52</v>
      </c>
      <c r="I877">
        <v>31.132000000000001</v>
      </c>
      <c r="J877" t="s">
        <v>53</v>
      </c>
      <c r="K877">
        <v>0</v>
      </c>
      <c r="L877" t="s">
        <v>3142</v>
      </c>
      <c r="M877" t="s">
        <v>3147</v>
      </c>
      <c r="N877">
        <v>0.15</v>
      </c>
      <c r="O877" t="s">
        <v>56</v>
      </c>
      <c r="P877" t="s">
        <v>57</v>
      </c>
      <c r="Q877" t="s">
        <v>59</v>
      </c>
      <c r="R877" t="s">
        <v>58</v>
      </c>
      <c r="S877" t="s">
        <v>3148</v>
      </c>
      <c r="T877" t="s">
        <v>61</v>
      </c>
      <c r="U877">
        <v>1.4644999999999999</v>
      </c>
      <c r="V877" t="s">
        <v>62</v>
      </c>
      <c r="W877">
        <v>0</v>
      </c>
      <c r="X877">
        <v>29.667999999999999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68</v>
      </c>
      <c r="AG877" t="s">
        <v>65</v>
      </c>
      <c r="AH877" t="s">
        <v>65</v>
      </c>
      <c r="AI877" t="s">
        <v>67</v>
      </c>
      <c r="AK877" t="s">
        <v>66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73</v>
      </c>
      <c r="AT877" t="s">
        <v>71</v>
      </c>
      <c r="AU877">
        <v>0</v>
      </c>
      <c r="AV877">
        <v>0</v>
      </c>
    </row>
    <row r="878" spans="1:48" x14ac:dyDescent="0.25">
      <c r="A878" t="s">
        <v>3149</v>
      </c>
      <c r="B878" t="s">
        <v>73</v>
      </c>
      <c r="C878" t="s">
        <v>50</v>
      </c>
      <c r="D878">
        <v>440463.92509999999</v>
      </c>
      <c r="E878">
        <v>1827335.041</v>
      </c>
      <c r="F878">
        <v>31.09</v>
      </c>
      <c r="G878" t="s">
        <v>3150</v>
      </c>
      <c r="H878" t="s">
        <v>52</v>
      </c>
      <c r="I878">
        <v>31.09</v>
      </c>
      <c r="J878" t="s">
        <v>53</v>
      </c>
      <c r="K878">
        <v>0</v>
      </c>
      <c r="L878" t="s">
        <v>3142</v>
      </c>
      <c r="M878" t="s">
        <v>3131</v>
      </c>
      <c r="N878">
        <v>0.15</v>
      </c>
      <c r="O878" t="s">
        <v>56</v>
      </c>
      <c r="P878" t="s">
        <v>57</v>
      </c>
      <c r="Q878" t="s">
        <v>59</v>
      </c>
      <c r="R878" t="s">
        <v>58</v>
      </c>
      <c r="S878" t="s">
        <v>3151</v>
      </c>
      <c r="T878" t="s">
        <v>61</v>
      </c>
      <c r="U878">
        <v>1.4639</v>
      </c>
      <c r="V878" t="s">
        <v>62</v>
      </c>
      <c r="W878">
        <v>0</v>
      </c>
      <c r="X878">
        <v>29.626000000000001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68</v>
      </c>
      <c r="AG878" t="s">
        <v>65</v>
      </c>
      <c r="AH878" t="s">
        <v>65</v>
      </c>
      <c r="AI878" t="s">
        <v>67</v>
      </c>
      <c r="AK878" t="s">
        <v>66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73</v>
      </c>
      <c r="AT878" t="s">
        <v>71</v>
      </c>
      <c r="AU878">
        <v>0</v>
      </c>
      <c r="AV878">
        <v>0</v>
      </c>
    </row>
    <row r="879" spans="1:48" x14ac:dyDescent="0.25">
      <c r="A879" t="s">
        <v>3152</v>
      </c>
      <c r="B879" t="s">
        <v>73</v>
      </c>
      <c r="C879" t="s">
        <v>50</v>
      </c>
      <c r="D879">
        <v>440463.92509999999</v>
      </c>
      <c r="E879">
        <v>1827355.041</v>
      </c>
      <c r="F879">
        <v>31.047000000000001</v>
      </c>
      <c r="G879" t="s">
        <v>3153</v>
      </c>
      <c r="H879" t="s">
        <v>52</v>
      </c>
      <c r="I879">
        <v>31.047000000000001</v>
      </c>
      <c r="J879" t="s">
        <v>53</v>
      </c>
      <c r="K879">
        <v>0</v>
      </c>
      <c r="L879" t="s">
        <v>3142</v>
      </c>
      <c r="M879" t="s">
        <v>3135</v>
      </c>
      <c r="N879">
        <v>0.15</v>
      </c>
      <c r="O879" t="s">
        <v>56</v>
      </c>
      <c r="P879" t="s">
        <v>57</v>
      </c>
      <c r="Q879" t="s">
        <v>59</v>
      </c>
      <c r="R879" t="s">
        <v>58</v>
      </c>
      <c r="S879" t="s">
        <v>3154</v>
      </c>
      <c r="T879" t="s">
        <v>61</v>
      </c>
      <c r="U879">
        <v>1.6326000000000001</v>
      </c>
      <c r="V879" t="s">
        <v>62</v>
      </c>
      <c r="W879">
        <v>0</v>
      </c>
      <c r="X879">
        <v>29.414000000000001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68</v>
      </c>
      <c r="AG879" t="s">
        <v>65</v>
      </c>
      <c r="AH879" t="s">
        <v>65</v>
      </c>
      <c r="AI879" t="s">
        <v>67</v>
      </c>
      <c r="AK879" t="s">
        <v>66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73</v>
      </c>
      <c r="AT879" t="s">
        <v>71</v>
      </c>
      <c r="AU879">
        <v>0</v>
      </c>
      <c r="AV879">
        <v>0</v>
      </c>
    </row>
    <row r="880" spans="1:48" x14ac:dyDescent="0.25">
      <c r="A880" t="s">
        <v>3155</v>
      </c>
      <c r="B880" t="s">
        <v>49</v>
      </c>
      <c r="C880" t="s">
        <v>50</v>
      </c>
      <c r="D880">
        <v>440464.07510000002</v>
      </c>
      <c r="E880">
        <v>1827375.0486000001</v>
      </c>
      <c r="F880">
        <v>30.791</v>
      </c>
      <c r="G880" t="s">
        <v>3156</v>
      </c>
      <c r="H880" t="s">
        <v>52</v>
      </c>
      <c r="I880">
        <v>30.791</v>
      </c>
      <c r="J880" t="s">
        <v>53</v>
      </c>
      <c r="K880">
        <v>0</v>
      </c>
      <c r="L880" t="s">
        <v>3089</v>
      </c>
      <c r="M880" t="s">
        <v>2316</v>
      </c>
      <c r="N880">
        <v>-0.125</v>
      </c>
      <c r="O880" t="s">
        <v>56</v>
      </c>
      <c r="P880" t="s">
        <v>57</v>
      </c>
      <c r="Q880" t="s">
        <v>58</v>
      </c>
      <c r="R880" t="s">
        <v>59</v>
      </c>
      <c r="S880" t="s">
        <v>3157</v>
      </c>
      <c r="T880" t="s">
        <v>61</v>
      </c>
      <c r="U880">
        <v>2.2237</v>
      </c>
      <c r="V880" t="s">
        <v>62</v>
      </c>
      <c r="W880">
        <v>0</v>
      </c>
      <c r="X880">
        <v>28.567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66</v>
      </c>
      <c r="AG880" t="s">
        <v>65</v>
      </c>
      <c r="AH880" t="s">
        <v>65</v>
      </c>
      <c r="AI880" t="s">
        <v>67</v>
      </c>
      <c r="AK880" t="s">
        <v>68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49</v>
      </c>
      <c r="AT880" t="s">
        <v>71</v>
      </c>
      <c r="AU880">
        <v>0</v>
      </c>
      <c r="AV880">
        <v>0</v>
      </c>
    </row>
    <row r="881" spans="1:48" x14ac:dyDescent="0.25">
      <c r="A881" t="s">
        <v>3158</v>
      </c>
      <c r="B881" t="s">
        <v>49</v>
      </c>
      <c r="C881" t="s">
        <v>50</v>
      </c>
      <c r="D881">
        <v>440482.69179999997</v>
      </c>
      <c r="E881">
        <v>1827375.0486000001</v>
      </c>
      <c r="F881">
        <v>30.85</v>
      </c>
      <c r="G881" t="s">
        <v>3159</v>
      </c>
      <c r="H881" t="s">
        <v>52</v>
      </c>
      <c r="I881">
        <v>30.85</v>
      </c>
      <c r="J881" t="s">
        <v>53</v>
      </c>
      <c r="K881">
        <v>0</v>
      </c>
      <c r="L881" t="s">
        <v>3089</v>
      </c>
      <c r="M881" t="s">
        <v>3160</v>
      </c>
      <c r="N881">
        <v>-0.125</v>
      </c>
      <c r="O881" t="s">
        <v>56</v>
      </c>
      <c r="P881" t="s">
        <v>57</v>
      </c>
      <c r="Q881" t="s">
        <v>58</v>
      </c>
      <c r="R881" t="s">
        <v>59</v>
      </c>
      <c r="S881" t="s">
        <v>3161</v>
      </c>
      <c r="T881" t="s">
        <v>61</v>
      </c>
      <c r="U881">
        <v>2.3130000000000002</v>
      </c>
      <c r="V881" t="s">
        <v>62</v>
      </c>
      <c r="W881">
        <v>0</v>
      </c>
      <c r="X881">
        <v>28.536999999999999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66</v>
      </c>
      <c r="AG881" t="s">
        <v>65</v>
      </c>
      <c r="AH881" t="s">
        <v>65</v>
      </c>
      <c r="AI881" t="s">
        <v>67</v>
      </c>
      <c r="AK881" t="s">
        <v>68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49</v>
      </c>
      <c r="AT881" t="s">
        <v>71</v>
      </c>
      <c r="AU881">
        <v>0</v>
      </c>
      <c r="AV881">
        <v>0</v>
      </c>
    </row>
    <row r="882" spans="1:48" x14ac:dyDescent="0.25">
      <c r="A882" t="s">
        <v>3162</v>
      </c>
      <c r="B882" t="s">
        <v>49</v>
      </c>
      <c r="C882" t="s">
        <v>50</v>
      </c>
      <c r="D882">
        <v>440501.75569999998</v>
      </c>
      <c r="E882">
        <v>1827375.0486000001</v>
      </c>
      <c r="F882">
        <v>30.734000000000002</v>
      </c>
      <c r="G882" t="s">
        <v>3163</v>
      </c>
      <c r="H882" t="s">
        <v>52</v>
      </c>
      <c r="I882">
        <v>30.734000000000002</v>
      </c>
      <c r="J882" t="s">
        <v>53</v>
      </c>
      <c r="K882">
        <v>0</v>
      </c>
      <c r="L882" t="s">
        <v>3089</v>
      </c>
      <c r="M882" t="s">
        <v>3164</v>
      </c>
      <c r="N882">
        <v>-0.125</v>
      </c>
      <c r="O882" t="s">
        <v>56</v>
      </c>
      <c r="P882" t="s">
        <v>57</v>
      </c>
      <c r="Q882" t="s">
        <v>58</v>
      </c>
      <c r="R882" t="s">
        <v>59</v>
      </c>
      <c r="S882" t="s">
        <v>3165</v>
      </c>
      <c r="T882" t="s">
        <v>61</v>
      </c>
      <c r="U882">
        <v>2.2538999999999998</v>
      </c>
      <c r="V882" t="s">
        <v>62</v>
      </c>
      <c r="W882">
        <v>0</v>
      </c>
      <c r="X882">
        <v>28.48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66</v>
      </c>
      <c r="AG882" t="s">
        <v>65</v>
      </c>
      <c r="AH882" t="s">
        <v>65</v>
      </c>
      <c r="AI882" t="s">
        <v>67</v>
      </c>
      <c r="AK882" t="s">
        <v>68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49</v>
      </c>
      <c r="AT882" t="s">
        <v>71</v>
      </c>
      <c r="AU882">
        <v>0</v>
      </c>
      <c r="AV882">
        <v>0</v>
      </c>
    </row>
    <row r="883" spans="1:48" x14ac:dyDescent="0.25">
      <c r="A883" t="s">
        <v>3166</v>
      </c>
      <c r="B883" t="s">
        <v>73</v>
      </c>
      <c r="C883" t="s">
        <v>50</v>
      </c>
      <c r="D883">
        <v>440520.1251</v>
      </c>
      <c r="E883">
        <v>1827275.2019</v>
      </c>
      <c r="F883">
        <v>30.815999999999999</v>
      </c>
      <c r="G883" t="s">
        <v>3167</v>
      </c>
      <c r="H883" t="s">
        <v>52</v>
      </c>
      <c r="I883">
        <v>30.815999999999999</v>
      </c>
      <c r="J883" t="s">
        <v>53</v>
      </c>
      <c r="K883">
        <v>0</v>
      </c>
      <c r="L883" t="s">
        <v>3168</v>
      </c>
      <c r="M883" t="s">
        <v>3169</v>
      </c>
      <c r="N883">
        <v>-0.1547</v>
      </c>
      <c r="O883" t="s">
        <v>56</v>
      </c>
      <c r="P883" t="s">
        <v>57</v>
      </c>
      <c r="Q883" t="s">
        <v>59</v>
      </c>
      <c r="R883" t="s">
        <v>58</v>
      </c>
      <c r="S883" t="s">
        <v>3170</v>
      </c>
      <c r="T883" t="s">
        <v>61</v>
      </c>
      <c r="U883">
        <v>1.4641</v>
      </c>
      <c r="V883" t="s">
        <v>62</v>
      </c>
      <c r="W883">
        <v>0</v>
      </c>
      <c r="X883">
        <v>29.352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68</v>
      </c>
      <c r="AG883" t="s">
        <v>65</v>
      </c>
      <c r="AH883" t="s">
        <v>65</v>
      </c>
      <c r="AI883" t="s">
        <v>67</v>
      </c>
      <c r="AK883" t="s">
        <v>66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73</v>
      </c>
      <c r="AT883" t="s">
        <v>71</v>
      </c>
      <c r="AU883">
        <v>0</v>
      </c>
      <c r="AV883">
        <v>0</v>
      </c>
    </row>
    <row r="884" spans="1:48" x14ac:dyDescent="0.25">
      <c r="A884" t="s">
        <v>3171</v>
      </c>
      <c r="B884" t="s">
        <v>73</v>
      </c>
      <c r="C884" t="s">
        <v>50</v>
      </c>
      <c r="D884">
        <v>440520.1251</v>
      </c>
      <c r="E884">
        <v>1827295.2019</v>
      </c>
      <c r="F884">
        <v>30.773</v>
      </c>
      <c r="G884" t="s">
        <v>3172</v>
      </c>
      <c r="H884" t="s">
        <v>52</v>
      </c>
      <c r="I884">
        <v>30.773</v>
      </c>
      <c r="J884" t="s">
        <v>53</v>
      </c>
      <c r="K884">
        <v>0</v>
      </c>
      <c r="L884" t="s">
        <v>3168</v>
      </c>
      <c r="M884" t="s">
        <v>3173</v>
      </c>
      <c r="N884">
        <v>-0.1547</v>
      </c>
      <c r="O884" t="s">
        <v>56</v>
      </c>
      <c r="P884" t="s">
        <v>57</v>
      </c>
      <c r="Q884" t="s">
        <v>59</v>
      </c>
      <c r="R884" t="s">
        <v>58</v>
      </c>
      <c r="S884" t="s">
        <v>3174</v>
      </c>
      <c r="T884" t="s">
        <v>61</v>
      </c>
      <c r="U884">
        <v>1.4743999999999999</v>
      </c>
      <c r="V884" t="s">
        <v>62</v>
      </c>
      <c r="W884">
        <v>0</v>
      </c>
      <c r="X884">
        <v>29.298999999999999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68</v>
      </c>
      <c r="AG884" t="s">
        <v>65</v>
      </c>
      <c r="AH884" t="s">
        <v>65</v>
      </c>
      <c r="AI884" t="s">
        <v>67</v>
      </c>
      <c r="AK884" t="s">
        <v>66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73</v>
      </c>
      <c r="AT884" t="s">
        <v>71</v>
      </c>
      <c r="AU884">
        <v>0</v>
      </c>
      <c r="AV884">
        <v>0</v>
      </c>
    </row>
    <row r="885" spans="1:48" x14ac:dyDescent="0.25">
      <c r="A885" t="s">
        <v>3175</v>
      </c>
      <c r="B885" t="s">
        <v>73</v>
      </c>
      <c r="C885" t="s">
        <v>50</v>
      </c>
      <c r="D885">
        <v>440520.1251</v>
      </c>
      <c r="E885">
        <v>1827315.4855</v>
      </c>
      <c r="F885">
        <v>30.73</v>
      </c>
      <c r="G885" t="s">
        <v>3176</v>
      </c>
      <c r="H885" t="s">
        <v>52</v>
      </c>
      <c r="I885">
        <v>30.73</v>
      </c>
      <c r="J885" t="s">
        <v>53</v>
      </c>
      <c r="K885">
        <v>0</v>
      </c>
      <c r="L885" t="s">
        <v>3168</v>
      </c>
      <c r="M885" t="s">
        <v>3177</v>
      </c>
      <c r="N885">
        <v>-0.1547</v>
      </c>
      <c r="O885" t="s">
        <v>56</v>
      </c>
      <c r="P885" t="s">
        <v>57</v>
      </c>
      <c r="Q885" t="s">
        <v>59</v>
      </c>
      <c r="R885" t="s">
        <v>58</v>
      </c>
      <c r="S885" t="s">
        <v>3178</v>
      </c>
      <c r="T885" t="s">
        <v>61</v>
      </c>
      <c r="U885">
        <v>1.4661</v>
      </c>
      <c r="V885" t="s">
        <v>62</v>
      </c>
      <c r="W885">
        <v>0</v>
      </c>
      <c r="X885">
        <v>29.263999999999999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68</v>
      </c>
      <c r="AG885" t="s">
        <v>65</v>
      </c>
      <c r="AH885" t="s">
        <v>65</v>
      </c>
      <c r="AI885" t="s">
        <v>67</v>
      </c>
      <c r="AK885" t="s">
        <v>66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73</v>
      </c>
      <c r="AT885" t="s">
        <v>71</v>
      </c>
      <c r="AU885">
        <v>0</v>
      </c>
      <c r="AV885">
        <v>0</v>
      </c>
    </row>
    <row r="886" spans="1:48" x14ac:dyDescent="0.25">
      <c r="A886" t="s">
        <v>3179</v>
      </c>
      <c r="B886" t="s">
        <v>73</v>
      </c>
      <c r="C886" t="s">
        <v>50</v>
      </c>
      <c r="D886">
        <v>440520.1251</v>
      </c>
      <c r="E886">
        <v>1827335.2019</v>
      </c>
      <c r="F886">
        <v>30.687999999999999</v>
      </c>
      <c r="G886" t="s">
        <v>3180</v>
      </c>
      <c r="H886" t="s">
        <v>52</v>
      </c>
      <c r="I886">
        <v>30.687999999999999</v>
      </c>
      <c r="J886" t="s">
        <v>53</v>
      </c>
      <c r="K886">
        <v>0</v>
      </c>
      <c r="L886" t="s">
        <v>3168</v>
      </c>
      <c r="M886" t="s">
        <v>3181</v>
      </c>
      <c r="N886">
        <v>-0.1547</v>
      </c>
      <c r="O886" t="s">
        <v>56</v>
      </c>
      <c r="P886" t="s">
        <v>57</v>
      </c>
      <c r="Q886" t="s">
        <v>59</v>
      </c>
      <c r="R886" t="s">
        <v>58</v>
      </c>
      <c r="S886" t="s">
        <v>3182</v>
      </c>
      <c r="T886" t="s">
        <v>61</v>
      </c>
      <c r="U886">
        <v>1.4641</v>
      </c>
      <c r="V886" t="s">
        <v>62</v>
      </c>
      <c r="W886">
        <v>0</v>
      </c>
      <c r="X886">
        <v>29.224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68</v>
      </c>
      <c r="AG886" t="s">
        <v>65</v>
      </c>
      <c r="AH886" t="s">
        <v>65</v>
      </c>
      <c r="AI886" t="s">
        <v>67</v>
      </c>
      <c r="AK886" t="s">
        <v>66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73</v>
      </c>
      <c r="AT886" t="s">
        <v>71</v>
      </c>
      <c r="AU886">
        <v>0</v>
      </c>
      <c r="AV886">
        <v>0</v>
      </c>
    </row>
    <row r="887" spans="1:48" x14ac:dyDescent="0.25">
      <c r="A887" t="s">
        <v>3183</v>
      </c>
      <c r="B887" t="s">
        <v>73</v>
      </c>
      <c r="C887" t="s">
        <v>50</v>
      </c>
      <c r="D887">
        <v>440520.1251</v>
      </c>
      <c r="E887">
        <v>1827355.2019</v>
      </c>
      <c r="F887">
        <v>30.645</v>
      </c>
      <c r="G887" t="s">
        <v>3184</v>
      </c>
      <c r="H887" t="s">
        <v>52</v>
      </c>
      <c r="I887">
        <v>30.645</v>
      </c>
      <c r="J887" t="s">
        <v>53</v>
      </c>
      <c r="K887">
        <v>0</v>
      </c>
      <c r="L887" t="s">
        <v>3168</v>
      </c>
      <c r="M887" t="s">
        <v>3185</v>
      </c>
      <c r="N887">
        <v>-0.1547</v>
      </c>
      <c r="O887" t="s">
        <v>56</v>
      </c>
      <c r="P887" t="s">
        <v>57</v>
      </c>
      <c r="Q887" t="s">
        <v>59</v>
      </c>
      <c r="R887" t="s">
        <v>58</v>
      </c>
      <c r="S887" t="s">
        <v>3186</v>
      </c>
      <c r="T887" t="s">
        <v>61</v>
      </c>
      <c r="U887">
        <v>1.5584</v>
      </c>
      <c r="V887" t="s">
        <v>62</v>
      </c>
      <c r="W887">
        <v>0</v>
      </c>
      <c r="X887">
        <v>29.087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68</v>
      </c>
      <c r="AG887" t="s">
        <v>65</v>
      </c>
      <c r="AH887" t="s">
        <v>65</v>
      </c>
      <c r="AI887" t="s">
        <v>67</v>
      </c>
      <c r="AK887" t="s">
        <v>66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73</v>
      </c>
      <c r="AT887" t="s">
        <v>71</v>
      </c>
      <c r="AU887">
        <v>0</v>
      </c>
      <c r="AV887">
        <v>0</v>
      </c>
    </row>
    <row r="888" spans="1:48" x14ac:dyDescent="0.25">
      <c r="A888" t="s">
        <v>3187</v>
      </c>
      <c r="B888" t="s">
        <v>49</v>
      </c>
      <c r="C888" t="s">
        <v>50</v>
      </c>
      <c r="D888">
        <v>440519.97509999998</v>
      </c>
      <c r="E888">
        <v>1827375.0486000001</v>
      </c>
      <c r="F888">
        <v>30.483000000000001</v>
      </c>
      <c r="G888" t="s">
        <v>3188</v>
      </c>
      <c r="H888" t="s">
        <v>52</v>
      </c>
      <c r="I888">
        <v>30.483000000000001</v>
      </c>
      <c r="J888" t="s">
        <v>53</v>
      </c>
      <c r="K888">
        <v>0</v>
      </c>
      <c r="L888" t="s">
        <v>3089</v>
      </c>
      <c r="M888" t="s">
        <v>2333</v>
      </c>
      <c r="N888">
        <v>-0.125</v>
      </c>
      <c r="O888" t="s">
        <v>56</v>
      </c>
      <c r="P888" t="s">
        <v>57</v>
      </c>
      <c r="Q888" t="s">
        <v>58</v>
      </c>
      <c r="R888" t="s">
        <v>59</v>
      </c>
      <c r="S888" t="s">
        <v>3189</v>
      </c>
      <c r="T888" t="s">
        <v>61</v>
      </c>
      <c r="U888">
        <v>2.3281999999999998</v>
      </c>
      <c r="V888" t="s">
        <v>1033</v>
      </c>
      <c r="W888">
        <v>0</v>
      </c>
      <c r="X888">
        <v>28.155000000000001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66</v>
      </c>
      <c r="AG888" t="s">
        <v>65</v>
      </c>
      <c r="AH888" t="s">
        <v>65</v>
      </c>
      <c r="AI888" t="s">
        <v>67</v>
      </c>
      <c r="AK888" t="s">
        <v>68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49</v>
      </c>
      <c r="AT888" t="s">
        <v>71</v>
      </c>
      <c r="AU888">
        <v>0</v>
      </c>
      <c r="AV888">
        <v>0</v>
      </c>
    </row>
    <row r="889" spans="1:48" x14ac:dyDescent="0.25">
      <c r="A889" t="s">
        <v>3190</v>
      </c>
      <c r="B889" t="s">
        <v>73</v>
      </c>
      <c r="C889" t="s">
        <v>50</v>
      </c>
      <c r="D889">
        <v>440529.52510000003</v>
      </c>
      <c r="E889">
        <v>1827275.2019</v>
      </c>
      <c r="F889">
        <v>30.815999999999999</v>
      </c>
      <c r="G889" t="s">
        <v>3191</v>
      </c>
      <c r="H889" t="s">
        <v>52</v>
      </c>
      <c r="I889">
        <v>30.815999999999999</v>
      </c>
      <c r="J889" t="s">
        <v>53</v>
      </c>
      <c r="K889">
        <v>0</v>
      </c>
      <c r="L889" t="s">
        <v>352</v>
      </c>
      <c r="M889" t="s">
        <v>3169</v>
      </c>
      <c r="N889">
        <v>0.15</v>
      </c>
      <c r="O889" t="s">
        <v>56</v>
      </c>
      <c r="P889" t="s">
        <v>57</v>
      </c>
      <c r="Q889" t="s">
        <v>59</v>
      </c>
      <c r="R889" t="s">
        <v>58</v>
      </c>
      <c r="S889" t="s">
        <v>3170</v>
      </c>
      <c r="T889" t="s">
        <v>61</v>
      </c>
      <c r="U889">
        <v>1.4641</v>
      </c>
      <c r="V889" t="s">
        <v>62</v>
      </c>
      <c r="W889">
        <v>0</v>
      </c>
      <c r="X889">
        <v>29.352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68</v>
      </c>
      <c r="AG889" t="s">
        <v>65</v>
      </c>
      <c r="AH889" t="s">
        <v>65</v>
      </c>
      <c r="AI889" t="s">
        <v>67</v>
      </c>
      <c r="AK889" t="s">
        <v>66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73</v>
      </c>
      <c r="AT889" t="s">
        <v>71</v>
      </c>
      <c r="AU889">
        <v>0</v>
      </c>
      <c r="AV889">
        <v>0</v>
      </c>
    </row>
    <row r="890" spans="1:48" x14ac:dyDescent="0.25">
      <c r="A890" t="s">
        <v>3192</v>
      </c>
      <c r="B890" t="s">
        <v>73</v>
      </c>
      <c r="C890" t="s">
        <v>50</v>
      </c>
      <c r="D890">
        <v>440529.52510000003</v>
      </c>
      <c r="E890">
        <v>1827295.2019</v>
      </c>
      <c r="F890">
        <v>30.773</v>
      </c>
      <c r="G890" t="s">
        <v>3193</v>
      </c>
      <c r="H890" t="s">
        <v>52</v>
      </c>
      <c r="I890">
        <v>30.773</v>
      </c>
      <c r="J890" t="s">
        <v>53</v>
      </c>
      <c r="K890">
        <v>0</v>
      </c>
      <c r="L890" t="s">
        <v>352</v>
      </c>
      <c r="M890" t="s">
        <v>3173</v>
      </c>
      <c r="N890">
        <v>0.15</v>
      </c>
      <c r="O890" t="s">
        <v>56</v>
      </c>
      <c r="P890" t="s">
        <v>57</v>
      </c>
      <c r="Q890" t="s">
        <v>59</v>
      </c>
      <c r="R890" t="s">
        <v>58</v>
      </c>
      <c r="S890" t="s">
        <v>3194</v>
      </c>
      <c r="T890" t="s">
        <v>61</v>
      </c>
      <c r="U890">
        <v>1.4734</v>
      </c>
      <c r="V890" t="s">
        <v>62</v>
      </c>
      <c r="W890">
        <v>0</v>
      </c>
      <c r="X890">
        <v>29.3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68</v>
      </c>
      <c r="AG890" t="s">
        <v>65</v>
      </c>
      <c r="AH890" t="s">
        <v>65</v>
      </c>
      <c r="AI890" t="s">
        <v>67</v>
      </c>
      <c r="AK890" t="s">
        <v>66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73</v>
      </c>
      <c r="AT890" t="s">
        <v>71</v>
      </c>
      <c r="AU890">
        <v>0</v>
      </c>
      <c r="AV890">
        <v>0</v>
      </c>
    </row>
    <row r="891" spans="1:48" x14ac:dyDescent="0.25">
      <c r="A891" t="s">
        <v>3195</v>
      </c>
      <c r="B891" t="s">
        <v>73</v>
      </c>
      <c r="C891" t="s">
        <v>50</v>
      </c>
      <c r="D891">
        <v>440529.52510000003</v>
      </c>
      <c r="E891">
        <v>1827335.2019</v>
      </c>
      <c r="F891">
        <v>30.687999999999999</v>
      </c>
      <c r="G891" t="s">
        <v>3196</v>
      </c>
      <c r="H891" t="s">
        <v>52</v>
      </c>
      <c r="I891">
        <v>30.687999999999999</v>
      </c>
      <c r="J891" t="s">
        <v>53</v>
      </c>
      <c r="K891">
        <v>0</v>
      </c>
      <c r="L891" t="s">
        <v>352</v>
      </c>
      <c r="M891" t="s">
        <v>3181</v>
      </c>
      <c r="N891">
        <v>0.15</v>
      </c>
      <c r="O891" t="s">
        <v>56</v>
      </c>
      <c r="P891" t="s">
        <v>57</v>
      </c>
      <c r="Q891" t="s">
        <v>59</v>
      </c>
      <c r="R891" t="s">
        <v>58</v>
      </c>
      <c r="S891" t="s">
        <v>3182</v>
      </c>
      <c r="T891" t="s">
        <v>61</v>
      </c>
      <c r="U891">
        <v>1.4641</v>
      </c>
      <c r="V891" t="s">
        <v>62</v>
      </c>
      <c r="W891">
        <v>0</v>
      </c>
      <c r="X891">
        <v>29.224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68</v>
      </c>
      <c r="AG891" t="s">
        <v>65</v>
      </c>
      <c r="AH891" t="s">
        <v>65</v>
      </c>
      <c r="AI891" t="s">
        <v>67</v>
      </c>
      <c r="AK891" t="s">
        <v>66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73</v>
      </c>
      <c r="AT891" t="s">
        <v>71</v>
      </c>
      <c r="AU891">
        <v>0</v>
      </c>
      <c r="AV891">
        <v>0</v>
      </c>
    </row>
    <row r="892" spans="1:48" x14ac:dyDescent="0.25">
      <c r="A892" t="s">
        <v>3197</v>
      </c>
      <c r="B892" t="s">
        <v>73</v>
      </c>
      <c r="C892" t="s">
        <v>50</v>
      </c>
      <c r="D892">
        <v>440529.52510000003</v>
      </c>
      <c r="E892">
        <v>1827355.2019</v>
      </c>
      <c r="F892">
        <v>30.645</v>
      </c>
      <c r="G892" t="s">
        <v>3198</v>
      </c>
      <c r="H892" t="s">
        <v>52</v>
      </c>
      <c r="I892">
        <v>30.645</v>
      </c>
      <c r="J892" t="s">
        <v>53</v>
      </c>
      <c r="K892">
        <v>0</v>
      </c>
      <c r="L892" t="s">
        <v>352</v>
      </c>
      <c r="M892" t="s">
        <v>3185</v>
      </c>
      <c r="N892">
        <v>0.15</v>
      </c>
      <c r="O892" t="s">
        <v>56</v>
      </c>
      <c r="P892" t="s">
        <v>57</v>
      </c>
      <c r="Q892" t="s">
        <v>59</v>
      </c>
      <c r="R892" t="s">
        <v>58</v>
      </c>
      <c r="S892" t="s">
        <v>3199</v>
      </c>
      <c r="T892" t="s">
        <v>61</v>
      </c>
      <c r="U892">
        <v>1.6314</v>
      </c>
      <c r="V892" t="s">
        <v>62</v>
      </c>
      <c r="W892">
        <v>0</v>
      </c>
      <c r="X892">
        <v>29.013999999999999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68</v>
      </c>
      <c r="AG892" t="s">
        <v>65</v>
      </c>
      <c r="AH892" t="s">
        <v>65</v>
      </c>
      <c r="AI892" t="s">
        <v>67</v>
      </c>
      <c r="AK892" t="s">
        <v>66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73</v>
      </c>
      <c r="AT892" t="s">
        <v>71</v>
      </c>
      <c r="AU892">
        <v>0</v>
      </c>
      <c r="AV892">
        <v>0</v>
      </c>
    </row>
    <row r="893" spans="1:48" x14ac:dyDescent="0.25">
      <c r="A893" t="s">
        <v>3200</v>
      </c>
      <c r="B893" t="s">
        <v>49</v>
      </c>
      <c r="C893" t="s">
        <v>50</v>
      </c>
      <c r="D893">
        <v>440529.67509999999</v>
      </c>
      <c r="E893">
        <v>1827375.0486000001</v>
      </c>
      <c r="F893">
        <v>30.390999999999998</v>
      </c>
      <c r="G893" t="s">
        <v>3201</v>
      </c>
      <c r="H893" t="s">
        <v>52</v>
      </c>
      <c r="I893">
        <v>30.390999999999998</v>
      </c>
      <c r="J893" t="s">
        <v>53</v>
      </c>
      <c r="K893">
        <v>0</v>
      </c>
      <c r="L893" t="s">
        <v>3089</v>
      </c>
      <c r="M893" t="s">
        <v>2455</v>
      </c>
      <c r="N893">
        <v>-0.125</v>
      </c>
      <c r="O893" t="s">
        <v>56</v>
      </c>
      <c r="P893" t="s">
        <v>57</v>
      </c>
      <c r="Q893" t="s">
        <v>58</v>
      </c>
      <c r="R893" t="s">
        <v>59</v>
      </c>
      <c r="S893" t="s">
        <v>3202</v>
      </c>
      <c r="T893" t="s">
        <v>61</v>
      </c>
      <c r="U893">
        <v>2.3961999999999999</v>
      </c>
      <c r="V893" t="s">
        <v>62</v>
      </c>
      <c r="W893">
        <v>0</v>
      </c>
      <c r="X893">
        <v>27.995000000000001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66</v>
      </c>
      <c r="AG893" t="s">
        <v>65</v>
      </c>
      <c r="AH893" t="s">
        <v>65</v>
      </c>
      <c r="AI893" t="s">
        <v>67</v>
      </c>
      <c r="AK893" t="s">
        <v>68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49</v>
      </c>
      <c r="AT893" t="s">
        <v>71</v>
      </c>
      <c r="AU893">
        <v>0</v>
      </c>
      <c r="AV893">
        <v>0</v>
      </c>
    </row>
    <row r="894" spans="1:48" x14ac:dyDescent="0.25">
      <c r="A894" t="s">
        <v>3203</v>
      </c>
      <c r="B894" t="s">
        <v>49</v>
      </c>
      <c r="C894" t="s">
        <v>50</v>
      </c>
      <c r="D894">
        <v>440548.08069999999</v>
      </c>
      <c r="E894">
        <v>1827375.0486000001</v>
      </c>
      <c r="F894">
        <v>30.452000000000002</v>
      </c>
      <c r="G894" t="s">
        <v>3204</v>
      </c>
      <c r="H894" t="s">
        <v>52</v>
      </c>
      <c r="I894">
        <v>30.452000000000002</v>
      </c>
      <c r="J894" t="s">
        <v>53</v>
      </c>
      <c r="K894">
        <v>0</v>
      </c>
      <c r="L894" t="s">
        <v>3089</v>
      </c>
      <c r="M894" t="s">
        <v>3205</v>
      </c>
      <c r="N894">
        <v>-0.125</v>
      </c>
      <c r="O894" t="s">
        <v>56</v>
      </c>
      <c r="P894" t="s">
        <v>57</v>
      </c>
      <c r="Q894" t="s">
        <v>58</v>
      </c>
      <c r="R894" t="s">
        <v>59</v>
      </c>
      <c r="S894" t="s">
        <v>3206</v>
      </c>
      <c r="T894" t="s">
        <v>61</v>
      </c>
      <c r="U894">
        <v>2.4758</v>
      </c>
      <c r="V894" t="s">
        <v>62</v>
      </c>
      <c r="W894">
        <v>0</v>
      </c>
      <c r="X894">
        <v>27.975999999999999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66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49</v>
      </c>
      <c r="AT894" t="s">
        <v>71</v>
      </c>
      <c r="AU894">
        <v>0</v>
      </c>
      <c r="AV894">
        <v>0</v>
      </c>
    </row>
    <row r="895" spans="1:48" x14ac:dyDescent="0.25">
      <c r="A895" t="s">
        <v>3207</v>
      </c>
      <c r="B895" t="s">
        <v>49</v>
      </c>
      <c r="C895" t="s">
        <v>50</v>
      </c>
      <c r="D895">
        <v>440567.77140000003</v>
      </c>
      <c r="E895">
        <v>1827375.0486000001</v>
      </c>
      <c r="F895">
        <v>30.332000000000001</v>
      </c>
      <c r="G895" t="s">
        <v>3208</v>
      </c>
      <c r="H895" t="s">
        <v>52</v>
      </c>
      <c r="I895">
        <v>30.332000000000001</v>
      </c>
      <c r="J895" t="s">
        <v>53</v>
      </c>
      <c r="K895">
        <v>0</v>
      </c>
      <c r="L895" t="s">
        <v>3089</v>
      </c>
      <c r="M895" s="1" t="s">
        <v>3209</v>
      </c>
      <c r="N895">
        <v>-0.125</v>
      </c>
      <c r="O895" t="s">
        <v>56</v>
      </c>
      <c r="P895" t="s">
        <v>57</v>
      </c>
      <c r="Q895" t="s">
        <v>58</v>
      </c>
      <c r="R895" t="s">
        <v>59</v>
      </c>
      <c r="S895" t="s">
        <v>3210</v>
      </c>
      <c r="T895" t="s">
        <v>61</v>
      </c>
      <c r="U895">
        <v>2.3748999999999998</v>
      </c>
      <c r="V895" t="s">
        <v>62</v>
      </c>
      <c r="W895">
        <v>0</v>
      </c>
      <c r="X895">
        <v>27.957000000000001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66</v>
      </c>
      <c r="AG895" t="s">
        <v>65</v>
      </c>
      <c r="AH895" t="s">
        <v>65</v>
      </c>
      <c r="AI895" t="s">
        <v>67</v>
      </c>
      <c r="AK895" t="s">
        <v>68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49</v>
      </c>
      <c r="AT895" t="s">
        <v>71</v>
      </c>
      <c r="AU895">
        <v>0</v>
      </c>
      <c r="AV895">
        <v>0</v>
      </c>
    </row>
    <row r="896" spans="1:48" x14ac:dyDescent="0.25">
      <c r="A896" t="s">
        <v>3211</v>
      </c>
      <c r="B896" t="s">
        <v>49</v>
      </c>
      <c r="C896" t="s">
        <v>50</v>
      </c>
      <c r="D896">
        <v>440585.83809999999</v>
      </c>
      <c r="E896">
        <v>1827375.0486000001</v>
      </c>
      <c r="F896">
        <v>30.067</v>
      </c>
      <c r="G896" t="s">
        <v>3212</v>
      </c>
      <c r="H896" t="s">
        <v>52</v>
      </c>
      <c r="I896">
        <v>30.067</v>
      </c>
      <c r="J896" t="s">
        <v>53</v>
      </c>
      <c r="K896">
        <v>0</v>
      </c>
      <c r="L896" t="s">
        <v>3089</v>
      </c>
      <c r="M896" s="1" t="s">
        <v>3213</v>
      </c>
      <c r="N896">
        <v>-0.125</v>
      </c>
      <c r="O896" t="s">
        <v>56</v>
      </c>
      <c r="P896" t="s">
        <v>57</v>
      </c>
      <c r="Q896" t="s">
        <v>58</v>
      </c>
      <c r="R896" t="s">
        <v>59</v>
      </c>
      <c r="S896" t="s">
        <v>3214</v>
      </c>
      <c r="T896" t="s">
        <v>61</v>
      </c>
      <c r="U896">
        <v>2.3776999999999999</v>
      </c>
      <c r="V896" t="s">
        <v>62</v>
      </c>
      <c r="W896">
        <v>0</v>
      </c>
      <c r="X896">
        <v>27.689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66</v>
      </c>
      <c r="AG896" t="s">
        <v>65</v>
      </c>
      <c r="AH896" t="s">
        <v>65</v>
      </c>
      <c r="AI896" t="s">
        <v>67</v>
      </c>
      <c r="AK896" t="s">
        <v>68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49</v>
      </c>
      <c r="AT896" t="s">
        <v>71</v>
      </c>
      <c r="AU896">
        <v>0</v>
      </c>
      <c r="AV896">
        <v>0</v>
      </c>
    </row>
    <row r="897" spans="1:48" x14ac:dyDescent="0.25">
      <c r="A897" t="s">
        <v>3215</v>
      </c>
      <c r="B897" t="s">
        <v>49</v>
      </c>
      <c r="C897" t="s">
        <v>50</v>
      </c>
      <c r="D897">
        <v>440595.09409999999</v>
      </c>
      <c r="E897">
        <v>1827375.0486000001</v>
      </c>
      <c r="F897">
        <v>30.219000000000001</v>
      </c>
      <c r="G897" t="s">
        <v>3216</v>
      </c>
      <c r="H897" t="s">
        <v>52</v>
      </c>
      <c r="I897">
        <v>30.219000000000001</v>
      </c>
      <c r="J897" t="s">
        <v>53</v>
      </c>
      <c r="K897">
        <v>0</v>
      </c>
      <c r="L897" t="s">
        <v>3089</v>
      </c>
      <c r="M897">
        <f>0+4.67</f>
        <v>4.67</v>
      </c>
      <c r="N897">
        <v>-0.125</v>
      </c>
      <c r="O897" t="s">
        <v>56</v>
      </c>
      <c r="P897" t="s">
        <v>57</v>
      </c>
      <c r="Q897" t="s">
        <v>58</v>
      </c>
      <c r="R897" t="s">
        <v>59</v>
      </c>
      <c r="S897" t="s">
        <v>3217</v>
      </c>
      <c r="T897" t="s">
        <v>61</v>
      </c>
      <c r="U897">
        <v>2.5394999999999999</v>
      </c>
      <c r="V897" t="s">
        <v>62</v>
      </c>
      <c r="W897">
        <v>0</v>
      </c>
      <c r="X897">
        <v>27.68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66</v>
      </c>
      <c r="AG897" t="s">
        <v>65</v>
      </c>
      <c r="AH897" t="s">
        <v>65</v>
      </c>
      <c r="AI897" t="s">
        <v>67</v>
      </c>
      <c r="AK897" t="s">
        <v>68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49</v>
      </c>
      <c r="AT897" t="s">
        <v>71</v>
      </c>
      <c r="AU897">
        <v>0</v>
      </c>
      <c r="AV897">
        <v>0</v>
      </c>
    </row>
    <row r="898" spans="1:48" x14ac:dyDescent="0.25">
      <c r="A898" t="s">
        <v>3218</v>
      </c>
      <c r="B898" t="s">
        <v>73</v>
      </c>
      <c r="C898" t="s">
        <v>50</v>
      </c>
      <c r="D898">
        <v>440117.6249</v>
      </c>
      <c r="E898">
        <v>1827267.8488</v>
      </c>
      <c r="F898">
        <v>34.008000000000003</v>
      </c>
      <c r="G898" t="s">
        <v>3219</v>
      </c>
      <c r="H898" t="s">
        <v>52</v>
      </c>
      <c r="I898">
        <v>34.008000000000003</v>
      </c>
      <c r="J898" t="s">
        <v>53</v>
      </c>
      <c r="K898">
        <v>0</v>
      </c>
      <c r="L898" t="s">
        <v>3220</v>
      </c>
      <c r="M898" t="s">
        <v>3221</v>
      </c>
      <c r="N898">
        <v>-0.151</v>
      </c>
      <c r="O898" t="s">
        <v>56</v>
      </c>
      <c r="P898" t="s">
        <v>57</v>
      </c>
      <c r="Q898" t="s">
        <v>59</v>
      </c>
      <c r="R898" t="s">
        <v>58</v>
      </c>
      <c r="S898" t="s">
        <v>3222</v>
      </c>
      <c r="T898" t="s">
        <v>61</v>
      </c>
      <c r="U898">
        <v>1.6114999999999999</v>
      </c>
      <c r="V898" t="s">
        <v>62</v>
      </c>
      <c r="W898">
        <v>0</v>
      </c>
      <c r="X898">
        <v>32.396999999999998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68</v>
      </c>
      <c r="AG898" t="s">
        <v>65</v>
      </c>
      <c r="AH898" t="s">
        <v>65</v>
      </c>
      <c r="AI898" t="s">
        <v>67</v>
      </c>
      <c r="AK898" t="s">
        <v>66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73</v>
      </c>
      <c r="AT898" t="s">
        <v>71</v>
      </c>
      <c r="AU898">
        <v>0</v>
      </c>
      <c r="AV898">
        <v>0</v>
      </c>
    </row>
    <row r="899" spans="1:48" x14ac:dyDescent="0.25">
      <c r="A899" t="s">
        <v>3223</v>
      </c>
      <c r="B899" t="s">
        <v>73</v>
      </c>
      <c r="C899" t="s">
        <v>50</v>
      </c>
      <c r="D899">
        <v>440117.6249</v>
      </c>
      <c r="E899">
        <v>1827287.8488</v>
      </c>
      <c r="F899">
        <v>33.792000000000002</v>
      </c>
      <c r="G899" t="s">
        <v>3224</v>
      </c>
      <c r="H899" t="s">
        <v>52</v>
      </c>
      <c r="I899">
        <v>33.792000000000002</v>
      </c>
      <c r="J899" t="s">
        <v>53</v>
      </c>
      <c r="K899">
        <v>0</v>
      </c>
      <c r="L899" t="s">
        <v>3220</v>
      </c>
      <c r="M899" t="s">
        <v>3225</v>
      </c>
      <c r="N899">
        <v>-0.151</v>
      </c>
      <c r="O899" t="s">
        <v>56</v>
      </c>
      <c r="P899" t="s">
        <v>57</v>
      </c>
      <c r="Q899" t="s">
        <v>59</v>
      </c>
      <c r="R899" t="s">
        <v>58</v>
      </c>
      <c r="S899" t="s">
        <v>3226</v>
      </c>
      <c r="T899" t="s">
        <v>61</v>
      </c>
      <c r="U899">
        <v>1.6094999999999999</v>
      </c>
      <c r="V899" t="s">
        <v>62</v>
      </c>
      <c r="W899">
        <v>0</v>
      </c>
      <c r="X899">
        <v>32.182000000000002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68</v>
      </c>
      <c r="AG899" t="s">
        <v>65</v>
      </c>
      <c r="AH899" t="s">
        <v>65</v>
      </c>
      <c r="AI899" t="s">
        <v>67</v>
      </c>
      <c r="AK899" t="s">
        <v>66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73</v>
      </c>
      <c r="AT899" t="s">
        <v>71</v>
      </c>
      <c r="AU899">
        <v>0</v>
      </c>
      <c r="AV899">
        <v>0</v>
      </c>
    </row>
    <row r="900" spans="1:48" x14ac:dyDescent="0.25">
      <c r="A900" t="s">
        <v>3227</v>
      </c>
      <c r="B900" t="s">
        <v>73</v>
      </c>
      <c r="C900" t="s">
        <v>50</v>
      </c>
      <c r="D900">
        <v>440117.6249</v>
      </c>
      <c r="E900">
        <v>1827307.8488</v>
      </c>
      <c r="F900">
        <v>33.576000000000001</v>
      </c>
      <c r="G900" t="s">
        <v>3228</v>
      </c>
      <c r="H900" t="s">
        <v>52</v>
      </c>
      <c r="I900">
        <v>33.576000000000001</v>
      </c>
      <c r="J900" t="s">
        <v>53</v>
      </c>
      <c r="K900">
        <v>0</v>
      </c>
      <c r="L900" t="s">
        <v>3220</v>
      </c>
      <c r="M900" t="s">
        <v>3229</v>
      </c>
      <c r="N900">
        <v>-0.151</v>
      </c>
      <c r="O900" t="s">
        <v>56</v>
      </c>
      <c r="P900" t="s">
        <v>57</v>
      </c>
      <c r="Q900" t="s">
        <v>59</v>
      </c>
      <c r="R900" t="s">
        <v>58</v>
      </c>
      <c r="S900" t="s">
        <v>3230</v>
      </c>
      <c r="T900" t="s">
        <v>61</v>
      </c>
      <c r="U900">
        <v>1.581</v>
      </c>
      <c r="V900" t="s">
        <v>62</v>
      </c>
      <c r="W900">
        <v>0</v>
      </c>
      <c r="X900">
        <v>31.995000000000001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68</v>
      </c>
      <c r="AG900" t="s">
        <v>65</v>
      </c>
      <c r="AH900" t="s">
        <v>65</v>
      </c>
      <c r="AI900" t="s">
        <v>67</v>
      </c>
      <c r="AK900" t="s">
        <v>66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73</v>
      </c>
      <c r="AT900" t="s">
        <v>71</v>
      </c>
      <c r="AU900">
        <v>0</v>
      </c>
      <c r="AV900">
        <v>0</v>
      </c>
    </row>
    <row r="901" spans="1:48" x14ac:dyDescent="0.25">
      <c r="A901" t="s">
        <v>3231</v>
      </c>
      <c r="B901" t="s">
        <v>73</v>
      </c>
      <c r="C901" t="s">
        <v>50</v>
      </c>
      <c r="D901">
        <v>440117.6249</v>
      </c>
      <c r="E901">
        <v>1827327.8488</v>
      </c>
      <c r="F901">
        <v>33.389000000000003</v>
      </c>
      <c r="G901" t="s">
        <v>3232</v>
      </c>
      <c r="H901" t="s">
        <v>52</v>
      </c>
      <c r="I901">
        <v>33.389000000000003</v>
      </c>
      <c r="J901" t="s">
        <v>53</v>
      </c>
      <c r="K901">
        <v>0</v>
      </c>
      <c r="L901" t="s">
        <v>3220</v>
      </c>
      <c r="M901" t="s">
        <v>3233</v>
      </c>
      <c r="N901">
        <v>-0.151</v>
      </c>
      <c r="O901" t="s">
        <v>56</v>
      </c>
      <c r="P901" t="s">
        <v>57</v>
      </c>
      <c r="Q901" t="s">
        <v>59</v>
      </c>
      <c r="R901" t="s">
        <v>58</v>
      </c>
      <c r="S901" t="s">
        <v>3234</v>
      </c>
      <c r="T901" t="s">
        <v>61</v>
      </c>
      <c r="U901">
        <v>1.5437000000000001</v>
      </c>
      <c r="V901" t="s">
        <v>62</v>
      </c>
      <c r="W901">
        <v>0</v>
      </c>
      <c r="X901">
        <v>31.844999999999999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68</v>
      </c>
      <c r="AG901" t="s">
        <v>65</v>
      </c>
      <c r="AH901" t="s">
        <v>65</v>
      </c>
      <c r="AI901" t="s">
        <v>67</v>
      </c>
      <c r="AK901" t="s">
        <v>66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73</v>
      </c>
      <c r="AT901" t="s">
        <v>71</v>
      </c>
      <c r="AU901">
        <v>0</v>
      </c>
      <c r="AV901">
        <v>0</v>
      </c>
    </row>
    <row r="902" spans="1:48" x14ac:dyDescent="0.25">
      <c r="A902" t="s">
        <v>3235</v>
      </c>
      <c r="B902" t="s">
        <v>73</v>
      </c>
      <c r="C902" t="s">
        <v>50</v>
      </c>
      <c r="D902">
        <v>440117.6249</v>
      </c>
      <c r="E902">
        <v>1827347.8488</v>
      </c>
      <c r="F902">
        <v>33.238999999999997</v>
      </c>
      <c r="G902" t="s">
        <v>3236</v>
      </c>
      <c r="H902" t="s">
        <v>52</v>
      </c>
      <c r="I902">
        <v>33.238999999999997</v>
      </c>
      <c r="J902" t="s">
        <v>53</v>
      </c>
      <c r="K902">
        <v>0</v>
      </c>
      <c r="L902" t="s">
        <v>3220</v>
      </c>
      <c r="M902" t="s">
        <v>3237</v>
      </c>
      <c r="N902">
        <v>-0.151</v>
      </c>
      <c r="O902" t="s">
        <v>56</v>
      </c>
      <c r="P902" t="s">
        <v>57</v>
      </c>
      <c r="Q902" t="s">
        <v>59</v>
      </c>
      <c r="R902" t="s">
        <v>58</v>
      </c>
      <c r="S902" t="s">
        <v>3238</v>
      </c>
      <c r="T902" t="s">
        <v>61</v>
      </c>
      <c r="U902">
        <v>1.5164</v>
      </c>
      <c r="V902" t="s">
        <v>62</v>
      </c>
      <c r="W902">
        <v>0</v>
      </c>
      <c r="X902">
        <v>31.722999999999999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68</v>
      </c>
      <c r="AG902" t="s">
        <v>65</v>
      </c>
      <c r="AH902" t="s">
        <v>65</v>
      </c>
      <c r="AI902" t="s">
        <v>67</v>
      </c>
      <c r="AK902" t="s">
        <v>66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73</v>
      </c>
      <c r="AT902" t="s">
        <v>71</v>
      </c>
      <c r="AU902">
        <v>0</v>
      </c>
      <c r="AV902">
        <v>0</v>
      </c>
    </row>
    <row r="903" spans="1:48" x14ac:dyDescent="0.25">
      <c r="A903" t="s">
        <v>3239</v>
      </c>
      <c r="B903" t="s">
        <v>73</v>
      </c>
      <c r="C903" t="s">
        <v>50</v>
      </c>
      <c r="D903">
        <v>440117.6249</v>
      </c>
      <c r="E903">
        <v>1827367.8488</v>
      </c>
      <c r="F903">
        <v>33.116999999999997</v>
      </c>
      <c r="G903" t="s">
        <v>3240</v>
      </c>
      <c r="H903" t="s">
        <v>52</v>
      </c>
      <c r="I903">
        <v>33.116999999999997</v>
      </c>
      <c r="J903" t="s">
        <v>53</v>
      </c>
      <c r="K903">
        <v>0</v>
      </c>
      <c r="L903" t="s">
        <v>3220</v>
      </c>
      <c r="M903" t="s">
        <v>3241</v>
      </c>
      <c r="N903">
        <v>-0.151</v>
      </c>
      <c r="O903" t="s">
        <v>56</v>
      </c>
      <c r="P903" t="s">
        <v>57</v>
      </c>
      <c r="Q903" t="s">
        <v>59</v>
      </c>
      <c r="R903" t="s">
        <v>58</v>
      </c>
      <c r="S903" t="s">
        <v>3242</v>
      </c>
      <c r="T903" t="s">
        <v>61</v>
      </c>
      <c r="U903">
        <v>1.4776</v>
      </c>
      <c r="V903" t="s">
        <v>62</v>
      </c>
      <c r="W903">
        <v>0</v>
      </c>
      <c r="X903">
        <v>31.638999999999999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68</v>
      </c>
      <c r="AG903" t="s">
        <v>65</v>
      </c>
      <c r="AH903" t="s">
        <v>65</v>
      </c>
      <c r="AI903" t="s">
        <v>67</v>
      </c>
      <c r="AK903" t="s">
        <v>66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73</v>
      </c>
      <c r="AT903" t="s">
        <v>71</v>
      </c>
      <c r="AU903">
        <v>0</v>
      </c>
      <c r="AV903">
        <v>0</v>
      </c>
    </row>
    <row r="904" spans="1:48" x14ac:dyDescent="0.25">
      <c r="A904" t="s">
        <v>3243</v>
      </c>
      <c r="B904" t="s">
        <v>49</v>
      </c>
      <c r="C904" t="s">
        <v>50</v>
      </c>
      <c r="D904">
        <v>440117.924</v>
      </c>
      <c r="E904">
        <v>1827384.4486</v>
      </c>
      <c r="F904">
        <v>33.043999999999997</v>
      </c>
      <c r="G904" t="s">
        <v>3244</v>
      </c>
      <c r="H904" t="s">
        <v>52</v>
      </c>
      <c r="I904">
        <v>33.043999999999997</v>
      </c>
      <c r="J904" t="s">
        <v>53</v>
      </c>
      <c r="K904">
        <v>0</v>
      </c>
      <c r="L904" t="s">
        <v>54</v>
      </c>
      <c r="M904" t="s">
        <v>3245</v>
      </c>
      <c r="N904">
        <v>-7.4999999999999997E-2</v>
      </c>
      <c r="O904" t="s">
        <v>56</v>
      </c>
      <c r="P904" t="s">
        <v>57</v>
      </c>
      <c r="Q904" t="s">
        <v>58</v>
      </c>
      <c r="R904" t="s">
        <v>59</v>
      </c>
      <c r="S904" t="s">
        <v>3246</v>
      </c>
      <c r="T904" t="s">
        <v>61</v>
      </c>
      <c r="U904">
        <v>1.4612000000000001</v>
      </c>
      <c r="V904" t="s">
        <v>62</v>
      </c>
      <c r="W904">
        <v>0</v>
      </c>
      <c r="X904">
        <v>31.582999999999998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66</v>
      </c>
      <c r="AG904" t="s">
        <v>65</v>
      </c>
      <c r="AH904" t="s">
        <v>65</v>
      </c>
      <c r="AI904" t="s">
        <v>67</v>
      </c>
      <c r="AK904" t="s">
        <v>68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49</v>
      </c>
      <c r="AT904" t="s">
        <v>71</v>
      </c>
      <c r="AU904">
        <v>0</v>
      </c>
      <c r="AV904">
        <v>0</v>
      </c>
    </row>
    <row r="905" spans="1:48" x14ac:dyDescent="0.25">
      <c r="A905" t="s">
        <v>3247</v>
      </c>
      <c r="B905" t="s">
        <v>49</v>
      </c>
      <c r="C905" t="s">
        <v>50</v>
      </c>
      <c r="D905">
        <v>440150.42509999999</v>
      </c>
      <c r="E905">
        <v>1827384.4486</v>
      </c>
      <c r="F905">
        <v>32.872999999999998</v>
      </c>
      <c r="G905" t="s">
        <v>3248</v>
      </c>
      <c r="H905" t="s">
        <v>52</v>
      </c>
      <c r="I905">
        <v>32.872999999999998</v>
      </c>
      <c r="J905" t="s">
        <v>53</v>
      </c>
      <c r="K905">
        <v>0</v>
      </c>
      <c r="L905" t="s">
        <v>54</v>
      </c>
      <c r="M905" t="s">
        <v>824</v>
      </c>
      <c r="N905">
        <v>-7.4999999999999997E-2</v>
      </c>
      <c r="O905" t="s">
        <v>56</v>
      </c>
      <c r="P905" t="s">
        <v>57</v>
      </c>
      <c r="Q905" t="s">
        <v>58</v>
      </c>
      <c r="R905" t="s">
        <v>59</v>
      </c>
      <c r="S905" t="s">
        <v>3249</v>
      </c>
      <c r="T905" t="s">
        <v>61</v>
      </c>
      <c r="U905">
        <v>1.5161</v>
      </c>
      <c r="V905" t="s">
        <v>62</v>
      </c>
      <c r="W905">
        <v>0</v>
      </c>
      <c r="X905">
        <v>31.356999999999999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66</v>
      </c>
      <c r="AG905" t="s">
        <v>65</v>
      </c>
      <c r="AH905" t="s">
        <v>65</v>
      </c>
      <c r="AI905" t="s">
        <v>67</v>
      </c>
      <c r="AK905" t="s">
        <v>68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49</v>
      </c>
      <c r="AT905" t="s">
        <v>71</v>
      </c>
      <c r="AU905">
        <v>0</v>
      </c>
      <c r="AV905">
        <v>0</v>
      </c>
    </row>
    <row r="906" spans="1:48" x14ac:dyDescent="0.25">
      <c r="A906" t="s">
        <v>3250</v>
      </c>
      <c r="B906" t="s">
        <v>49</v>
      </c>
      <c r="C906" t="s">
        <v>50</v>
      </c>
      <c r="D906">
        <v>440170.42509999999</v>
      </c>
      <c r="E906">
        <v>1827384.4486</v>
      </c>
      <c r="F906">
        <v>32.750999999999998</v>
      </c>
      <c r="G906" t="s">
        <v>3251</v>
      </c>
      <c r="H906" t="s">
        <v>52</v>
      </c>
      <c r="I906">
        <v>32.750999999999998</v>
      </c>
      <c r="J906" t="s">
        <v>53</v>
      </c>
      <c r="K906">
        <v>0</v>
      </c>
      <c r="L906" t="s">
        <v>54</v>
      </c>
      <c r="M906" t="s">
        <v>832</v>
      </c>
      <c r="N906">
        <v>-7.4999999999999997E-2</v>
      </c>
      <c r="O906" t="s">
        <v>56</v>
      </c>
      <c r="P906" t="s">
        <v>57</v>
      </c>
      <c r="Q906" t="s">
        <v>58</v>
      </c>
      <c r="R906" t="s">
        <v>59</v>
      </c>
      <c r="S906" t="s">
        <v>3252</v>
      </c>
      <c r="T906" t="s">
        <v>61</v>
      </c>
      <c r="U906">
        <v>1.5163</v>
      </c>
      <c r="V906" t="s">
        <v>62</v>
      </c>
      <c r="W906">
        <v>0</v>
      </c>
      <c r="X906">
        <v>31.234999999999999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66</v>
      </c>
      <c r="AG906" t="s">
        <v>65</v>
      </c>
      <c r="AH906" t="s">
        <v>65</v>
      </c>
      <c r="AI906" t="s">
        <v>67</v>
      </c>
      <c r="AK906" t="s">
        <v>68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49</v>
      </c>
      <c r="AT906" t="s">
        <v>71</v>
      </c>
      <c r="AU906">
        <v>0</v>
      </c>
      <c r="AV906">
        <v>0</v>
      </c>
    </row>
    <row r="907" spans="1:48" x14ac:dyDescent="0.25">
      <c r="A907" t="s">
        <v>3253</v>
      </c>
      <c r="B907" t="s">
        <v>49</v>
      </c>
      <c r="C907" t="s">
        <v>50</v>
      </c>
      <c r="D907">
        <v>440190.53690000001</v>
      </c>
      <c r="E907">
        <v>1827384.4486</v>
      </c>
      <c r="F907">
        <v>32.628999999999998</v>
      </c>
      <c r="G907" t="s">
        <v>3254</v>
      </c>
      <c r="H907" t="s">
        <v>52</v>
      </c>
      <c r="I907">
        <v>32.628999999999998</v>
      </c>
      <c r="J907" t="s">
        <v>53</v>
      </c>
      <c r="K907">
        <v>0</v>
      </c>
      <c r="L907" t="s">
        <v>54</v>
      </c>
      <c r="M907" t="s">
        <v>3255</v>
      </c>
      <c r="N907">
        <v>-7.4999999999999997E-2</v>
      </c>
      <c r="O907" t="s">
        <v>56</v>
      </c>
      <c r="P907" t="s">
        <v>57</v>
      </c>
      <c r="Q907" t="s">
        <v>58</v>
      </c>
      <c r="R907" t="s">
        <v>59</v>
      </c>
      <c r="S907" t="s">
        <v>3256</v>
      </c>
      <c r="T907" t="s">
        <v>61</v>
      </c>
      <c r="U907">
        <v>1.5159</v>
      </c>
      <c r="V907" t="s">
        <v>62</v>
      </c>
      <c r="W907">
        <v>0</v>
      </c>
      <c r="X907">
        <v>31.113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66</v>
      </c>
      <c r="AG907" t="s">
        <v>65</v>
      </c>
      <c r="AH907" t="s">
        <v>65</v>
      </c>
      <c r="AI907" t="s">
        <v>67</v>
      </c>
      <c r="AK907" t="s">
        <v>68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49</v>
      </c>
      <c r="AT907" t="s">
        <v>71</v>
      </c>
      <c r="AU907">
        <v>0</v>
      </c>
      <c r="AV907">
        <v>0</v>
      </c>
    </row>
    <row r="908" spans="1:48" x14ac:dyDescent="0.25">
      <c r="A908" t="s">
        <v>3257</v>
      </c>
      <c r="B908" t="s">
        <v>49</v>
      </c>
      <c r="C908" t="s">
        <v>50</v>
      </c>
      <c r="D908">
        <v>440210.42509999999</v>
      </c>
      <c r="E908">
        <v>1827384.4486</v>
      </c>
      <c r="F908">
        <v>32.508000000000003</v>
      </c>
      <c r="G908" t="s">
        <v>3258</v>
      </c>
      <c r="H908" t="s">
        <v>52</v>
      </c>
      <c r="I908">
        <v>32.508000000000003</v>
      </c>
      <c r="J908" t="s">
        <v>53</v>
      </c>
      <c r="K908">
        <v>0</v>
      </c>
      <c r="L908" t="s">
        <v>54</v>
      </c>
      <c r="M908" t="s">
        <v>849</v>
      </c>
      <c r="N908">
        <v>-7.4999999999999997E-2</v>
      </c>
      <c r="O908" t="s">
        <v>56</v>
      </c>
      <c r="P908" t="s">
        <v>57</v>
      </c>
      <c r="Q908" t="s">
        <v>58</v>
      </c>
      <c r="R908" t="s">
        <v>59</v>
      </c>
      <c r="S908" t="s">
        <v>3259</v>
      </c>
      <c r="T908" t="s">
        <v>61</v>
      </c>
      <c r="U908">
        <v>1.5158</v>
      </c>
      <c r="V908" t="s">
        <v>62</v>
      </c>
      <c r="W908">
        <v>0</v>
      </c>
      <c r="X908">
        <v>30.992000000000001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66</v>
      </c>
      <c r="AG908" t="s">
        <v>65</v>
      </c>
      <c r="AH908" t="s">
        <v>65</v>
      </c>
      <c r="AI908" t="s">
        <v>67</v>
      </c>
      <c r="AK908" t="s">
        <v>68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49</v>
      </c>
      <c r="AT908" t="s">
        <v>71</v>
      </c>
      <c r="AU908">
        <v>0</v>
      </c>
      <c r="AV908">
        <v>0</v>
      </c>
    </row>
    <row r="909" spans="1:48" x14ac:dyDescent="0.25">
      <c r="A909" t="s">
        <v>3260</v>
      </c>
      <c r="B909" t="s">
        <v>49</v>
      </c>
      <c r="C909" t="s">
        <v>50</v>
      </c>
      <c r="D909">
        <v>440230.42509999999</v>
      </c>
      <c r="E909">
        <v>1827384.4486</v>
      </c>
      <c r="F909">
        <v>32.386000000000003</v>
      </c>
      <c r="G909" t="s">
        <v>3261</v>
      </c>
      <c r="H909" t="s">
        <v>52</v>
      </c>
      <c r="I909">
        <v>32.386000000000003</v>
      </c>
      <c r="J909" t="s">
        <v>53</v>
      </c>
      <c r="K909">
        <v>0</v>
      </c>
      <c r="L909" t="s">
        <v>54</v>
      </c>
      <c r="M909" t="s">
        <v>853</v>
      </c>
      <c r="N909">
        <v>-7.4999999999999997E-2</v>
      </c>
      <c r="O909" t="s">
        <v>56</v>
      </c>
      <c r="P909" t="s">
        <v>57</v>
      </c>
      <c r="Q909" t="s">
        <v>58</v>
      </c>
      <c r="R909" t="s">
        <v>59</v>
      </c>
      <c r="S909" t="s">
        <v>3262</v>
      </c>
      <c r="T909" t="s">
        <v>61</v>
      </c>
      <c r="U909">
        <v>1.516</v>
      </c>
      <c r="V909" t="s">
        <v>62</v>
      </c>
      <c r="W909">
        <v>0</v>
      </c>
      <c r="X909">
        <v>30.87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66</v>
      </c>
      <c r="AG909" t="s">
        <v>65</v>
      </c>
      <c r="AH909" t="s">
        <v>65</v>
      </c>
      <c r="AI909" t="s">
        <v>67</v>
      </c>
      <c r="AK909" t="s">
        <v>68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49</v>
      </c>
      <c r="AT909" t="s">
        <v>71</v>
      </c>
      <c r="AU909">
        <v>0</v>
      </c>
      <c r="AV909">
        <v>0</v>
      </c>
    </row>
    <row r="910" spans="1:48" x14ac:dyDescent="0.25">
      <c r="A910" t="s">
        <v>3263</v>
      </c>
      <c r="B910" t="s">
        <v>49</v>
      </c>
      <c r="C910" t="s">
        <v>50</v>
      </c>
      <c r="D910">
        <v>440250.42509999999</v>
      </c>
      <c r="E910">
        <v>1827384.4486</v>
      </c>
      <c r="F910">
        <v>32.264000000000003</v>
      </c>
      <c r="G910" t="s">
        <v>3264</v>
      </c>
      <c r="H910" t="s">
        <v>52</v>
      </c>
      <c r="I910">
        <v>32.264000000000003</v>
      </c>
      <c r="J910" t="s">
        <v>53</v>
      </c>
      <c r="K910">
        <v>0</v>
      </c>
      <c r="L910" t="s">
        <v>54</v>
      </c>
      <c r="M910" t="s">
        <v>1457</v>
      </c>
      <c r="N910">
        <v>-7.4999999999999997E-2</v>
      </c>
      <c r="O910" t="s">
        <v>56</v>
      </c>
      <c r="P910" t="s">
        <v>57</v>
      </c>
      <c r="Q910" t="s">
        <v>58</v>
      </c>
      <c r="R910" t="s">
        <v>59</v>
      </c>
      <c r="S910" t="s">
        <v>3265</v>
      </c>
      <c r="T910" t="s">
        <v>61</v>
      </c>
      <c r="U910">
        <v>1.5162</v>
      </c>
      <c r="V910" t="s">
        <v>62</v>
      </c>
      <c r="W910">
        <v>0</v>
      </c>
      <c r="X910">
        <v>30.748000000000001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66</v>
      </c>
      <c r="AG910" t="s">
        <v>65</v>
      </c>
      <c r="AH910" t="s">
        <v>65</v>
      </c>
      <c r="AI910" t="s">
        <v>67</v>
      </c>
      <c r="AK910" t="s">
        <v>68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49</v>
      </c>
      <c r="AT910" t="s">
        <v>71</v>
      </c>
      <c r="AU910">
        <v>0</v>
      </c>
      <c r="AV910">
        <v>0</v>
      </c>
    </row>
    <row r="911" spans="1:48" x14ac:dyDescent="0.25">
      <c r="A911" t="s">
        <v>3266</v>
      </c>
      <c r="B911" t="s">
        <v>49</v>
      </c>
      <c r="C911" t="s">
        <v>50</v>
      </c>
      <c r="D911">
        <v>440270.42509999999</v>
      </c>
      <c r="E911">
        <v>1827384.4486</v>
      </c>
      <c r="F911">
        <v>32.142000000000003</v>
      </c>
      <c r="G911" t="s">
        <v>3267</v>
      </c>
      <c r="H911" t="s">
        <v>52</v>
      </c>
      <c r="I911">
        <v>32.142000000000003</v>
      </c>
      <c r="J911" t="s">
        <v>53</v>
      </c>
      <c r="K911">
        <v>0</v>
      </c>
      <c r="L911" t="s">
        <v>54</v>
      </c>
      <c r="M911" t="s">
        <v>1065</v>
      </c>
      <c r="N911">
        <v>-7.4999999999999997E-2</v>
      </c>
      <c r="O911" t="s">
        <v>56</v>
      </c>
      <c r="P911" t="s">
        <v>57</v>
      </c>
      <c r="Q911" t="s">
        <v>58</v>
      </c>
      <c r="R911" t="s">
        <v>59</v>
      </c>
      <c r="S911" t="s">
        <v>3268</v>
      </c>
      <c r="T911" t="s">
        <v>61</v>
      </c>
      <c r="U911">
        <v>1.5154000000000001</v>
      </c>
      <c r="V911" t="s">
        <v>62</v>
      </c>
      <c r="W911">
        <v>0</v>
      </c>
      <c r="X911">
        <v>30.626999999999999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66</v>
      </c>
      <c r="AG911" t="s">
        <v>65</v>
      </c>
      <c r="AH911" t="s">
        <v>65</v>
      </c>
      <c r="AI911" t="s">
        <v>67</v>
      </c>
      <c r="AK911" t="s">
        <v>68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49</v>
      </c>
      <c r="AT911" t="s">
        <v>71</v>
      </c>
      <c r="AU911">
        <v>0</v>
      </c>
      <c r="AV911">
        <v>0</v>
      </c>
    </row>
    <row r="912" spans="1:48" x14ac:dyDescent="0.25">
      <c r="A912" t="s">
        <v>3269</v>
      </c>
      <c r="B912" t="s">
        <v>49</v>
      </c>
      <c r="C912" t="s">
        <v>50</v>
      </c>
      <c r="D912">
        <v>440290.42509999999</v>
      </c>
      <c r="E912">
        <v>1827384.4486</v>
      </c>
      <c r="F912">
        <v>32.021000000000001</v>
      </c>
      <c r="G912" t="s">
        <v>3270</v>
      </c>
      <c r="H912" t="s">
        <v>52</v>
      </c>
      <c r="I912">
        <v>32.021000000000001</v>
      </c>
      <c r="J912" t="s">
        <v>53</v>
      </c>
      <c r="K912">
        <v>0</v>
      </c>
      <c r="L912" t="s">
        <v>54</v>
      </c>
      <c r="M912" t="s">
        <v>1061</v>
      </c>
      <c r="N912">
        <v>-7.4999999999999997E-2</v>
      </c>
      <c r="O912" t="s">
        <v>56</v>
      </c>
      <c r="P912" t="s">
        <v>57</v>
      </c>
      <c r="Q912" t="s">
        <v>58</v>
      </c>
      <c r="R912" t="s">
        <v>59</v>
      </c>
      <c r="S912" t="s">
        <v>3271</v>
      </c>
      <c r="T912" t="s">
        <v>61</v>
      </c>
      <c r="U912">
        <v>1.4945999999999999</v>
      </c>
      <c r="V912" t="s">
        <v>62</v>
      </c>
      <c r="W912">
        <v>0</v>
      </c>
      <c r="X912">
        <v>30.526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66</v>
      </c>
      <c r="AG912" t="s">
        <v>65</v>
      </c>
      <c r="AH912" t="s">
        <v>65</v>
      </c>
      <c r="AI912" t="s">
        <v>67</v>
      </c>
      <c r="AK912" t="s">
        <v>68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49</v>
      </c>
      <c r="AT912" t="s">
        <v>71</v>
      </c>
      <c r="AU912">
        <v>0</v>
      </c>
      <c r="AV912">
        <v>0</v>
      </c>
    </row>
    <row r="913" spans="1:48" x14ac:dyDescent="0.25">
      <c r="A913" t="s">
        <v>3272</v>
      </c>
      <c r="B913" t="s">
        <v>49</v>
      </c>
      <c r="C913" t="s">
        <v>50</v>
      </c>
      <c r="D913">
        <v>440303.64809999999</v>
      </c>
      <c r="E913">
        <v>1827384.4486</v>
      </c>
      <c r="F913">
        <v>31.94</v>
      </c>
      <c r="G913" t="s">
        <v>3273</v>
      </c>
      <c r="H913" t="s">
        <v>52</v>
      </c>
      <c r="I913">
        <v>31.94</v>
      </c>
      <c r="J913" t="s">
        <v>53</v>
      </c>
      <c r="K913">
        <v>0</v>
      </c>
      <c r="L913" t="s">
        <v>54</v>
      </c>
      <c r="M913" t="s">
        <v>3274</v>
      </c>
      <c r="N913">
        <v>-7.4999999999999997E-2</v>
      </c>
      <c r="O913" t="s">
        <v>56</v>
      </c>
      <c r="P913" t="s">
        <v>57</v>
      </c>
      <c r="Q913" t="s">
        <v>58</v>
      </c>
      <c r="R913" t="s">
        <v>59</v>
      </c>
      <c r="S913" t="s">
        <v>3275</v>
      </c>
      <c r="T913" t="s">
        <v>61</v>
      </c>
      <c r="U913">
        <v>1.4881</v>
      </c>
      <c r="V913" t="s">
        <v>62</v>
      </c>
      <c r="W913">
        <v>0</v>
      </c>
      <c r="X913">
        <v>30.452000000000002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66</v>
      </c>
      <c r="AG913" t="s">
        <v>65</v>
      </c>
      <c r="AH913" t="s">
        <v>65</v>
      </c>
      <c r="AI913" t="s">
        <v>67</v>
      </c>
      <c r="AK913" t="s">
        <v>68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49</v>
      </c>
      <c r="AT913" t="s">
        <v>71</v>
      </c>
      <c r="AU913">
        <v>0</v>
      </c>
      <c r="AV913">
        <v>0</v>
      </c>
    </row>
    <row r="914" spans="1:48" x14ac:dyDescent="0.25">
      <c r="A914" t="s">
        <v>3276</v>
      </c>
      <c r="B914" t="s">
        <v>73</v>
      </c>
      <c r="C914" t="s">
        <v>50</v>
      </c>
      <c r="D914">
        <v>440127.02490000002</v>
      </c>
      <c r="E914">
        <v>1827267.8488</v>
      </c>
      <c r="F914">
        <v>34.008000000000003</v>
      </c>
      <c r="G914" t="s">
        <v>3277</v>
      </c>
      <c r="H914" t="s">
        <v>52</v>
      </c>
      <c r="I914">
        <v>34.008000000000003</v>
      </c>
      <c r="J914" t="s">
        <v>53</v>
      </c>
      <c r="K914">
        <v>0</v>
      </c>
      <c r="L914" t="s">
        <v>3278</v>
      </c>
      <c r="M914" t="s">
        <v>3221</v>
      </c>
      <c r="N914">
        <v>0.14929999999999999</v>
      </c>
      <c r="O914" t="s">
        <v>56</v>
      </c>
      <c r="P914" t="s">
        <v>57</v>
      </c>
      <c r="Q914" t="s">
        <v>59</v>
      </c>
      <c r="R914" t="s">
        <v>58</v>
      </c>
      <c r="S914" t="s">
        <v>3279</v>
      </c>
      <c r="T914" t="s">
        <v>61</v>
      </c>
      <c r="U914">
        <v>1.6165</v>
      </c>
      <c r="V914" t="s">
        <v>62</v>
      </c>
      <c r="W914">
        <v>0</v>
      </c>
      <c r="X914">
        <v>32.392000000000003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68</v>
      </c>
      <c r="AG914" t="s">
        <v>65</v>
      </c>
      <c r="AH914" t="s">
        <v>65</v>
      </c>
      <c r="AI914" t="s">
        <v>67</v>
      </c>
      <c r="AK914" t="s">
        <v>66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73</v>
      </c>
      <c r="AT914" t="s">
        <v>71</v>
      </c>
      <c r="AU914">
        <v>0</v>
      </c>
      <c r="AV914">
        <v>0</v>
      </c>
    </row>
    <row r="915" spans="1:48" x14ac:dyDescent="0.25">
      <c r="A915" t="s">
        <v>3280</v>
      </c>
      <c r="B915" t="s">
        <v>73</v>
      </c>
      <c r="C915" t="s">
        <v>50</v>
      </c>
      <c r="D915">
        <v>440127.02490000002</v>
      </c>
      <c r="E915">
        <v>1827288.5919000001</v>
      </c>
      <c r="F915">
        <v>33.783000000000001</v>
      </c>
      <c r="G915" t="s">
        <v>3281</v>
      </c>
      <c r="H915" t="s">
        <v>52</v>
      </c>
      <c r="I915">
        <v>33.783000000000001</v>
      </c>
      <c r="J915" t="s">
        <v>53</v>
      </c>
      <c r="K915">
        <v>0</v>
      </c>
      <c r="L915" t="s">
        <v>3278</v>
      </c>
      <c r="M915" t="s">
        <v>3282</v>
      </c>
      <c r="N915">
        <v>0.14929999999999999</v>
      </c>
      <c r="O915" t="s">
        <v>56</v>
      </c>
      <c r="P915" t="s">
        <v>57</v>
      </c>
      <c r="Q915" t="s">
        <v>59</v>
      </c>
      <c r="R915" t="s">
        <v>58</v>
      </c>
      <c r="S915" t="s">
        <v>3283</v>
      </c>
      <c r="T915" t="s">
        <v>61</v>
      </c>
      <c r="U915">
        <v>1.6034999999999999</v>
      </c>
      <c r="V915" t="s">
        <v>62</v>
      </c>
      <c r="W915">
        <v>0</v>
      </c>
      <c r="X915">
        <v>32.18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68</v>
      </c>
      <c r="AG915" t="s">
        <v>65</v>
      </c>
      <c r="AH915" t="s">
        <v>65</v>
      </c>
      <c r="AI915" t="s">
        <v>67</v>
      </c>
      <c r="AK915" t="s">
        <v>66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73</v>
      </c>
      <c r="AT915" t="s">
        <v>71</v>
      </c>
      <c r="AU915">
        <v>0</v>
      </c>
      <c r="AV915">
        <v>0</v>
      </c>
    </row>
    <row r="916" spans="1:48" x14ac:dyDescent="0.25">
      <c r="A916" t="s">
        <v>3284</v>
      </c>
      <c r="B916" t="s">
        <v>73</v>
      </c>
      <c r="C916" t="s">
        <v>50</v>
      </c>
      <c r="D916">
        <v>440127.02490000002</v>
      </c>
      <c r="E916">
        <v>1827307.8488</v>
      </c>
      <c r="F916">
        <v>33.576000000000001</v>
      </c>
      <c r="G916" t="s">
        <v>3285</v>
      </c>
      <c r="H916" t="s">
        <v>52</v>
      </c>
      <c r="I916">
        <v>33.576000000000001</v>
      </c>
      <c r="J916" t="s">
        <v>53</v>
      </c>
      <c r="K916">
        <v>0</v>
      </c>
      <c r="L916" t="s">
        <v>3278</v>
      </c>
      <c r="M916" t="s">
        <v>3229</v>
      </c>
      <c r="N916">
        <v>0.14929999999999999</v>
      </c>
      <c r="O916" t="s">
        <v>56</v>
      </c>
      <c r="P916" t="s">
        <v>57</v>
      </c>
      <c r="Q916" t="s">
        <v>59</v>
      </c>
      <c r="R916" t="s">
        <v>58</v>
      </c>
      <c r="S916" t="s">
        <v>3230</v>
      </c>
      <c r="T916" t="s">
        <v>61</v>
      </c>
      <c r="U916">
        <v>1.581</v>
      </c>
      <c r="V916" t="s">
        <v>62</v>
      </c>
      <c r="W916">
        <v>0</v>
      </c>
      <c r="X916">
        <v>31.995000000000001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68</v>
      </c>
      <c r="AG916" t="s">
        <v>65</v>
      </c>
      <c r="AH916" t="s">
        <v>65</v>
      </c>
      <c r="AI916" t="s">
        <v>67</v>
      </c>
      <c r="AK916" t="s">
        <v>66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73</v>
      </c>
      <c r="AT916" t="s">
        <v>71</v>
      </c>
      <c r="AU916">
        <v>0</v>
      </c>
      <c r="AV916">
        <v>0</v>
      </c>
    </row>
    <row r="917" spans="1:48" x14ac:dyDescent="0.25">
      <c r="A917" t="s">
        <v>3286</v>
      </c>
      <c r="B917" t="s">
        <v>73</v>
      </c>
      <c r="C917" t="s">
        <v>50</v>
      </c>
      <c r="D917">
        <v>440127.02490000002</v>
      </c>
      <c r="E917">
        <v>1827327.8488</v>
      </c>
      <c r="F917">
        <v>33.389000000000003</v>
      </c>
      <c r="G917" t="s">
        <v>3287</v>
      </c>
      <c r="H917" t="s">
        <v>52</v>
      </c>
      <c r="I917">
        <v>33.389000000000003</v>
      </c>
      <c r="J917" t="s">
        <v>53</v>
      </c>
      <c r="K917">
        <v>0</v>
      </c>
      <c r="L917" t="s">
        <v>3278</v>
      </c>
      <c r="M917" t="s">
        <v>3233</v>
      </c>
      <c r="N917">
        <v>0.14929999999999999</v>
      </c>
      <c r="O917" t="s">
        <v>56</v>
      </c>
      <c r="P917" t="s">
        <v>57</v>
      </c>
      <c r="Q917" t="s">
        <v>59</v>
      </c>
      <c r="R917" t="s">
        <v>58</v>
      </c>
      <c r="S917" t="s">
        <v>3234</v>
      </c>
      <c r="T917" t="s">
        <v>61</v>
      </c>
      <c r="U917">
        <v>1.5437000000000001</v>
      </c>
      <c r="V917" t="s">
        <v>62</v>
      </c>
      <c r="W917">
        <v>0</v>
      </c>
      <c r="X917">
        <v>31.844999999999999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68</v>
      </c>
      <c r="AG917" t="s">
        <v>65</v>
      </c>
      <c r="AH917" t="s">
        <v>65</v>
      </c>
      <c r="AI917" t="s">
        <v>67</v>
      </c>
      <c r="AK917" t="s">
        <v>66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73</v>
      </c>
      <c r="AT917" t="s">
        <v>71</v>
      </c>
      <c r="AU917">
        <v>0</v>
      </c>
      <c r="AV917">
        <v>0</v>
      </c>
    </row>
    <row r="918" spans="1:48" x14ac:dyDescent="0.25">
      <c r="A918" t="s">
        <v>3288</v>
      </c>
      <c r="B918" t="s">
        <v>73</v>
      </c>
      <c r="C918" t="s">
        <v>50</v>
      </c>
      <c r="D918">
        <v>440127.02490000002</v>
      </c>
      <c r="E918">
        <v>1827347.8488</v>
      </c>
      <c r="F918">
        <v>33.238999999999997</v>
      </c>
      <c r="G918" t="s">
        <v>3289</v>
      </c>
      <c r="H918" t="s">
        <v>52</v>
      </c>
      <c r="I918">
        <v>33.238999999999997</v>
      </c>
      <c r="J918" t="s">
        <v>53</v>
      </c>
      <c r="K918">
        <v>0</v>
      </c>
      <c r="L918" t="s">
        <v>3278</v>
      </c>
      <c r="M918" t="s">
        <v>3237</v>
      </c>
      <c r="N918">
        <v>0.14929999999999999</v>
      </c>
      <c r="O918" t="s">
        <v>56</v>
      </c>
      <c r="P918" t="s">
        <v>57</v>
      </c>
      <c r="Q918" t="s">
        <v>59</v>
      </c>
      <c r="R918" t="s">
        <v>58</v>
      </c>
      <c r="S918" t="s">
        <v>3238</v>
      </c>
      <c r="T918" t="s">
        <v>61</v>
      </c>
      <c r="U918">
        <v>1.5164</v>
      </c>
      <c r="V918" t="s">
        <v>62</v>
      </c>
      <c r="W918">
        <v>0</v>
      </c>
      <c r="X918">
        <v>31.722999999999999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68</v>
      </c>
      <c r="AG918" t="s">
        <v>65</v>
      </c>
      <c r="AH918" t="s">
        <v>65</v>
      </c>
      <c r="AI918" t="s">
        <v>67</v>
      </c>
      <c r="AK918" t="s">
        <v>66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73</v>
      </c>
      <c r="AT918" t="s">
        <v>71</v>
      </c>
      <c r="AU918">
        <v>0</v>
      </c>
      <c r="AV918">
        <v>0</v>
      </c>
    </row>
    <row r="919" spans="1:48" x14ac:dyDescent="0.25">
      <c r="A919" t="s">
        <v>3290</v>
      </c>
      <c r="B919" t="s">
        <v>73</v>
      </c>
      <c r="C919" t="s">
        <v>50</v>
      </c>
      <c r="D919">
        <v>440127.02490000002</v>
      </c>
      <c r="E919">
        <v>1827367.8488</v>
      </c>
      <c r="F919">
        <v>33.116999999999997</v>
      </c>
      <c r="G919" t="s">
        <v>3291</v>
      </c>
      <c r="H919" t="s">
        <v>52</v>
      </c>
      <c r="I919">
        <v>33.116999999999997</v>
      </c>
      <c r="J919" t="s">
        <v>53</v>
      </c>
      <c r="K919">
        <v>0</v>
      </c>
      <c r="L919" t="s">
        <v>3278</v>
      </c>
      <c r="M919" t="s">
        <v>3241</v>
      </c>
      <c r="N919">
        <v>0.14929999999999999</v>
      </c>
      <c r="O919" t="s">
        <v>56</v>
      </c>
      <c r="P919" t="s">
        <v>57</v>
      </c>
      <c r="Q919" t="s">
        <v>59</v>
      </c>
      <c r="R919" t="s">
        <v>58</v>
      </c>
      <c r="S919" t="s">
        <v>3292</v>
      </c>
      <c r="T919" t="s">
        <v>61</v>
      </c>
      <c r="U919">
        <v>1.5045999999999999</v>
      </c>
      <c r="V919" t="s">
        <v>62</v>
      </c>
      <c r="W919">
        <v>0</v>
      </c>
      <c r="X919">
        <v>31.611999999999998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68</v>
      </c>
      <c r="AG919" t="s">
        <v>65</v>
      </c>
      <c r="AH919" t="s">
        <v>65</v>
      </c>
      <c r="AI919" t="s">
        <v>67</v>
      </c>
      <c r="AK919" t="s">
        <v>66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73</v>
      </c>
      <c r="AT919" t="s">
        <v>71</v>
      </c>
      <c r="AU919">
        <v>0</v>
      </c>
      <c r="AV919">
        <v>0</v>
      </c>
    </row>
    <row r="920" spans="1:48" x14ac:dyDescent="0.25">
      <c r="A920" t="s">
        <v>3293</v>
      </c>
      <c r="B920" t="s">
        <v>49</v>
      </c>
      <c r="C920" t="s">
        <v>50</v>
      </c>
      <c r="D920">
        <v>440127.02669999999</v>
      </c>
      <c r="E920">
        <v>1827375.0486000001</v>
      </c>
      <c r="F920">
        <v>33.043999999999997</v>
      </c>
      <c r="G920" t="s">
        <v>3294</v>
      </c>
      <c r="H920" t="s">
        <v>52</v>
      </c>
      <c r="I920">
        <v>33.043999999999997</v>
      </c>
      <c r="J920" t="s">
        <v>53</v>
      </c>
      <c r="K920">
        <v>0</v>
      </c>
      <c r="L920" t="s">
        <v>3089</v>
      </c>
      <c r="M920" t="s">
        <v>3295</v>
      </c>
      <c r="N920">
        <v>-0.125</v>
      </c>
      <c r="O920" t="s">
        <v>56</v>
      </c>
      <c r="P920" t="s">
        <v>57</v>
      </c>
      <c r="Q920" t="s">
        <v>58</v>
      </c>
      <c r="R920" t="s">
        <v>59</v>
      </c>
      <c r="S920" t="s">
        <v>3296</v>
      </c>
      <c r="T920" t="s">
        <v>61</v>
      </c>
      <c r="U920">
        <v>1.5232000000000001</v>
      </c>
      <c r="V920" t="s">
        <v>62</v>
      </c>
      <c r="W920">
        <v>0</v>
      </c>
      <c r="X920">
        <v>31.521000000000001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66</v>
      </c>
      <c r="AG920" t="s">
        <v>65</v>
      </c>
      <c r="AH920" t="s">
        <v>65</v>
      </c>
      <c r="AI920" t="s">
        <v>67</v>
      </c>
      <c r="AK920" t="s">
        <v>68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49</v>
      </c>
      <c r="AT920" t="s">
        <v>71</v>
      </c>
      <c r="AU920">
        <v>0</v>
      </c>
      <c r="AV920">
        <v>0</v>
      </c>
    </row>
    <row r="921" spans="1:48" x14ac:dyDescent="0.25">
      <c r="A921" t="s">
        <v>3297</v>
      </c>
      <c r="B921" t="s">
        <v>49</v>
      </c>
      <c r="C921" t="s">
        <v>50</v>
      </c>
      <c r="D921">
        <v>440146.60930000001</v>
      </c>
      <c r="E921">
        <v>1827375.0486000001</v>
      </c>
      <c r="F921">
        <v>32.896000000000001</v>
      </c>
      <c r="G921" t="s">
        <v>3298</v>
      </c>
      <c r="H921" t="s">
        <v>52</v>
      </c>
      <c r="I921">
        <v>32.896000000000001</v>
      </c>
      <c r="J921" t="s">
        <v>53</v>
      </c>
      <c r="K921">
        <v>0</v>
      </c>
      <c r="L921" t="s">
        <v>3089</v>
      </c>
      <c r="M921" t="s">
        <v>3299</v>
      </c>
      <c r="N921">
        <v>-0.125</v>
      </c>
      <c r="O921" t="s">
        <v>56</v>
      </c>
      <c r="P921" t="s">
        <v>57</v>
      </c>
      <c r="Q921" t="s">
        <v>58</v>
      </c>
      <c r="R921" t="s">
        <v>59</v>
      </c>
      <c r="S921" t="s">
        <v>3300</v>
      </c>
      <c r="T921" t="s">
        <v>61</v>
      </c>
      <c r="U921">
        <v>1.5123</v>
      </c>
      <c r="V921" t="s">
        <v>62</v>
      </c>
      <c r="W921">
        <v>0</v>
      </c>
      <c r="X921">
        <v>31.384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66</v>
      </c>
      <c r="AG921" t="s">
        <v>65</v>
      </c>
      <c r="AH921" t="s">
        <v>65</v>
      </c>
      <c r="AI921" t="s">
        <v>67</v>
      </c>
      <c r="AK921" t="s">
        <v>68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49</v>
      </c>
      <c r="AT921" t="s">
        <v>71</v>
      </c>
      <c r="AU921">
        <v>0</v>
      </c>
      <c r="AV921">
        <v>0</v>
      </c>
    </row>
    <row r="922" spans="1:48" x14ac:dyDescent="0.25">
      <c r="A922" t="s">
        <v>3301</v>
      </c>
      <c r="B922" t="s">
        <v>49</v>
      </c>
      <c r="C922" t="s">
        <v>50</v>
      </c>
      <c r="D922">
        <v>440165.97340000002</v>
      </c>
      <c r="E922">
        <v>1827375.0486000001</v>
      </c>
      <c r="F922">
        <v>32.777999999999999</v>
      </c>
      <c r="G922" t="s">
        <v>3302</v>
      </c>
      <c r="H922" t="s">
        <v>52</v>
      </c>
      <c r="I922">
        <v>32.777999999999999</v>
      </c>
      <c r="J922" t="s">
        <v>53</v>
      </c>
      <c r="K922">
        <v>0</v>
      </c>
      <c r="L922" t="s">
        <v>3089</v>
      </c>
      <c r="M922" s="1" t="s">
        <v>3303</v>
      </c>
      <c r="N922">
        <v>-0.125</v>
      </c>
      <c r="O922" t="s">
        <v>56</v>
      </c>
      <c r="P922" t="s">
        <v>57</v>
      </c>
      <c r="Q922" t="s">
        <v>58</v>
      </c>
      <c r="R922" t="s">
        <v>59</v>
      </c>
      <c r="S922" t="s">
        <v>3304</v>
      </c>
      <c r="T922" t="s">
        <v>61</v>
      </c>
      <c r="U922">
        <v>1.6344000000000001</v>
      </c>
      <c r="V922" t="s">
        <v>62</v>
      </c>
      <c r="W922">
        <v>0</v>
      </c>
      <c r="X922">
        <v>31.143999999999998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66</v>
      </c>
      <c r="AG922" t="s">
        <v>65</v>
      </c>
      <c r="AH922" t="s">
        <v>65</v>
      </c>
      <c r="AI922" t="s">
        <v>67</v>
      </c>
      <c r="AK922" t="s">
        <v>68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49</v>
      </c>
      <c r="AT922" t="s">
        <v>71</v>
      </c>
      <c r="AU922">
        <v>0</v>
      </c>
      <c r="AV922">
        <v>0</v>
      </c>
    </row>
    <row r="923" spans="1:48" x14ac:dyDescent="0.25">
      <c r="A923" t="s">
        <v>3305</v>
      </c>
      <c r="B923" t="s">
        <v>73</v>
      </c>
      <c r="C923" t="s">
        <v>50</v>
      </c>
      <c r="D923">
        <v>440183.22489999997</v>
      </c>
      <c r="E923">
        <v>1827274.4693</v>
      </c>
      <c r="F923">
        <v>32.976999999999997</v>
      </c>
      <c r="G923" t="s">
        <v>3306</v>
      </c>
      <c r="H923" t="s">
        <v>52</v>
      </c>
      <c r="I923">
        <v>32.976999999999997</v>
      </c>
      <c r="J923" t="s">
        <v>53</v>
      </c>
      <c r="K923">
        <v>0</v>
      </c>
      <c r="L923" t="s">
        <v>333</v>
      </c>
      <c r="M923" t="s">
        <v>3307</v>
      </c>
      <c r="N923">
        <v>-0.17419999999999999</v>
      </c>
      <c r="O923" t="s">
        <v>56</v>
      </c>
      <c r="P923" t="s">
        <v>57</v>
      </c>
      <c r="Q923" t="s">
        <v>59</v>
      </c>
      <c r="R923" t="s">
        <v>58</v>
      </c>
      <c r="S923" t="s">
        <v>3308</v>
      </c>
      <c r="T923" t="s">
        <v>61</v>
      </c>
      <c r="U923">
        <v>1.4736</v>
      </c>
      <c r="V923" t="s">
        <v>62</v>
      </c>
      <c r="W923">
        <v>0</v>
      </c>
      <c r="X923">
        <v>31.503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68</v>
      </c>
      <c r="AG923" t="s">
        <v>65</v>
      </c>
      <c r="AH923" t="s">
        <v>65</v>
      </c>
      <c r="AI923" t="s">
        <v>67</v>
      </c>
      <c r="AK923" t="s">
        <v>66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73</v>
      </c>
      <c r="AT923" t="s">
        <v>71</v>
      </c>
      <c r="AU923">
        <v>0</v>
      </c>
      <c r="AV923">
        <v>0</v>
      </c>
    </row>
    <row r="924" spans="1:48" x14ac:dyDescent="0.25">
      <c r="A924" t="s">
        <v>3309</v>
      </c>
      <c r="B924" t="s">
        <v>73</v>
      </c>
      <c r="C924" t="s">
        <v>50</v>
      </c>
      <c r="D924">
        <v>440183.22489999997</v>
      </c>
      <c r="E924">
        <v>1827294.4693</v>
      </c>
      <c r="F924">
        <v>32.914000000000001</v>
      </c>
      <c r="G924" t="s">
        <v>3310</v>
      </c>
      <c r="H924" t="s">
        <v>52</v>
      </c>
      <c r="I924">
        <v>32.914000000000001</v>
      </c>
      <c r="J924" t="s">
        <v>53</v>
      </c>
      <c r="K924">
        <v>0</v>
      </c>
      <c r="L924" t="s">
        <v>333</v>
      </c>
      <c r="M924" t="s">
        <v>3311</v>
      </c>
      <c r="N924">
        <v>-0.17419999999999999</v>
      </c>
      <c r="O924" t="s">
        <v>56</v>
      </c>
      <c r="P924" t="s">
        <v>57</v>
      </c>
      <c r="Q924" t="s">
        <v>59</v>
      </c>
      <c r="R924" t="s">
        <v>58</v>
      </c>
      <c r="S924" t="s">
        <v>3312</v>
      </c>
      <c r="T924" t="s">
        <v>61</v>
      </c>
      <c r="U924">
        <v>1.4736</v>
      </c>
      <c r="V924" t="s">
        <v>62</v>
      </c>
      <c r="W924">
        <v>0</v>
      </c>
      <c r="X924">
        <v>31.44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68</v>
      </c>
      <c r="AG924" t="s">
        <v>65</v>
      </c>
      <c r="AH924" t="s">
        <v>65</v>
      </c>
      <c r="AI924" t="s">
        <v>67</v>
      </c>
      <c r="AK924" t="s">
        <v>66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73</v>
      </c>
      <c r="AT924" t="s">
        <v>71</v>
      </c>
      <c r="AU924">
        <v>0</v>
      </c>
      <c r="AV924">
        <v>0</v>
      </c>
    </row>
    <row r="925" spans="1:48" x14ac:dyDescent="0.25">
      <c r="A925" t="s">
        <v>3313</v>
      </c>
      <c r="B925" t="s">
        <v>73</v>
      </c>
      <c r="C925" t="s">
        <v>50</v>
      </c>
      <c r="D925">
        <v>440183.22489999997</v>
      </c>
      <c r="E925">
        <v>1827334.4693</v>
      </c>
      <c r="F925">
        <v>32.787999999999997</v>
      </c>
      <c r="G925" t="s">
        <v>3314</v>
      </c>
      <c r="H925" t="s">
        <v>52</v>
      </c>
      <c r="I925">
        <v>32.787999999999997</v>
      </c>
      <c r="J925" t="s">
        <v>53</v>
      </c>
      <c r="K925">
        <v>0</v>
      </c>
      <c r="L925" t="s">
        <v>333</v>
      </c>
      <c r="M925" t="s">
        <v>3315</v>
      </c>
      <c r="N925">
        <v>-0.17419999999999999</v>
      </c>
      <c r="O925" t="s">
        <v>56</v>
      </c>
      <c r="P925" t="s">
        <v>57</v>
      </c>
      <c r="Q925" t="s">
        <v>59</v>
      </c>
      <c r="R925" t="s">
        <v>58</v>
      </c>
      <c r="S925" t="s">
        <v>3316</v>
      </c>
      <c r="T925" t="s">
        <v>61</v>
      </c>
      <c r="U925">
        <v>1.4736</v>
      </c>
      <c r="V925" t="s">
        <v>62</v>
      </c>
      <c r="W925">
        <v>0</v>
      </c>
      <c r="X925">
        <v>31.314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68</v>
      </c>
      <c r="AG925" t="s">
        <v>65</v>
      </c>
      <c r="AH925" t="s">
        <v>65</v>
      </c>
      <c r="AI925" t="s">
        <v>67</v>
      </c>
      <c r="AK925" t="s">
        <v>66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73</v>
      </c>
      <c r="AT925" t="s">
        <v>71</v>
      </c>
      <c r="AU925">
        <v>0</v>
      </c>
      <c r="AV925">
        <v>0</v>
      </c>
    </row>
    <row r="926" spans="1:48" x14ac:dyDescent="0.25">
      <c r="A926" t="s">
        <v>3317</v>
      </c>
      <c r="B926" t="s">
        <v>73</v>
      </c>
      <c r="C926" t="s">
        <v>50</v>
      </c>
      <c r="D926">
        <v>440183.22489999997</v>
      </c>
      <c r="E926">
        <v>1827354.4693</v>
      </c>
      <c r="F926">
        <v>32.725000000000001</v>
      </c>
      <c r="G926" t="s">
        <v>3318</v>
      </c>
      <c r="H926" t="s">
        <v>52</v>
      </c>
      <c r="I926">
        <v>32.725000000000001</v>
      </c>
      <c r="J926" t="s">
        <v>53</v>
      </c>
      <c r="K926">
        <v>0</v>
      </c>
      <c r="L926" t="s">
        <v>333</v>
      </c>
      <c r="M926" t="s">
        <v>3319</v>
      </c>
      <c r="N926">
        <v>-0.17419999999999999</v>
      </c>
      <c r="O926" t="s">
        <v>56</v>
      </c>
      <c r="P926" t="s">
        <v>57</v>
      </c>
      <c r="Q926" t="s">
        <v>59</v>
      </c>
      <c r="R926" t="s">
        <v>58</v>
      </c>
      <c r="S926" t="s">
        <v>3320</v>
      </c>
      <c r="T926" t="s">
        <v>61</v>
      </c>
      <c r="U926">
        <v>1.5866</v>
      </c>
      <c r="V926" t="s">
        <v>62</v>
      </c>
      <c r="W926">
        <v>0</v>
      </c>
      <c r="X926">
        <v>31.138000000000002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68</v>
      </c>
      <c r="AG926" t="s">
        <v>65</v>
      </c>
      <c r="AH926" t="s">
        <v>65</v>
      </c>
      <c r="AI926" t="s">
        <v>67</v>
      </c>
      <c r="AK926" t="s">
        <v>66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73</v>
      </c>
      <c r="AT926" t="s">
        <v>71</v>
      </c>
      <c r="AU926">
        <v>0</v>
      </c>
      <c r="AV926">
        <v>0</v>
      </c>
    </row>
    <row r="927" spans="1:48" x14ac:dyDescent="0.25">
      <c r="A927" t="s">
        <v>3321</v>
      </c>
      <c r="B927" t="s">
        <v>49</v>
      </c>
      <c r="C927" t="s">
        <v>50</v>
      </c>
      <c r="D927">
        <v>440183.07490000001</v>
      </c>
      <c r="E927">
        <v>1827375.0486000001</v>
      </c>
      <c r="F927">
        <v>32.534999999999997</v>
      </c>
      <c r="G927" t="s">
        <v>3322</v>
      </c>
      <c r="H927" t="s">
        <v>52</v>
      </c>
      <c r="I927">
        <v>32.534999999999997</v>
      </c>
      <c r="J927" t="s">
        <v>53</v>
      </c>
      <c r="K927">
        <v>0</v>
      </c>
      <c r="L927" t="s">
        <v>3089</v>
      </c>
      <c r="M927" t="s">
        <v>3323</v>
      </c>
      <c r="N927">
        <v>-0.125</v>
      </c>
      <c r="O927" t="s">
        <v>56</v>
      </c>
      <c r="P927" t="s">
        <v>57</v>
      </c>
      <c r="Q927" t="s">
        <v>58</v>
      </c>
      <c r="R927" t="s">
        <v>59</v>
      </c>
      <c r="S927" t="s">
        <v>3324</v>
      </c>
      <c r="T927" t="s">
        <v>61</v>
      </c>
      <c r="U927">
        <v>2.0345</v>
      </c>
      <c r="V927" t="s">
        <v>1033</v>
      </c>
      <c r="W927">
        <v>0</v>
      </c>
      <c r="X927">
        <v>30.5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66</v>
      </c>
      <c r="AG927" t="s">
        <v>65</v>
      </c>
      <c r="AH927" t="s">
        <v>65</v>
      </c>
      <c r="AI927" t="s">
        <v>67</v>
      </c>
      <c r="AK927" t="s">
        <v>68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49</v>
      </c>
      <c r="AT927" t="s">
        <v>71</v>
      </c>
      <c r="AU927">
        <v>0</v>
      </c>
      <c r="AV927">
        <v>0</v>
      </c>
    </row>
    <row r="928" spans="1:48" x14ac:dyDescent="0.25">
      <c r="A928" t="s">
        <v>3325</v>
      </c>
      <c r="B928" t="s">
        <v>73</v>
      </c>
      <c r="C928" t="s">
        <v>50</v>
      </c>
      <c r="D928">
        <v>440192.6249</v>
      </c>
      <c r="E928">
        <v>1827274.4693</v>
      </c>
      <c r="F928">
        <v>32.976999999999997</v>
      </c>
      <c r="G928" t="s">
        <v>3326</v>
      </c>
      <c r="H928" t="s">
        <v>52</v>
      </c>
      <c r="I928">
        <v>32.976999999999997</v>
      </c>
      <c r="J928" t="s">
        <v>53</v>
      </c>
      <c r="K928">
        <v>0</v>
      </c>
      <c r="L928" t="s">
        <v>3327</v>
      </c>
      <c r="M928" t="s">
        <v>3307</v>
      </c>
      <c r="N928">
        <v>0.15</v>
      </c>
      <c r="O928" t="s">
        <v>56</v>
      </c>
      <c r="P928" t="s">
        <v>57</v>
      </c>
      <c r="Q928" t="s">
        <v>59</v>
      </c>
      <c r="R928" t="s">
        <v>58</v>
      </c>
      <c r="S928" t="s">
        <v>3308</v>
      </c>
      <c r="T928" t="s">
        <v>61</v>
      </c>
      <c r="U928">
        <v>1.4736</v>
      </c>
      <c r="V928" t="s">
        <v>62</v>
      </c>
      <c r="W928">
        <v>0</v>
      </c>
      <c r="X928">
        <v>31.503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68</v>
      </c>
      <c r="AG928" t="s">
        <v>65</v>
      </c>
      <c r="AH928" t="s">
        <v>65</v>
      </c>
      <c r="AI928" t="s">
        <v>67</v>
      </c>
      <c r="AK928" t="s">
        <v>66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73</v>
      </c>
      <c r="AT928" t="s">
        <v>71</v>
      </c>
      <c r="AU928">
        <v>0</v>
      </c>
      <c r="AV928">
        <v>0</v>
      </c>
    </row>
    <row r="929" spans="1:48" x14ac:dyDescent="0.25">
      <c r="A929" t="s">
        <v>3328</v>
      </c>
      <c r="B929" t="s">
        <v>73</v>
      </c>
      <c r="C929" t="s">
        <v>50</v>
      </c>
      <c r="D929">
        <v>440192.6249</v>
      </c>
      <c r="E929">
        <v>1827294.4693</v>
      </c>
      <c r="F929">
        <v>32.914000000000001</v>
      </c>
      <c r="G929" t="s">
        <v>3329</v>
      </c>
      <c r="H929" t="s">
        <v>52</v>
      </c>
      <c r="I929">
        <v>32.914000000000001</v>
      </c>
      <c r="J929" t="s">
        <v>53</v>
      </c>
      <c r="K929">
        <v>0</v>
      </c>
      <c r="L929" t="s">
        <v>3327</v>
      </c>
      <c r="M929" t="s">
        <v>3311</v>
      </c>
      <c r="N929">
        <v>0.15</v>
      </c>
      <c r="O929" t="s">
        <v>56</v>
      </c>
      <c r="P929" t="s">
        <v>57</v>
      </c>
      <c r="Q929" t="s">
        <v>59</v>
      </c>
      <c r="R929" t="s">
        <v>58</v>
      </c>
      <c r="S929" t="s">
        <v>3330</v>
      </c>
      <c r="T929" t="s">
        <v>61</v>
      </c>
      <c r="U929">
        <v>1.4725999999999999</v>
      </c>
      <c r="V929" t="s">
        <v>62</v>
      </c>
      <c r="W929">
        <v>0</v>
      </c>
      <c r="X929">
        <v>31.440999999999999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68</v>
      </c>
      <c r="AG929" t="s">
        <v>65</v>
      </c>
      <c r="AH929" t="s">
        <v>65</v>
      </c>
      <c r="AI929" t="s">
        <v>67</v>
      </c>
      <c r="AK929" t="s">
        <v>66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73</v>
      </c>
      <c r="AT929" t="s">
        <v>71</v>
      </c>
      <c r="AU929">
        <v>0</v>
      </c>
      <c r="AV929">
        <v>0</v>
      </c>
    </row>
    <row r="930" spans="1:48" x14ac:dyDescent="0.25">
      <c r="A930" t="s">
        <v>3331</v>
      </c>
      <c r="B930" t="s">
        <v>73</v>
      </c>
      <c r="C930" t="s">
        <v>50</v>
      </c>
      <c r="D930">
        <v>440192.6249</v>
      </c>
      <c r="E930">
        <v>1827314.1728000001</v>
      </c>
      <c r="F930">
        <v>32.851999999999997</v>
      </c>
      <c r="G930" t="s">
        <v>3332</v>
      </c>
      <c r="H930" t="s">
        <v>52</v>
      </c>
      <c r="I930">
        <v>32.851999999999997</v>
      </c>
      <c r="J930" t="s">
        <v>53</v>
      </c>
      <c r="K930">
        <v>0</v>
      </c>
      <c r="L930" t="s">
        <v>3327</v>
      </c>
      <c r="M930" t="s">
        <v>3333</v>
      </c>
      <c r="N930">
        <v>0.15</v>
      </c>
      <c r="O930" t="s">
        <v>56</v>
      </c>
      <c r="P930" t="s">
        <v>57</v>
      </c>
      <c r="Q930" t="s">
        <v>59</v>
      </c>
      <c r="R930" t="s">
        <v>58</v>
      </c>
      <c r="S930" t="s">
        <v>3334</v>
      </c>
      <c r="T930" t="s">
        <v>61</v>
      </c>
      <c r="U930">
        <v>1.4695</v>
      </c>
      <c r="V930" t="s">
        <v>62</v>
      </c>
      <c r="W930">
        <v>0</v>
      </c>
      <c r="X930">
        <v>31.382000000000001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68</v>
      </c>
      <c r="AG930" t="s">
        <v>65</v>
      </c>
      <c r="AH930" t="s">
        <v>65</v>
      </c>
      <c r="AI930" t="s">
        <v>67</v>
      </c>
      <c r="AK930" t="s">
        <v>66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73</v>
      </c>
      <c r="AT930" t="s">
        <v>71</v>
      </c>
      <c r="AU930">
        <v>0</v>
      </c>
      <c r="AV930">
        <v>0</v>
      </c>
    </row>
    <row r="931" spans="1:48" x14ac:dyDescent="0.25">
      <c r="A931" t="s">
        <v>3335</v>
      </c>
      <c r="B931" t="s">
        <v>73</v>
      </c>
      <c r="C931" t="s">
        <v>50</v>
      </c>
      <c r="D931">
        <v>440192.6249</v>
      </c>
      <c r="E931">
        <v>1827334.4693</v>
      </c>
      <c r="F931">
        <v>32.787999999999997</v>
      </c>
      <c r="G931" t="s">
        <v>3336</v>
      </c>
      <c r="H931" t="s">
        <v>52</v>
      </c>
      <c r="I931">
        <v>32.787999999999997</v>
      </c>
      <c r="J931" t="s">
        <v>53</v>
      </c>
      <c r="K931">
        <v>0</v>
      </c>
      <c r="L931" t="s">
        <v>3327</v>
      </c>
      <c r="M931" t="s">
        <v>3315</v>
      </c>
      <c r="N931">
        <v>0.15</v>
      </c>
      <c r="O931" t="s">
        <v>56</v>
      </c>
      <c r="P931" t="s">
        <v>57</v>
      </c>
      <c r="Q931" t="s">
        <v>59</v>
      </c>
      <c r="R931" t="s">
        <v>58</v>
      </c>
      <c r="S931" t="s">
        <v>3316</v>
      </c>
      <c r="T931" t="s">
        <v>61</v>
      </c>
      <c r="U931">
        <v>1.4736</v>
      </c>
      <c r="V931" t="s">
        <v>62</v>
      </c>
      <c r="W931">
        <v>0</v>
      </c>
      <c r="X931">
        <v>31.314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68</v>
      </c>
      <c r="AG931" t="s">
        <v>65</v>
      </c>
      <c r="AH931" t="s">
        <v>65</v>
      </c>
      <c r="AI931" t="s">
        <v>67</v>
      </c>
      <c r="AK931" t="s">
        <v>66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73</v>
      </c>
      <c r="AT931" t="s">
        <v>71</v>
      </c>
      <c r="AU931">
        <v>0</v>
      </c>
      <c r="AV931">
        <v>0</v>
      </c>
    </row>
    <row r="932" spans="1:48" x14ac:dyDescent="0.25">
      <c r="A932" t="s">
        <v>3337</v>
      </c>
      <c r="B932" t="s">
        <v>73</v>
      </c>
      <c r="C932" t="s">
        <v>50</v>
      </c>
      <c r="D932">
        <v>440192.6249</v>
      </c>
      <c r="E932">
        <v>1827354.4693</v>
      </c>
      <c r="F932">
        <v>32.725000000000001</v>
      </c>
      <c r="G932" t="s">
        <v>3338</v>
      </c>
      <c r="H932" t="s">
        <v>52</v>
      </c>
      <c r="I932">
        <v>32.725000000000001</v>
      </c>
      <c r="J932" t="s">
        <v>53</v>
      </c>
      <c r="K932">
        <v>0</v>
      </c>
      <c r="L932" t="s">
        <v>3327</v>
      </c>
      <c r="M932" t="s">
        <v>3319</v>
      </c>
      <c r="N932">
        <v>0.15</v>
      </c>
      <c r="O932" t="s">
        <v>56</v>
      </c>
      <c r="P932" t="s">
        <v>57</v>
      </c>
      <c r="Q932" t="s">
        <v>59</v>
      </c>
      <c r="R932" t="s">
        <v>58</v>
      </c>
      <c r="S932" t="s">
        <v>3339</v>
      </c>
      <c r="T932" t="s">
        <v>61</v>
      </c>
      <c r="U932">
        <v>1.6586000000000001</v>
      </c>
      <c r="V932" t="s">
        <v>62</v>
      </c>
      <c r="W932">
        <v>0</v>
      </c>
      <c r="X932">
        <v>31.065999999999999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67</v>
      </c>
      <c r="AK932" t="s">
        <v>66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73</v>
      </c>
      <c r="AT932" t="s">
        <v>71</v>
      </c>
      <c r="AU932">
        <v>0</v>
      </c>
      <c r="AV932">
        <v>0</v>
      </c>
    </row>
    <row r="933" spans="1:48" x14ac:dyDescent="0.25">
      <c r="A933" t="s">
        <v>3340</v>
      </c>
      <c r="B933" t="s">
        <v>49</v>
      </c>
      <c r="C933" t="s">
        <v>50</v>
      </c>
      <c r="D933">
        <v>440192.77490000002</v>
      </c>
      <c r="E933">
        <v>1827375.0486000001</v>
      </c>
      <c r="F933">
        <v>32.442999999999998</v>
      </c>
      <c r="G933" t="s">
        <v>3341</v>
      </c>
      <c r="H933" t="s">
        <v>52</v>
      </c>
      <c r="I933">
        <v>32.442999999999998</v>
      </c>
      <c r="J933" t="s">
        <v>53</v>
      </c>
      <c r="K933">
        <v>0</v>
      </c>
      <c r="L933" t="s">
        <v>3089</v>
      </c>
      <c r="M933" t="s">
        <v>3342</v>
      </c>
      <c r="N933">
        <v>-0.125</v>
      </c>
      <c r="O933" t="s">
        <v>56</v>
      </c>
      <c r="P933" t="s">
        <v>57</v>
      </c>
      <c r="Q933" t="s">
        <v>58</v>
      </c>
      <c r="R933" t="s">
        <v>59</v>
      </c>
      <c r="S933" t="s">
        <v>3343</v>
      </c>
      <c r="T933" t="s">
        <v>61</v>
      </c>
      <c r="U933">
        <v>2.1025999999999998</v>
      </c>
      <c r="V933" t="s">
        <v>62</v>
      </c>
      <c r="W933">
        <v>0</v>
      </c>
      <c r="X933">
        <v>30.34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66</v>
      </c>
      <c r="AG933" t="s">
        <v>65</v>
      </c>
      <c r="AH933" t="s">
        <v>65</v>
      </c>
      <c r="AI933" t="s">
        <v>67</v>
      </c>
      <c r="AK933" t="s">
        <v>68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49</v>
      </c>
      <c r="AT933" t="s">
        <v>71</v>
      </c>
      <c r="AU933">
        <v>0</v>
      </c>
      <c r="AV933">
        <v>0</v>
      </c>
    </row>
    <row r="934" spans="1:48" x14ac:dyDescent="0.25">
      <c r="A934" t="s">
        <v>3344</v>
      </c>
      <c r="B934" t="s">
        <v>49</v>
      </c>
      <c r="C934" t="s">
        <v>50</v>
      </c>
      <c r="D934">
        <v>440210.42509999999</v>
      </c>
      <c r="E934">
        <v>1827375.0486000001</v>
      </c>
      <c r="F934">
        <v>32.508000000000003</v>
      </c>
      <c r="G934" t="s">
        <v>3345</v>
      </c>
      <c r="H934" t="s">
        <v>52</v>
      </c>
      <c r="I934">
        <v>32.508000000000003</v>
      </c>
      <c r="J934" t="s">
        <v>53</v>
      </c>
      <c r="K934">
        <v>0</v>
      </c>
      <c r="L934" t="s">
        <v>3089</v>
      </c>
      <c r="M934" t="s">
        <v>849</v>
      </c>
      <c r="N934">
        <v>-0.125</v>
      </c>
      <c r="O934" t="s">
        <v>56</v>
      </c>
      <c r="P934" t="s">
        <v>57</v>
      </c>
      <c r="Q934" t="s">
        <v>58</v>
      </c>
      <c r="R934" t="s">
        <v>59</v>
      </c>
      <c r="S934" t="s">
        <v>3346</v>
      </c>
      <c r="T934" t="s">
        <v>61</v>
      </c>
      <c r="U934">
        <v>2.1878000000000002</v>
      </c>
      <c r="V934" t="s">
        <v>62</v>
      </c>
      <c r="W934">
        <v>0</v>
      </c>
      <c r="X934">
        <v>30.32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66</v>
      </c>
      <c r="AG934" t="s">
        <v>65</v>
      </c>
      <c r="AH934" t="s">
        <v>65</v>
      </c>
      <c r="AI934" t="s">
        <v>67</v>
      </c>
      <c r="AK934" t="s">
        <v>68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49</v>
      </c>
      <c r="AT934" t="s">
        <v>71</v>
      </c>
      <c r="AU934">
        <v>0</v>
      </c>
      <c r="AV934">
        <v>0</v>
      </c>
    </row>
    <row r="935" spans="1:48" x14ac:dyDescent="0.25">
      <c r="A935" t="s">
        <v>3347</v>
      </c>
      <c r="B935" t="s">
        <v>49</v>
      </c>
      <c r="C935" t="s">
        <v>50</v>
      </c>
      <c r="D935">
        <v>440230.42509999999</v>
      </c>
      <c r="E935">
        <v>1827375.0486000001</v>
      </c>
      <c r="F935">
        <v>32.386000000000003</v>
      </c>
      <c r="G935" t="s">
        <v>3348</v>
      </c>
      <c r="H935" t="s">
        <v>52</v>
      </c>
      <c r="I935">
        <v>32.386000000000003</v>
      </c>
      <c r="J935" t="s">
        <v>53</v>
      </c>
      <c r="K935">
        <v>0</v>
      </c>
      <c r="L935" t="s">
        <v>3089</v>
      </c>
      <c r="M935" t="s">
        <v>853</v>
      </c>
      <c r="N935">
        <v>-0.125</v>
      </c>
      <c r="O935" t="s">
        <v>56</v>
      </c>
      <c r="P935" t="s">
        <v>57</v>
      </c>
      <c r="Q935" t="s">
        <v>58</v>
      </c>
      <c r="R935" t="s">
        <v>59</v>
      </c>
      <c r="S935" t="s">
        <v>3349</v>
      </c>
      <c r="T935" t="s">
        <v>61</v>
      </c>
      <c r="U935">
        <v>2.0859999999999999</v>
      </c>
      <c r="V935" t="s">
        <v>62</v>
      </c>
      <c r="W935">
        <v>0</v>
      </c>
      <c r="X935">
        <v>30.3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66</v>
      </c>
      <c r="AG935" t="s">
        <v>65</v>
      </c>
      <c r="AH935" t="s">
        <v>65</v>
      </c>
      <c r="AI935" t="s">
        <v>67</v>
      </c>
      <c r="AK935" t="s">
        <v>68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49</v>
      </c>
      <c r="AT935" t="s">
        <v>71</v>
      </c>
      <c r="AU935">
        <v>0</v>
      </c>
      <c r="AV935">
        <v>0</v>
      </c>
    </row>
    <row r="936" spans="1:48" x14ac:dyDescent="0.25">
      <c r="A936" t="s">
        <v>3350</v>
      </c>
      <c r="B936" t="s">
        <v>73</v>
      </c>
      <c r="C936" t="s">
        <v>50</v>
      </c>
      <c r="D936">
        <v>440248.82490000001</v>
      </c>
      <c r="E936">
        <v>1827275.1909</v>
      </c>
      <c r="F936">
        <v>32.720999999999997</v>
      </c>
      <c r="G936" t="s">
        <v>3351</v>
      </c>
      <c r="H936" t="s">
        <v>52</v>
      </c>
      <c r="I936">
        <v>32.720999999999997</v>
      </c>
      <c r="J936" t="s">
        <v>53</v>
      </c>
      <c r="K936">
        <v>0</v>
      </c>
      <c r="L936" t="s">
        <v>3352</v>
      </c>
      <c r="M936" t="s">
        <v>3353</v>
      </c>
      <c r="N936">
        <v>-0.3296</v>
      </c>
      <c r="O936" t="s">
        <v>56</v>
      </c>
      <c r="P936" t="s">
        <v>57</v>
      </c>
      <c r="Q936" t="s">
        <v>59</v>
      </c>
      <c r="R936" t="s">
        <v>58</v>
      </c>
      <c r="S936" t="s">
        <v>3354</v>
      </c>
      <c r="T936" t="s">
        <v>61</v>
      </c>
      <c r="U936">
        <v>1.5062</v>
      </c>
      <c r="V936" t="s">
        <v>62</v>
      </c>
      <c r="W936">
        <v>0</v>
      </c>
      <c r="X936">
        <v>31.215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68</v>
      </c>
      <c r="AG936" t="s">
        <v>65</v>
      </c>
      <c r="AH936" t="s">
        <v>65</v>
      </c>
      <c r="AI936" t="s">
        <v>67</v>
      </c>
      <c r="AK936" t="s">
        <v>66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73</v>
      </c>
      <c r="AT936" t="s">
        <v>71</v>
      </c>
      <c r="AU936">
        <v>0</v>
      </c>
      <c r="AV936">
        <v>0</v>
      </c>
    </row>
    <row r="937" spans="1:48" x14ac:dyDescent="0.25">
      <c r="A937" t="s">
        <v>3355</v>
      </c>
      <c r="B937" t="s">
        <v>73</v>
      </c>
      <c r="C937" t="s">
        <v>50</v>
      </c>
      <c r="D937">
        <v>440248.82490000001</v>
      </c>
      <c r="E937">
        <v>1827295.1909</v>
      </c>
      <c r="F937">
        <v>32.630000000000003</v>
      </c>
      <c r="G937" t="s">
        <v>3356</v>
      </c>
      <c r="H937" t="s">
        <v>52</v>
      </c>
      <c r="I937">
        <v>32.630000000000003</v>
      </c>
      <c r="J937" t="s">
        <v>53</v>
      </c>
      <c r="K937">
        <v>0</v>
      </c>
      <c r="L937" t="s">
        <v>3352</v>
      </c>
      <c r="M937" t="s">
        <v>3357</v>
      </c>
      <c r="N937">
        <v>-0.3296</v>
      </c>
      <c r="O937" t="s">
        <v>56</v>
      </c>
      <c r="P937" t="s">
        <v>57</v>
      </c>
      <c r="Q937" t="s">
        <v>59</v>
      </c>
      <c r="R937" t="s">
        <v>58</v>
      </c>
      <c r="S937" t="s">
        <v>3358</v>
      </c>
      <c r="T937" t="s">
        <v>61</v>
      </c>
      <c r="U937">
        <v>1.5081</v>
      </c>
      <c r="V937" t="s">
        <v>62</v>
      </c>
      <c r="W937">
        <v>0</v>
      </c>
      <c r="X937">
        <v>31.122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68</v>
      </c>
      <c r="AG937" t="s">
        <v>65</v>
      </c>
      <c r="AH937" t="s">
        <v>65</v>
      </c>
      <c r="AI937" t="s">
        <v>67</v>
      </c>
      <c r="AK937" t="s">
        <v>66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73</v>
      </c>
      <c r="AT937" t="s">
        <v>71</v>
      </c>
      <c r="AU937">
        <v>0</v>
      </c>
      <c r="AV937">
        <v>0</v>
      </c>
    </row>
    <row r="938" spans="1:48" x14ac:dyDescent="0.25">
      <c r="A938" t="s">
        <v>3359</v>
      </c>
      <c r="B938" t="s">
        <v>73</v>
      </c>
      <c r="C938" t="s">
        <v>50</v>
      </c>
      <c r="D938">
        <v>440248.82490000001</v>
      </c>
      <c r="E938">
        <v>1827315.9166000001</v>
      </c>
      <c r="F938">
        <v>32.536000000000001</v>
      </c>
      <c r="G938" t="s">
        <v>3360</v>
      </c>
      <c r="H938" t="s">
        <v>52</v>
      </c>
      <c r="I938">
        <v>32.536000000000001</v>
      </c>
      <c r="J938" t="s">
        <v>53</v>
      </c>
      <c r="K938">
        <v>0</v>
      </c>
      <c r="L938" t="s">
        <v>3352</v>
      </c>
      <c r="M938" t="s">
        <v>3361</v>
      </c>
      <c r="N938">
        <v>-0.3296</v>
      </c>
      <c r="O938" t="s">
        <v>56</v>
      </c>
      <c r="P938" t="s">
        <v>57</v>
      </c>
      <c r="Q938" t="s">
        <v>59</v>
      </c>
      <c r="R938" t="s">
        <v>58</v>
      </c>
      <c r="S938" t="s">
        <v>3362</v>
      </c>
      <c r="T938" t="s">
        <v>61</v>
      </c>
      <c r="U938">
        <v>1.5046999999999999</v>
      </c>
      <c r="V938" t="s">
        <v>62</v>
      </c>
      <c r="W938">
        <v>0</v>
      </c>
      <c r="X938">
        <v>31.030999999999999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68</v>
      </c>
      <c r="AG938" t="s">
        <v>65</v>
      </c>
      <c r="AH938" t="s">
        <v>65</v>
      </c>
      <c r="AI938" t="s">
        <v>67</v>
      </c>
      <c r="AK938" t="s">
        <v>66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73</v>
      </c>
      <c r="AT938" t="s">
        <v>71</v>
      </c>
      <c r="AU938">
        <v>0</v>
      </c>
      <c r="AV938">
        <v>0</v>
      </c>
    </row>
    <row r="939" spans="1:48" x14ac:dyDescent="0.25">
      <c r="A939" t="s">
        <v>3363</v>
      </c>
      <c r="B939" t="s">
        <v>73</v>
      </c>
      <c r="C939" t="s">
        <v>50</v>
      </c>
      <c r="D939">
        <v>440248.82490000001</v>
      </c>
      <c r="E939">
        <v>1827335.2449</v>
      </c>
      <c r="F939">
        <v>32.448</v>
      </c>
      <c r="G939" t="s">
        <v>3364</v>
      </c>
      <c r="H939" t="s">
        <v>52</v>
      </c>
      <c r="I939">
        <v>32.448</v>
      </c>
      <c r="J939" t="s">
        <v>53</v>
      </c>
      <c r="K939">
        <v>0</v>
      </c>
      <c r="L939" t="s">
        <v>3352</v>
      </c>
      <c r="M939" t="s">
        <v>3365</v>
      </c>
      <c r="N939">
        <v>-0.3296</v>
      </c>
      <c r="O939" t="s">
        <v>56</v>
      </c>
      <c r="P939" t="s">
        <v>57</v>
      </c>
      <c r="Q939" t="s">
        <v>59</v>
      </c>
      <c r="R939" t="s">
        <v>58</v>
      </c>
      <c r="S939" t="s">
        <v>3366</v>
      </c>
      <c r="T939" t="s">
        <v>61</v>
      </c>
      <c r="U939">
        <v>1.5057</v>
      </c>
      <c r="V939" t="s">
        <v>62</v>
      </c>
      <c r="W939">
        <v>0</v>
      </c>
      <c r="X939">
        <v>30.942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68</v>
      </c>
      <c r="AG939" t="s">
        <v>65</v>
      </c>
      <c r="AH939" t="s">
        <v>65</v>
      </c>
      <c r="AI939" t="s">
        <v>67</v>
      </c>
      <c r="AK939" t="s">
        <v>66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73</v>
      </c>
      <c r="AT939" t="s">
        <v>71</v>
      </c>
      <c r="AU939">
        <v>0</v>
      </c>
      <c r="AV939">
        <v>0</v>
      </c>
    </row>
    <row r="940" spans="1:48" x14ac:dyDescent="0.25">
      <c r="A940" t="s">
        <v>3367</v>
      </c>
      <c r="B940" t="s">
        <v>73</v>
      </c>
      <c r="C940" t="s">
        <v>50</v>
      </c>
      <c r="D940">
        <v>440248.82490000001</v>
      </c>
      <c r="E940">
        <v>1827355.1909</v>
      </c>
      <c r="F940">
        <v>32.356999999999999</v>
      </c>
      <c r="G940" t="s">
        <v>3368</v>
      </c>
      <c r="H940" t="s">
        <v>52</v>
      </c>
      <c r="I940">
        <v>32.356999999999999</v>
      </c>
      <c r="J940" t="s">
        <v>53</v>
      </c>
      <c r="K940">
        <v>0</v>
      </c>
      <c r="L940" t="s">
        <v>3352</v>
      </c>
      <c r="M940" t="s">
        <v>3369</v>
      </c>
      <c r="N940">
        <v>-0.3296</v>
      </c>
      <c r="O940" t="s">
        <v>56</v>
      </c>
      <c r="P940" t="s">
        <v>57</v>
      </c>
      <c r="Q940" t="s">
        <v>59</v>
      </c>
      <c r="R940" t="s">
        <v>58</v>
      </c>
      <c r="S940" t="s">
        <v>3370</v>
      </c>
      <c r="T940" t="s">
        <v>61</v>
      </c>
      <c r="U940">
        <v>1.6177999999999999</v>
      </c>
      <c r="V940" t="s">
        <v>62</v>
      </c>
      <c r="W940">
        <v>0</v>
      </c>
      <c r="X940">
        <v>30.739000000000001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68</v>
      </c>
      <c r="AG940" t="s">
        <v>65</v>
      </c>
      <c r="AH940" t="s">
        <v>65</v>
      </c>
      <c r="AI940" t="s">
        <v>67</v>
      </c>
      <c r="AK940" t="s">
        <v>66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73</v>
      </c>
      <c r="AT940" t="s">
        <v>71</v>
      </c>
      <c r="AU940">
        <v>0</v>
      </c>
      <c r="AV940">
        <v>0</v>
      </c>
    </row>
    <row r="941" spans="1:48" x14ac:dyDescent="0.25">
      <c r="A941" t="s">
        <v>3371</v>
      </c>
      <c r="B941" t="s">
        <v>49</v>
      </c>
      <c r="C941" t="s">
        <v>50</v>
      </c>
      <c r="D941">
        <v>440248.67489999998</v>
      </c>
      <c r="E941">
        <v>1827375.0486000001</v>
      </c>
      <c r="F941">
        <v>32.134999999999998</v>
      </c>
      <c r="G941" t="s">
        <v>3372</v>
      </c>
      <c r="H941" t="s">
        <v>52</v>
      </c>
      <c r="I941">
        <v>32.134999999999998</v>
      </c>
      <c r="J941" t="s">
        <v>53</v>
      </c>
      <c r="K941">
        <v>0</v>
      </c>
      <c r="L941" t="s">
        <v>3089</v>
      </c>
      <c r="M941" t="s">
        <v>1101</v>
      </c>
      <c r="N941">
        <v>-0.125</v>
      </c>
      <c r="O941" t="s">
        <v>56</v>
      </c>
      <c r="P941" t="s">
        <v>57</v>
      </c>
      <c r="Q941" t="s">
        <v>58</v>
      </c>
      <c r="R941" t="s">
        <v>59</v>
      </c>
      <c r="S941" t="s">
        <v>3373</v>
      </c>
      <c r="T941" t="s">
        <v>61</v>
      </c>
      <c r="U941">
        <v>2.0550999999999999</v>
      </c>
      <c r="V941" t="s">
        <v>1033</v>
      </c>
      <c r="W941">
        <v>0</v>
      </c>
      <c r="X941">
        <v>30.08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66</v>
      </c>
      <c r="AG941" t="s">
        <v>65</v>
      </c>
      <c r="AH941" t="s">
        <v>65</v>
      </c>
      <c r="AI941" t="s">
        <v>67</v>
      </c>
      <c r="AK941" t="s">
        <v>68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49</v>
      </c>
      <c r="AT941" t="s">
        <v>71</v>
      </c>
      <c r="AU941">
        <v>0</v>
      </c>
      <c r="AV941">
        <v>0</v>
      </c>
    </row>
    <row r="942" spans="1:48" x14ac:dyDescent="0.25">
      <c r="A942" t="s">
        <v>3374</v>
      </c>
      <c r="B942" t="s">
        <v>73</v>
      </c>
      <c r="C942" t="s">
        <v>50</v>
      </c>
      <c r="D942">
        <v>440258.22489999997</v>
      </c>
      <c r="E942">
        <v>1827275.1909</v>
      </c>
      <c r="F942">
        <v>32.720999999999997</v>
      </c>
      <c r="G942" t="s">
        <v>3375</v>
      </c>
      <c r="H942" t="s">
        <v>52</v>
      </c>
      <c r="I942">
        <v>32.720999999999997</v>
      </c>
      <c r="J942" t="s">
        <v>53</v>
      </c>
      <c r="K942">
        <v>0</v>
      </c>
      <c r="L942" t="s">
        <v>338</v>
      </c>
      <c r="M942" t="s">
        <v>3353</v>
      </c>
      <c r="N942">
        <v>0.15</v>
      </c>
      <c r="O942" t="s">
        <v>56</v>
      </c>
      <c r="P942" t="s">
        <v>57</v>
      </c>
      <c r="Q942" t="s">
        <v>59</v>
      </c>
      <c r="R942" t="s">
        <v>58</v>
      </c>
      <c r="S942" t="s">
        <v>3354</v>
      </c>
      <c r="T942" t="s">
        <v>61</v>
      </c>
      <c r="U942">
        <v>1.5062</v>
      </c>
      <c r="V942" t="s">
        <v>62</v>
      </c>
      <c r="W942">
        <v>0</v>
      </c>
      <c r="X942">
        <v>31.215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67</v>
      </c>
      <c r="AK942" t="s">
        <v>66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73</v>
      </c>
      <c r="AT942" t="s">
        <v>71</v>
      </c>
      <c r="AU942">
        <v>0</v>
      </c>
      <c r="AV942">
        <v>0</v>
      </c>
    </row>
    <row r="943" spans="1:48" x14ac:dyDescent="0.25">
      <c r="A943" t="s">
        <v>3376</v>
      </c>
      <c r="B943" t="s">
        <v>73</v>
      </c>
      <c r="C943" t="s">
        <v>50</v>
      </c>
      <c r="D943">
        <v>440258.22489999997</v>
      </c>
      <c r="E943">
        <v>1827295.1909</v>
      </c>
      <c r="F943">
        <v>32.630000000000003</v>
      </c>
      <c r="G943" t="s">
        <v>3377</v>
      </c>
      <c r="H943" t="s">
        <v>52</v>
      </c>
      <c r="I943">
        <v>32.630000000000003</v>
      </c>
      <c r="J943" t="s">
        <v>53</v>
      </c>
      <c r="K943">
        <v>0</v>
      </c>
      <c r="L943" t="s">
        <v>338</v>
      </c>
      <c r="M943" t="s">
        <v>3357</v>
      </c>
      <c r="N943">
        <v>0.15</v>
      </c>
      <c r="O943" t="s">
        <v>56</v>
      </c>
      <c r="P943" t="s">
        <v>57</v>
      </c>
      <c r="Q943" t="s">
        <v>59</v>
      </c>
      <c r="R943" t="s">
        <v>58</v>
      </c>
      <c r="S943" t="s">
        <v>3378</v>
      </c>
      <c r="T943" t="s">
        <v>61</v>
      </c>
      <c r="U943">
        <v>1.5051000000000001</v>
      </c>
      <c r="V943" t="s">
        <v>62</v>
      </c>
      <c r="W943">
        <v>0</v>
      </c>
      <c r="X943">
        <v>31.125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67</v>
      </c>
      <c r="AK943" t="s">
        <v>66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73</v>
      </c>
      <c r="AT943" t="s">
        <v>71</v>
      </c>
      <c r="AU943">
        <v>0</v>
      </c>
      <c r="AV943">
        <v>0</v>
      </c>
    </row>
    <row r="944" spans="1:48" x14ac:dyDescent="0.25">
      <c r="A944" t="s">
        <v>3379</v>
      </c>
      <c r="B944" t="s">
        <v>73</v>
      </c>
      <c r="C944" t="s">
        <v>50</v>
      </c>
      <c r="D944">
        <v>440258.22489999997</v>
      </c>
      <c r="E944">
        <v>1827315.1217</v>
      </c>
      <c r="F944">
        <v>32.539000000000001</v>
      </c>
      <c r="G944" t="s">
        <v>3380</v>
      </c>
      <c r="H944" t="s">
        <v>52</v>
      </c>
      <c r="I944">
        <v>32.539000000000001</v>
      </c>
      <c r="J944" t="s">
        <v>53</v>
      </c>
      <c r="K944">
        <v>0</v>
      </c>
      <c r="L944" t="s">
        <v>338</v>
      </c>
      <c r="M944" t="s">
        <v>3381</v>
      </c>
      <c r="N944">
        <v>0.15</v>
      </c>
      <c r="O944" t="s">
        <v>56</v>
      </c>
      <c r="P944" t="s">
        <v>57</v>
      </c>
      <c r="Q944" t="s">
        <v>59</v>
      </c>
      <c r="R944" t="s">
        <v>58</v>
      </c>
      <c r="S944" t="s">
        <v>3382</v>
      </c>
      <c r="T944" t="s">
        <v>61</v>
      </c>
      <c r="U944">
        <v>1.4853000000000001</v>
      </c>
      <c r="V944" t="s">
        <v>62</v>
      </c>
      <c r="W944">
        <v>0</v>
      </c>
      <c r="X944">
        <v>31.053999999999998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67</v>
      </c>
      <c r="AK944" t="s">
        <v>66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73</v>
      </c>
      <c r="AT944" t="s">
        <v>71</v>
      </c>
      <c r="AU944">
        <v>0</v>
      </c>
      <c r="AV944">
        <v>0</v>
      </c>
    </row>
    <row r="945" spans="1:48" x14ac:dyDescent="0.25">
      <c r="A945" t="s">
        <v>3383</v>
      </c>
      <c r="B945" t="s">
        <v>73</v>
      </c>
      <c r="C945" t="s">
        <v>50</v>
      </c>
      <c r="D945">
        <v>440258.22489999997</v>
      </c>
      <c r="E945">
        <v>1827355.1909</v>
      </c>
      <c r="F945">
        <v>32.356999999999999</v>
      </c>
      <c r="G945" t="s">
        <v>3384</v>
      </c>
      <c r="H945" t="s">
        <v>52</v>
      </c>
      <c r="I945">
        <v>32.356999999999999</v>
      </c>
      <c r="J945" t="s">
        <v>53</v>
      </c>
      <c r="K945">
        <v>0</v>
      </c>
      <c r="L945" t="s">
        <v>338</v>
      </c>
      <c r="M945" t="s">
        <v>3369</v>
      </c>
      <c r="N945">
        <v>0.15</v>
      </c>
      <c r="O945" t="s">
        <v>56</v>
      </c>
      <c r="P945" t="s">
        <v>57</v>
      </c>
      <c r="Q945" t="s">
        <v>59</v>
      </c>
      <c r="R945" t="s">
        <v>58</v>
      </c>
      <c r="S945" t="s">
        <v>3385</v>
      </c>
      <c r="T945" t="s">
        <v>61</v>
      </c>
      <c r="U945">
        <v>1.6908000000000001</v>
      </c>
      <c r="V945" t="s">
        <v>62</v>
      </c>
      <c r="W945">
        <v>0</v>
      </c>
      <c r="X945">
        <v>30.666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67</v>
      </c>
      <c r="AK945" t="s">
        <v>66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73</v>
      </c>
      <c r="AT945" t="s">
        <v>71</v>
      </c>
      <c r="AU945">
        <v>0</v>
      </c>
      <c r="AV945">
        <v>0</v>
      </c>
    </row>
    <row r="946" spans="1:48" x14ac:dyDescent="0.25">
      <c r="A946" t="s">
        <v>3386</v>
      </c>
      <c r="B946" t="s">
        <v>49</v>
      </c>
      <c r="C946" t="s">
        <v>50</v>
      </c>
      <c r="D946">
        <v>440258.3749</v>
      </c>
      <c r="E946">
        <v>1827375.0486000001</v>
      </c>
      <c r="F946">
        <v>32.042999999999999</v>
      </c>
      <c r="G946" t="s">
        <v>3387</v>
      </c>
      <c r="H946" t="s">
        <v>52</v>
      </c>
      <c r="I946">
        <v>32.042999999999999</v>
      </c>
      <c r="J946" t="s">
        <v>53</v>
      </c>
      <c r="K946">
        <v>0</v>
      </c>
      <c r="L946" t="s">
        <v>3089</v>
      </c>
      <c r="M946" t="s">
        <v>3388</v>
      </c>
      <c r="N946">
        <v>-0.125</v>
      </c>
      <c r="O946" t="s">
        <v>56</v>
      </c>
      <c r="P946" t="s">
        <v>57</v>
      </c>
      <c r="Q946" t="s">
        <v>58</v>
      </c>
      <c r="R946" t="s">
        <v>59</v>
      </c>
      <c r="S946" t="s">
        <v>3389</v>
      </c>
      <c r="T946" t="s">
        <v>61</v>
      </c>
      <c r="U946">
        <v>1.9731000000000001</v>
      </c>
      <c r="V946" t="s">
        <v>62</v>
      </c>
      <c r="W946">
        <v>0</v>
      </c>
      <c r="X946">
        <v>30.07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66</v>
      </c>
      <c r="AG946" t="s">
        <v>65</v>
      </c>
      <c r="AH946" t="s">
        <v>65</v>
      </c>
      <c r="AI946" t="s">
        <v>67</v>
      </c>
      <c r="AK946" t="s">
        <v>68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49</v>
      </c>
      <c r="AT946" t="s">
        <v>71</v>
      </c>
      <c r="AU946">
        <v>0</v>
      </c>
      <c r="AV946">
        <v>0</v>
      </c>
    </row>
    <row r="947" spans="1:48" x14ac:dyDescent="0.25">
      <c r="A947" t="s">
        <v>3390</v>
      </c>
      <c r="B947" t="s">
        <v>49</v>
      </c>
      <c r="C947" t="s">
        <v>50</v>
      </c>
      <c r="D947">
        <v>440277.99300000002</v>
      </c>
      <c r="E947">
        <v>1827375.0486000001</v>
      </c>
      <c r="F947">
        <v>32.095999999999997</v>
      </c>
      <c r="G947" t="s">
        <v>3391</v>
      </c>
      <c r="H947" t="s">
        <v>52</v>
      </c>
      <c r="I947">
        <v>32.095999999999997</v>
      </c>
      <c r="J947" t="s">
        <v>53</v>
      </c>
      <c r="K947">
        <v>0</v>
      </c>
      <c r="L947" t="s">
        <v>3089</v>
      </c>
      <c r="M947" t="s">
        <v>3392</v>
      </c>
      <c r="N947">
        <v>-0.125</v>
      </c>
      <c r="O947" t="s">
        <v>56</v>
      </c>
      <c r="P947" t="s">
        <v>57</v>
      </c>
      <c r="Q947" t="s">
        <v>58</v>
      </c>
      <c r="R947" t="s">
        <v>59</v>
      </c>
      <c r="S947" t="s">
        <v>3393</v>
      </c>
      <c r="T947" t="s">
        <v>61</v>
      </c>
      <c r="U947">
        <v>2.0592999999999999</v>
      </c>
      <c r="V947" t="s">
        <v>62</v>
      </c>
      <c r="W947">
        <v>0</v>
      </c>
      <c r="X947">
        <v>30.036999999999999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66</v>
      </c>
      <c r="AG947" t="s">
        <v>65</v>
      </c>
      <c r="AH947" t="s">
        <v>65</v>
      </c>
      <c r="AI947" t="s">
        <v>67</v>
      </c>
      <c r="AK947" t="s">
        <v>68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49</v>
      </c>
      <c r="AT947" t="s">
        <v>71</v>
      </c>
      <c r="AU947">
        <v>0</v>
      </c>
      <c r="AV947">
        <v>0</v>
      </c>
    </row>
    <row r="948" spans="1:48" x14ac:dyDescent="0.25">
      <c r="A948" t="s">
        <v>3394</v>
      </c>
      <c r="B948" t="s">
        <v>49</v>
      </c>
      <c r="C948" t="s">
        <v>50</v>
      </c>
      <c r="D948">
        <v>440295.8308</v>
      </c>
      <c r="E948">
        <v>1827375.0486000001</v>
      </c>
      <c r="F948">
        <v>31.988</v>
      </c>
      <c r="G948" t="s">
        <v>3395</v>
      </c>
      <c r="H948" t="s">
        <v>52</v>
      </c>
      <c r="I948">
        <v>31.988</v>
      </c>
      <c r="J948" t="s">
        <v>53</v>
      </c>
      <c r="K948">
        <v>0</v>
      </c>
      <c r="L948" t="s">
        <v>3089</v>
      </c>
      <c r="M948" t="s">
        <v>3396</v>
      </c>
      <c r="N948">
        <v>-0.125</v>
      </c>
      <c r="O948" t="s">
        <v>56</v>
      </c>
      <c r="P948" t="s">
        <v>57</v>
      </c>
      <c r="Q948" t="s">
        <v>58</v>
      </c>
      <c r="R948" t="s">
        <v>59</v>
      </c>
      <c r="S948" t="s">
        <v>3397</v>
      </c>
      <c r="T948" t="s">
        <v>61</v>
      </c>
      <c r="U948">
        <v>2.0697000000000001</v>
      </c>
      <c r="V948" t="s">
        <v>62</v>
      </c>
      <c r="W948">
        <v>0</v>
      </c>
      <c r="X948">
        <v>29.917999999999999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66</v>
      </c>
      <c r="AG948" t="s">
        <v>65</v>
      </c>
      <c r="AH948" t="s">
        <v>65</v>
      </c>
      <c r="AI948" t="s">
        <v>67</v>
      </c>
      <c r="AK948" t="s">
        <v>68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49</v>
      </c>
      <c r="AT948" t="s">
        <v>71</v>
      </c>
      <c r="AU948">
        <v>0</v>
      </c>
      <c r="AV948">
        <v>0</v>
      </c>
    </row>
    <row r="949" spans="1:48" x14ac:dyDescent="0.25">
      <c r="A949" t="s">
        <v>3398</v>
      </c>
      <c r="B949" t="s">
        <v>73</v>
      </c>
      <c r="C949" t="s">
        <v>50</v>
      </c>
      <c r="D949">
        <v>440314.42489999998</v>
      </c>
      <c r="E949">
        <v>1827275.1608</v>
      </c>
      <c r="F949">
        <v>32.140999999999998</v>
      </c>
      <c r="G949" t="s">
        <v>3399</v>
      </c>
      <c r="H949" t="s">
        <v>52</v>
      </c>
      <c r="I949">
        <v>32.140999999999998</v>
      </c>
      <c r="J949" t="s">
        <v>53</v>
      </c>
      <c r="K949">
        <v>0</v>
      </c>
      <c r="L949" t="s">
        <v>343</v>
      </c>
      <c r="M949" t="s">
        <v>3069</v>
      </c>
      <c r="N949">
        <v>-7.4999999999999997E-2</v>
      </c>
      <c r="O949" t="s">
        <v>56</v>
      </c>
      <c r="P949" t="s">
        <v>57</v>
      </c>
      <c r="Q949" t="s">
        <v>59</v>
      </c>
      <c r="R949" t="s">
        <v>58</v>
      </c>
      <c r="S949" t="s">
        <v>3070</v>
      </c>
      <c r="T949" t="s">
        <v>61</v>
      </c>
      <c r="U949">
        <v>1.4673</v>
      </c>
      <c r="V949" t="s">
        <v>62</v>
      </c>
      <c r="W949">
        <v>0</v>
      </c>
      <c r="X949">
        <v>30.673999999999999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68</v>
      </c>
      <c r="AG949" t="s">
        <v>65</v>
      </c>
      <c r="AH949" t="s">
        <v>65</v>
      </c>
      <c r="AI949" t="s">
        <v>67</v>
      </c>
      <c r="AK949" t="s">
        <v>66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73</v>
      </c>
      <c r="AT949" t="s">
        <v>71</v>
      </c>
      <c r="AU949">
        <v>0</v>
      </c>
      <c r="AV949">
        <v>0</v>
      </c>
    </row>
    <row r="950" spans="1:48" x14ac:dyDescent="0.25">
      <c r="A950" t="s">
        <v>3400</v>
      </c>
      <c r="B950" t="s">
        <v>73</v>
      </c>
      <c r="C950" t="s">
        <v>50</v>
      </c>
      <c r="D950">
        <v>440314.42489999998</v>
      </c>
      <c r="E950">
        <v>1827295.1608</v>
      </c>
      <c r="F950">
        <v>32.085000000000001</v>
      </c>
      <c r="G950" t="s">
        <v>3401</v>
      </c>
      <c r="H950" t="s">
        <v>52</v>
      </c>
      <c r="I950">
        <v>32.085000000000001</v>
      </c>
      <c r="J950" t="s">
        <v>53</v>
      </c>
      <c r="K950">
        <v>0</v>
      </c>
      <c r="L950" t="s">
        <v>343</v>
      </c>
      <c r="M950" t="s">
        <v>3073</v>
      </c>
      <c r="N950">
        <v>-7.4999999999999997E-2</v>
      </c>
      <c r="O950" t="s">
        <v>56</v>
      </c>
      <c r="P950" t="s">
        <v>57</v>
      </c>
      <c r="Q950" t="s">
        <v>59</v>
      </c>
      <c r="R950" t="s">
        <v>58</v>
      </c>
      <c r="S950" t="s">
        <v>3074</v>
      </c>
      <c r="T950" t="s">
        <v>61</v>
      </c>
      <c r="U950">
        <v>1.4668000000000001</v>
      </c>
      <c r="V950" t="s">
        <v>62</v>
      </c>
      <c r="W950">
        <v>0</v>
      </c>
      <c r="X950">
        <v>30.617999999999999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68</v>
      </c>
      <c r="AG950" t="s">
        <v>65</v>
      </c>
      <c r="AH950" t="s">
        <v>65</v>
      </c>
      <c r="AI950" t="s">
        <v>67</v>
      </c>
      <c r="AK950" t="s">
        <v>66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73</v>
      </c>
      <c r="AT950" t="s">
        <v>71</v>
      </c>
      <c r="AU950">
        <v>0</v>
      </c>
      <c r="AV950">
        <v>0</v>
      </c>
    </row>
    <row r="951" spans="1:48" x14ac:dyDescent="0.25">
      <c r="A951" t="s">
        <v>3402</v>
      </c>
      <c r="B951" t="s">
        <v>73</v>
      </c>
      <c r="C951" t="s">
        <v>50</v>
      </c>
      <c r="D951">
        <v>440314.42489999998</v>
      </c>
      <c r="E951">
        <v>1827335.1608</v>
      </c>
      <c r="F951">
        <v>31.972000000000001</v>
      </c>
      <c r="G951" t="s">
        <v>3403</v>
      </c>
      <c r="H951" t="s">
        <v>52</v>
      </c>
      <c r="I951">
        <v>31.972000000000001</v>
      </c>
      <c r="J951" t="s">
        <v>53</v>
      </c>
      <c r="K951">
        <v>0</v>
      </c>
      <c r="L951" t="s">
        <v>343</v>
      </c>
      <c r="M951" t="s">
        <v>3081</v>
      </c>
      <c r="N951">
        <v>-7.4999999999999997E-2</v>
      </c>
      <c r="O951" t="s">
        <v>56</v>
      </c>
      <c r="P951" t="s">
        <v>57</v>
      </c>
      <c r="Q951" t="s">
        <v>59</v>
      </c>
      <c r="R951" t="s">
        <v>58</v>
      </c>
      <c r="S951" t="s">
        <v>3082</v>
      </c>
      <c r="T951" t="s">
        <v>61</v>
      </c>
      <c r="U951">
        <v>1.4669000000000001</v>
      </c>
      <c r="V951" t="s">
        <v>62</v>
      </c>
      <c r="W951">
        <v>0</v>
      </c>
      <c r="X951">
        <v>30.504999999999999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68</v>
      </c>
      <c r="AG951" t="s">
        <v>65</v>
      </c>
      <c r="AH951" t="s">
        <v>65</v>
      </c>
      <c r="AI951" t="s">
        <v>67</v>
      </c>
      <c r="AK951" t="s">
        <v>66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73</v>
      </c>
      <c r="AT951" t="s">
        <v>71</v>
      </c>
      <c r="AU951">
        <v>0</v>
      </c>
      <c r="AV951">
        <v>0</v>
      </c>
    </row>
    <row r="952" spans="1:48" x14ac:dyDescent="0.25">
      <c r="A952" t="s">
        <v>3404</v>
      </c>
      <c r="B952" t="s">
        <v>73</v>
      </c>
      <c r="C952" t="s">
        <v>50</v>
      </c>
      <c r="D952">
        <v>440314.42489999998</v>
      </c>
      <c r="E952">
        <v>1827355.1608</v>
      </c>
      <c r="F952">
        <v>31.914999999999999</v>
      </c>
      <c r="G952" t="s">
        <v>3405</v>
      </c>
      <c r="H952" t="s">
        <v>52</v>
      </c>
      <c r="I952">
        <v>31.914999999999999</v>
      </c>
      <c r="J952" t="s">
        <v>53</v>
      </c>
      <c r="K952">
        <v>0</v>
      </c>
      <c r="L952" t="s">
        <v>343</v>
      </c>
      <c r="M952" t="s">
        <v>3085</v>
      </c>
      <c r="N952">
        <v>-7.4999999999999997E-2</v>
      </c>
      <c r="O952" t="s">
        <v>56</v>
      </c>
      <c r="P952" t="s">
        <v>57</v>
      </c>
      <c r="Q952" t="s">
        <v>59</v>
      </c>
      <c r="R952" t="s">
        <v>58</v>
      </c>
      <c r="S952" t="s">
        <v>3406</v>
      </c>
      <c r="T952" t="s">
        <v>61</v>
      </c>
      <c r="U952">
        <v>1.5753999999999999</v>
      </c>
      <c r="V952" t="s">
        <v>62</v>
      </c>
      <c r="W952">
        <v>0</v>
      </c>
      <c r="X952">
        <v>30.34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68</v>
      </c>
      <c r="AG952" t="s">
        <v>65</v>
      </c>
      <c r="AH952" t="s">
        <v>65</v>
      </c>
      <c r="AI952" t="s">
        <v>67</v>
      </c>
      <c r="AK952" t="s">
        <v>66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73</v>
      </c>
      <c r="AT952" t="s">
        <v>71</v>
      </c>
      <c r="AU952">
        <v>0</v>
      </c>
      <c r="AV952">
        <v>0</v>
      </c>
    </row>
    <row r="953" spans="1:48" x14ac:dyDescent="0.25">
      <c r="A953" t="s">
        <v>3407</v>
      </c>
      <c r="B953" t="s">
        <v>2070</v>
      </c>
      <c r="C953" t="s">
        <v>50</v>
      </c>
      <c r="D953">
        <v>440314.38679999998</v>
      </c>
      <c r="E953">
        <v>1827375.1236</v>
      </c>
      <c r="F953">
        <v>31.738</v>
      </c>
      <c r="G953" t="s">
        <v>3408</v>
      </c>
      <c r="H953" t="s">
        <v>52</v>
      </c>
      <c r="I953">
        <v>31.738</v>
      </c>
      <c r="J953" t="s">
        <v>53</v>
      </c>
      <c r="K953">
        <v>0</v>
      </c>
      <c r="L953" t="s">
        <v>3089</v>
      </c>
      <c r="M953" t="s">
        <v>3409</v>
      </c>
      <c r="N953">
        <v>-0.05</v>
      </c>
      <c r="O953" t="s">
        <v>56</v>
      </c>
      <c r="P953" t="s">
        <v>57</v>
      </c>
      <c r="Q953" t="s">
        <v>109</v>
      </c>
      <c r="R953" t="s">
        <v>59</v>
      </c>
      <c r="S953" t="s">
        <v>3410</v>
      </c>
      <c r="T953" t="s">
        <v>61</v>
      </c>
      <c r="U953">
        <v>2.0451999999999999</v>
      </c>
      <c r="V953" t="s">
        <v>62</v>
      </c>
      <c r="W953">
        <v>0</v>
      </c>
      <c r="X953">
        <v>29.693000000000001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66</v>
      </c>
      <c r="AG953" t="s">
        <v>65</v>
      </c>
      <c r="AH953" t="s">
        <v>65</v>
      </c>
      <c r="AI953" t="s">
        <v>67</v>
      </c>
      <c r="AK953" t="s">
        <v>111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125</v>
      </c>
      <c r="AT953" t="s">
        <v>71</v>
      </c>
      <c r="AU953">
        <v>0</v>
      </c>
      <c r="AV953">
        <v>0</v>
      </c>
    </row>
    <row r="954" spans="1:48" x14ac:dyDescent="0.25">
      <c r="A954" t="s">
        <v>3411</v>
      </c>
      <c r="B954" t="s">
        <v>125</v>
      </c>
      <c r="C954" t="s">
        <v>50</v>
      </c>
      <c r="D954">
        <v>440314.34989999997</v>
      </c>
      <c r="E954">
        <v>1827384.3986</v>
      </c>
      <c r="F954">
        <v>31.873999999999999</v>
      </c>
      <c r="G954" t="s">
        <v>3412</v>
      </c>
      <c r="H954" t="s">
        <v>52</v>
      </c>
      <c r="I954">
        <v>31.873999999999999</v>
      </c>
      <c r="J954" t="s">
        <v>53</v>
      </c>
      <c r="K954">
        <v>0</v>
      </c>
      <c r="L954" t="s">
        <v>54</v>
      </c>
      <c r="M954" t="s">
        <v>3413</v>
      </c>
      <c r="N954">
        <v>-0.125</v>
      </c>
      <c r="O954" t="s">
        <v>56</v>
      </c>
      <c r="P954" t="s">
        <v>57</v>
      </c>
      <c r="Q954" t="s">
        <v>109</v>
      </c>
      <c r="R954" t="s">
        <v>59</v>
      </c>
      <c r="S954" t="s">
        <v>3414</v>
      </c>
      <c r="T954" t="s">
        <v>61</v>
      </c>
      <c r="U954">
        <v>2.34</v>
      </c>
      <c r="V954" t="s">
        <v>62</v>
      </c>
      <c r="W954">
        <v>0</v>
      </c>
      <c r="X954">
        <v>29.533999999999999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66</v>
      </c>
      <c r="AG954" t="s">
        <v>65</v>
      </c>
      <c r="AH954" t="s">
        <v>65</v>
      </c>
      <c r="AI954" t="s">
        <v>67</v>
      </c>
      <c r="AK954" t="s">
        <v>111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125</v>
      </c>
      <c r="AT954" t="s">
        <v>71</v>
      </c>
      <c r="AU954">
        <v>0</v>
      </c>
      <c r="AV954">
        <v>0</v>
      </c>
    </row>
    <row r="955" spans="1:48" x14ac:dyDescent="0.25">
      <c r="A955" t="s">
        <v>3415</v>
      </c>
      <c r="B955" t="s">
        <v>49</v>
      </c>
      <c r="C955" t="s">
        <v>50</v>
      </c>
      <c r="D955">
        <v>440330.42509999999</v>
      </c>
      <c r="E955">
        <v>1827384.4486</v>
      </c>
      <c r="F955">
        <v>31.777000000000001</v>
      </c>
      <c r="G955" t="s">
        <v>3416</v>
      </c>
      <c r="H955" t="s">
        <v>52</v>
      </c>
      <c r="I955">
        <v>31.777000000000001</v>
      </c>
      <c r="J955" t="s">
        <v>53</v>
      </c>
      <c r="K955">
        <v>0</v>
      </c>
      <c r="L955" t="s">
        <v>54</v>
      </c>
      <c r="M955" t="s">
        <v>1444</v>
      </c>
      <c r="N955">
        <v>-7.4999999999999997E-2</v>
      </c>
      <c r="O955" t="s">
        <v>56</v>
      </c>
      <c r="P955" t="s">
        <v>57</v>
      </c>
      <c r="Q955" t="s">
        <v>58</v>
      </c>
      <c r="R955" t="s">
        <v>59</v>
      </c>
      <c r="S955" t="s">
        <v>3417</v>
      </c>
      <c r="T955" t="s">
        <v>61</v>
      </c>
      <c r="U955">
        <v>2.2660999999999998</v>
      </c>
      <c r="V955" t="s">
        <v>62</v>
      </c>
      <c r="W955">
        <v>0</v>
      </c>
      <c r="X955">
        <v>29.510999999999999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66</v>
      </c>
      <c r="AG955" t="s">
        <v>65</v>
      </c>
      <c r="AH955" t="s">
        <v>65</v>
      </c>
      <c r="AI955" t="s">
        <v>67</v>
      </c>
      <c r="AK955" t="s">
        <v>68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49</v>
      </c>
      <c r="AT955" t="s">
        <v>71</v>
      </c>
      <c r="AU955">
        <v>0</v>
      </c>
      <c r="AV955">
        <v>0</v>
      </c>
    </row>
    <row r="956" spans="1:48" x14ac:dyDescent="0.25">
      <c r="A956" t="s">
        <v>3418</v>
      </c>
      <c r="B956" t="s">
        <v>49</v>
      </c>
      <c r="C956" t="s">
        <v>50</v>
      </c>
      <c r="D956">
        <v>440350.42509999999</v>
      </c>
      <c r="E956">
        <v>1827384.4486</v>
      </c>
      <c r="F956">
        <v>31.655000000000001</v>
      </c>
      <c r="G956" t="s">
        <v>3419</v>
      </c>
      <c r="H956" t="s">
        <v>52</v>
      </c>
      <c r="I956">
        <v>31.655000000000001</v>
      </c>
      <c r="J956" t="s">
        <v>53</v>
      </c>
      <c r="K956">
        <v>0</v>
      </c>
      <c r="L956" t="s">
        <v>54</v>
      </c>
      <c r="M956" t="s">
        <v>525</v>
      </c>
      <c r="N956">
        <v>-7.4999999999999997E-2</v>
      </c>
      <c r="O956" t="s">
        <v>56</v>
      </c>
      <c r="P956" t="s">
        <v>57</v>
      </c>
      <c r="Q956" t="s">
        <v>58</v>
      </c>
      <c r="R956" t="s">
        <v>59</v>
      </c>
      <c r="S956" t="s">
        <v>3420</v>
      </c>
      <c r="T956" t="s">
        <v>61</v>
      </c>
      <c r="U956">
        <v>2.2433000000000001</v>
      </c>
      <c r="V956" t="s">
        <v>62</v>
      </c>
      <c r="W956">
        <v>0</v>
      </c>
      <c r="X956">
        <v>29.411999999999999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66</v>
      </c>
      <c r="AG956" t="s">
        <v>65</v>
      </c>
      <c r="AH956" t="s">
        <v>65</v>
      </c>
      <c r="AI956" t="s">
        <v>67</v>
      </c>
      <c r="AK956" t="s">
        <v>68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49</v>
      </c>
      <c r="AT956" t="s">
        <v>71</v>
      </c>
      <c r="AU956">
        <v>0</v>
      </c>
      <c r="AV956">
        <v>0</v>
      </c>
    </row>
    <row r="957" spans="1:48" x14ac:dyDescent="0.25">
      <c r="A957" t="s">
        <v>3421</v>
      </c>
      <c r="B957" t="s">
        <v>49</v>
      </c>
      <c r="C957" t="s">
        <v>50</v>
      </c>
      <c r="D957">
        <v>440387.64370000002</v>
      </c>
      <c r="E957">
        <v>1827384.4486</v>
      </c>
      <c r="F957">
        <v>31.202999999999999</v>
      </c>
      <c r="G957" t="s">
        <v>3422</v>
      </c>
      <c r="H957" t="s">
        <v>52</v>
      </c>
      <c r="I957">
        <v>31.202999999999999</v>
      </c>
      <c r="J957" t="s">
        <v>53</v>
      </c>
      <c r="K957">
        <v>0</v>
      </c>
      <c r="L957" t="s">
        <v>54</v>
      </c>
      <c r="M957" t="s">
        <v>3423</v>
      </c>
      <c r="N957">
        <v>-7.4999999999999997E-2</v>
      </c>
      <c r="O957" t="s">
        <v>56</v>
      </c>
      <c r="P957" t="s">
        <v>57</v>
      </c>
      <c r="Q957" t="s">
        <v>58</v>
      </c>
      <c r="R957" t="s">
        <v>59</v>
      </c>
      <c r="S957" t="s">
        <v>3424</v>
      </c>
      <c r="T957" t="s">
        <v>61</v>
      </c>
      <c r="U957">
        <v>2.1566000000000001</v>
      </c>
      <c r="V957" t="s">
        <v>62</v>
      </c>
      <c r="W957">
        <v>0</v>
      </c>
      <c r="X957">
        <v>29.045999999999999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66</v>
      </c>
      <c r="AG957" t="s">
        <v>65</v>
      </c>
      <c r="AH957" t="s">
        <v>65</v>
      </c>
      <c r="AI957" t="s">
        <v>67</v>
      </c>
      <c r="AK957" t="s">
        <v>68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49</v>
      </c>
      <c r="AT957" t="s">
        <v>71</v>
      </c>
      <c r="AU957">
        <v>0</v>
      </c>
      <c r="AV957">
        <v>0</v>
      </c>
    </row>
    <row r="958" spans="1:48" x14ac:dyDescent="0.25">
      <c r="A958" t="s">
        <v>3425</v>
      </c>
      <c r="B958" t="s">
        <v>49</v>
      </c>
      <c r="C958" t="s">
        <v>50</v>
      </c>
      <c r="D958">
        <v>440410.42509999999</v>
      </c>
      <c r="E958">
        <v>1827384.4486</v>
      </c>
      <c r="F958">
        <v>31.29</v>
      </c>
      <c r="G958" t="s">
        <v>3426</v>
      </c>
      <c r="H958" t="s">
        <v>52</v>
      </c>
      <c r="I958">
        <v>31.29</v>
      </c>
      <c r="J958" t="s">
        <v>53</v>
      </c>
      <c r="K958">
        <v>0</v>
      </c>
      <c r="L958" t="s">
        <v>54</v>
      </c>
      <c r="M958" t="s">
        <v>420</v>
      </c>
      <c r="N958">
        <v>-7.4999999999999997E-2</v>
      </c>
      <c r="O958" t="s">
        <v>56</v>
      </c>
      <c r="P958" t="s">
        <v>57</v>
      </c>
      <c r="Q958" t="s">
        <v>58</v>
      </c>
      <c r="R958" t="s">
        <v>59</v>
      </c>
      <c r="S958" t="s">
        <v>3427</v>
      </c>
      <c r="T958" t="s">
        <v>61</v>
      </c>
      <c r="U958">
        <v>2.266</v>
      </c>
      <c r="V958" t="s">
        <v>62</v>
      </c>
      <c r="W958">
        <v>0</v>
      </c>
      <c r="X958">
        <v>29.024000000000001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66</v>
      </c>
      <c r="AG958" t="s">
        <v>65</v>
      </c>
      <c r="AH958" t="s">
        <v>65</v>
      </c>
      <c r="AI958" t="s">
        <v>67</v>
      </c>
      <c r="AK958" t="s">
        <v>68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49</v>
      </c>
      <c r="AT958" t="s">
        <v>71</v>
      </c>
      <c r="AU958">
        <v>0</v>
      </c>
      <c r="AV958">
        <v>0</v>
      </c>
    </row>
    <row r="959" spans="1:48" x14ac:dyDescent="0.25">
      <c r="A959" t="s">
        <v>3428</v>
      </c>
      <c r="B959" t="s">
        <v>49</v>
      </c>
      <c r="C959" t="s">
        <v>50</v>
      </c>
      <c r="D959">
        <v>440430.42509999999</v>
      </c>
      <c r="E959">
        <v>1827384.4486</v>
      </c>
      <c r="F959">
        <v>31.167999999999999</v>
      </c>
      <c r="G959" t="s">
        <v>3429</v>
      </c>
      <c r="H959" t="s">
        <v>52</v>
      </c>
      <c r="I959">
        <v>31.167999999999999</v>
      </c>
      <c r="J959" t="s">
        <v>53</v>
      </c>
      <c r="K959">
        <v>0</v>
      </c>
      <c r="L959" t="s">
        <v>54</v>
      </c>
      <c r="M959" s="1" t="s">
        <v>424</v>
      </c>
      <c r="N959">
        <v>-7.4999999999999997E-2</v>
      </c>
      <c r="O959" t="s">
        <v>56</v>
      </c>
      <c r="P959" t="s">
        <v>57</v>
      </c>
      <c r="Q959" t="s">
        <v>58</v>
      </c>
      <c r="R959" t="s">
        <v>59</v>
      </c>
      <c r="S959" t="s">
        <v>3430</v>
      </c>
      <c r="T959" t="s">
        <v>61</v>
      </c>
      <c r="U959">
        <v>2.2662</v>
      </c>
      <c r="V959" t="s">
        <v>62</v>
      </c>
      <c r="W959">
        <v>0</v>
      </c>
      <c r="X959">
        <v>28.902000000000001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66</v>
      </c>
      <c r="AG959" t="s">
        <v>65</v>
      </c>
      <c r="AH959" t="s">
        <v>65</v>
      </c>
      <c r="AI959" t="s">
        <v>67</v>
      </c>
      <c r="AK959" t="s">
        <v>68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49</v>
      </c>
      <c r="AT959" t="s">
        <v>71</v>
      </c>
      <c r="AU959">
        <v>0</v>
      </c>
      <c r="AV959">
        <v>0</v>
      </c>
    </row>
    <row r="960" spans="1:48" x14ac:dyDescent="0.25">
      <c r="A960" t="s">
        <v>3431</v>
      </c>
      <c r="B960" t="s">
        <v>49</v>
      </c>
      <c r="C960" t="s">
        <v>50</v>
      </c>
      <c r="D960">
        <v>440450.42509999999</v>
      </c>
      <c r="E960">
        <v>1827384.4486</v>
      </c>
      <c r="F960">
        <v>31.045999999999999</v>
      </c>
      <c r="G960" t="s">
        <v>3432</v>
      </c>
      <c r="H960" t="s">
        <v>52</v>
      </c>
      <c r="I960">
        <v>31.045999999999999</v>
      </c>
      <c r="J960" t="s">
        <v>53</v>
      </c>
      <c r="K960">
        <v>0</v>
      </c>
      <c r="L960" t="s">
        <v>54</v>
      </c>
      <c r="M960" t="s">
        <v>428</v>
      </c>
      <c r="N960">
        <v>-7.4999999999999997E-2</v>
      </c>
      <c r="O960" t="s">
        <v>56</v>
      </c>
      <c r="P960" t="s">
        <v>57</v>
      </c>
      <c r="Q960" t="s">
        <v>58</v>
      </c>
      <c r="R960" t="s">
        <v>59</v>
      </c>
      <c r="S960" t="s">
        <v>3433</v>
      </c>
      <c r="T960" t="s">
        <v>61</v>
      </c>
      <c r="U960">
        <v>2.2654000000000001</v>
      </c>
      <c r="V960" t="s">
        <v>62</v>
      </c>
      <c r="W960">
        <v>0</v>
      </c>
      <c r="X960">
        <v>28.780999999999999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66</v>
      </c>
      <c r="AG960" t="s">
        <v>65</v>
      </c>
      <c r="AH960" t="s">
        <v>65</v>
      </c>
      <c r="AI960" t="s">
        <v>67</v>
      </c>
      <c r="AK960" t="s">
        <v>68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49</v>
      </c>
      <c r="AT960" t="s">
        <v>71</v>
      </c>
      <c r="AU960">
        <v>0</v>
      </c>
      <c r="AV960">
        <v>0</v>
      </c>
    </row>
    <row r="961" spans="1:48" x14ac:dyDescent="0.25">
      <c r="A961" t="s">
        <v>3434</v>
      </c>
      <c r="B961" t="s">
        <v>49</v>
      </c>
      <c r="C961" t="s">
        <v>50</v>
      </c>
      <c r="D961">
        <v>440470.42509999999</v>
      </c>
      <c r="E961">
        <v>1827384.4486</v>
      </c>
      <c r="F961">
        <v>30.925000000000001</v>
      </c>
      <c r="G961" t="s">
        <v>3435</v>
      </c>
      <c r="H961" t="s">
        <v>52</v>
      </c>
      <c r="I961">
        <v>30.925000000000001</v>
      </c>
      <c r="J961" t="s">
        <v>53</v>
      </c>
      <c r="K961">
        <v>0</v>
      </c>
      <c r="L961" t="s">
        <v>54</v>
      </c>
      <c r="M961" t="s">
        <v>432</v>
      </c>
      <c r="N961">
        <v>-7.4999999999999997E-2</v>
      </c>
      <c r="O961" t="s">
        <v>56</v>
      </c>
      <c r="P961" t="s">
        <v>57</v>
      </c>
      <c r="Q961" t="s">
        <v>58</v>
      </c>
      <c r="R961" t="s">
        <v>59</v>
      </c>
      <c r="S961" t="s">
        <v>3436</v>
      </c>
      <c r="T961" t="s">
        <v>61</v>
      </c>
      <c r="U961">
        <v>2.2656999999999998</v>
      </c>
      <c r="V961" t="s">
        <v>62</v>
      </c>
      <c r="W961">
        <v>0</v>
      </c>
      <c r="X961">
        <v>28.658999999999999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66</v>
      </c>
      <c r="AG961" t="s">
        <v>65</v>
      </c>
      <c r="AH961" t="s">
        <v>65</v>
      </c>
      <c r="AI961" t="s">
        <v>67</v>
      </c>
      <c r="AK961" t="s">
        <v>68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49</v>
      </c>
      <c r="AT961" t="s">
        <v>71</v>
      </c>
      <c r="AU961">
        <v>0</v>
      </c>
      <c r="AV961">
        <v>0</v>
      </c>
    </row>
    <row r="962" spans="1:48" x14ac:dyDescent="0.25">
      <c r="A962" t="s">
        <v>3437</v>
      </c>
      <c r="B962" t="s">
        <v>49</v>
      </c>
      <c r="C962" t="s">
        <v>50</v>
      </c>
      <c r="D962">
        <v>440490.42509999999</v>
      </c>
      <c r="E962">
        <v>1827384.4486</v>
      </c>
      <c r="F962">
        <v>30.803000000000001</v>
      </c>
      <c r="G962" t="s">
        <v>3438</v>
      </c>
      <c r="H962" t="s">
        <v>52</v>
      </c>
      <c r="I962">
        <v>30.803000000000001</v>
      </c>
      <c r="J962" t="s">
        <v>53</v>
      </c>
      <c r="K962">
        <v>0</v>
      </c>
      <c r="L962" t="s">
        <v>54</v>
      </c>
      <c r="M962" t="s">
        <v>597</v>
      </c>
      <c r="N962">
        <v>-7.4999999999999997E-2</v>
      </c>
      <c r="O962" t="s">
        <v>56</v>
      </c>
      <c r="P962" t="s">
        <v>57</v>
      </c>
      <c r="Q962" t="s">
        <v>58</v>
      </c>
      <c r="R962" t="s">
        <v>59</v>
      </c>
      <c r="S962" t="s">
        <v>3439</v>
      </c>
      <c r="T962" t="s">
        <v>61</v>
      </c>
      <c r="U962">
        <v>2.2658999999999998</v>
      </c>
      <c r="V962" t="s">
        <v>62</v>
      </c>
      <c r="W962">
        <v>0</v>
      </c>
      <c r="X962">
        <v>28.536999999999999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66</v>
      </c>
      <c r="AG962" t="s">
        <v>65</v>
      </c>
      <c r="AH962" t="s">
        <v>65</v>
      </c>
      <c r="AI962" t="s">
        <v>67</v>
      </c>
      <c r="AK962" t="s">
        <v>68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49</v>
      </c>
      <c r="AT962" t="s">
        <v>71</v>
      </c>
      <c r="AU962">
        <v>0</v>
      </c>
      <c r="AV962">
        <v>0</v>
      </c>
    </row>
    <row r="963" spans="1:48" x14ac:dyDescent="0.25">
      <c r="A963" t="s">
        <v>3440</v>
      </c>
      <c r="B963" t="s">
        <v>49</v>
      </c>
      <c r="C963" t="s">
        <v>50</v>
      </c>
      <c r="D963">
        <v>440510.42509999999</v>
      </c>
      <c r="E963">
        <v>1827384.4486</v>
      </c>
      <c r="F963">
        <v>30.681000000000001</v>
      </c>
      <c r="G963" t="s">
        <v>3441</v>
      </c>
      <c r="H963" t="s">
        <v>52</v>
      </c>
      <c r="I963">
        <v>30.681000000000001</v>
      </c>
      <c r="J963" t="s">
        <v>53</v>
      </c>
      <c r="K963">
        <v>0</v>
      </c>
      <c r="L963" t="s">
        <v>54</v>
      </c>
      <c r="M963" t="s">
        <v>440</v>
      </c>
      <c r="N963">
        <v>-7.4999999999999997E-2</v>
      </c>
      <c r="O963" t="s">
        <v>56</v>
      </c>
      <c r="P963" t="s">
        <v>57</v>
      </c>
      <c r="Q963" t="s">
        <v>58</v>
      </c>
      <c r="R963" t="s">
        <v>59</v>
      </c>
      <c r="S963" t="s">
        <v>3442</v>
      </c>
      <c r="T963" t="s">
        <v>61</v>
      </c>
      <c r="U963">
        <v>2.2660999999999998</v>
      </c>
      <c r="V963" t="s">
        <v>62</v>
      </c>
      <c r="W963">
        <v>0</v>
      </c>
      <c r="X963">
        <v>28.414999999999999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66</v>
      </c>
      <c r="AG963" t="s">
        <v>65</v>
      </c>
      <c r="AH963" t="s">
        <v>65</v>
      </c>
      <c r="AI963" t="s">
        <v>67</v>
      </c>
      <c r="AK963" t="s">
        <v>68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49</v>
      </c>
      <c r="AT963" t="s">
        <v>71</v>
      </c>
      <c r="AU963">
        <v>0</v>
      </c>
      <c r="AV963">
        <v>0</v>
      </c>
    </row>
    <row r="964" spans="1:48" x14ac:dyDescent="0.25">
      <c r="A964" t="s">
        <v>3443</v>
      </c>
      <c r="B964" t="s">
        <v>49</v>
      </c>
      <c r="C964" t="s">
        <v>50</v>
      </c>
      <c r="D964">
        <v>440530.42509999999</v>
      </c>
      <c r="E964">
        <v>1827384.4486</v>
      </c>
      <c r="F964">
        <v>30.559000000000001</v>
      </c>
      <c r="G964" t="s">
        <v>3444</v>
      </c>
      <c r="H964" t="s">
        <v>52</v>
      </c>
      <c r="I964">
        <v>30.559000000000001</v>
      </c>
      <c r="J964" t="s">
        <v>53</v>
      </c>
      <c r="K964">
        <v>0</v>
      </c>
      <c r="L964" t="s">
        <v>54</v>
      </c>
      <c r="M964" t="s">
        <v>444</v>
      </c>
      <c r="N964">
        <v>-7.4999999999999997E-2</v>
      </c>
      <c r="O964" t="s">
        <v>56</v>
      </c>
      <c r="P964" t="s">
        <v>57</v>
      </c>
      <c r="Q964" t="s">
        <v>58</v>
      </c>
      <c r="R964" t="s">
        <v>59</v>
      </c>
      <c r="S964" t="s">
        <v>3445</v>
      </c>
      <c r="T964" t="s">
        <v>61</v>
      </c>
      <c r="U964">
        <v>2.2663000000000002</v>
      </c>
      <c r="V964" t="s">
        <v>62</v>
      </c>
      <c r="W964">
        <v>0</v>
      </c>
      <c r="X964">
        <v>28.292999999999999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66</v>
      </c>
      <c r="AG964" t="s">
        <v>65</v>
      </c>
      <c r="AH964" t="s">
        <v>65</v>
      </c>
      <c r="AI964" t="s">
        <v>67</v>
      </c>
      <c r="AK964" t="s">
        <v>68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49</v>
      </c>
      <c r="AT964" t="s">
        <v>71</v>
      </c>
      <c r="AU964">
        <v>0</v>
      </c>
      <c r="AV964">
        <v>0</v>
      </c>
    </row>
    <row r="965" spans="1:48" x14ac:dyDescent="0.25">
      <c r="A965" t="s">
        <v>3446</v>
      </c>
      <c r="B965" t="s">
        <v>49</v>
      </c>
      <c r="C965" t="s">
        <v>50</v>
      </c>
      <c r="D965">
        <v>440550.42509999999</v>
      </c>
      <c r="E965">
        <v>1827384.4486</v>
      </c>
      <c r="F965">
        <v>30.437999999999999</v>
      </c>
      <c r="G965" t="s">
        <v>3447</v>
      </c>
      <c r="H965" t="s">
        <v>52</v>
      </c>
      <c r="I965">
        <v>30.437999999999999</v>
      </c>
      <c r="J965" t="s">
        <v>53</v>
      </c>
      <c r="K965">
        <v>0</v>
      </c>
      <c r="L965" t="s">
        <v>54</v>
      </c>
      <c r="M965" t="s">
        <v>448</v>
      </c>
      <c r="N965">
        <v>-7.4999999999999997E-2</v>
      </c>
      <c r="O965" t="s">
        <v>56</v>
      </c>
      <c r="P965" t="s">
        <v>57</v>
      </c>
      <c r="Q965" t="s">
        <v>58</v>
      </c>
      <c r="R965" t="s">
        <v>59</v>
      </c>
      <c r="S965" t="s">
        <v>3448</v>
      </c>
      <c r="T965" t="s">
        <v>61</v>
      </c>
      <c r="U965">
        <v>2.2654999999999998</v>
      </c>
      <c r="V965" t="s">
        <v>62</v>
      </c>
      <c r="W965">
        <v>0</v>
      </c>
      <c r="X965">
        <v>28.172000000000001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66</v>
      </c>
      <c r="AG965" t="s">
        <v>65</v>
      </c>
      <c r="AH965" t="s">
        <v>65</v>
      </c>
      <c r="AI965" t="s">
        <v>67</v>
      </c>
      <c r="AK965" t="s">
        <v>68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49</v>
      </c>
      <c r="AT965" t="s">
        <v>71</v>
      </c>
      <c r="AU965">
        <v>0</v>
      </c>
      <c r="AV965">
        <v>0</v>
      </c>
    </row>
    <row r="966" spans="1:48" x14ac:dyDescent="0.25">
      <c r="A966" t="s">
        <v>3449</v>
      </c>
      <c r="B966" t="s">
        <v>49</v>
      </c>
      <c r="C966" t="s">
        <v>50</v>
      </c>
      <c r="D966">
        <v>440570.42509999999</v>
      </c>
      <c r="E966">
        <v>1827384.4486</v>
      </c>
      <c r="F966">
        <v>30.315999999999999</v>
      </c>
      <c r="G966" t="s">
        <v>3450</v>
      </c>
      <c r="H966" t="s">
        <v>52</v>
      </c>
      <c r="I966">
        <v>30.315999999999999</v>
      </c>
      <c r="J966" t="s">
        <v>53</v>
      </c>
      <c r="K966">
        <v>0</v>
      </c>
      <c r="L966" t="s">
        <v>54</v>
      </c>
      <c r="M966" t="s">
        <v>452</v>
      </c>
      <c r="N966">
        <v>-7.4999999999999997E-2</v>
      </c>
      <c r="O966" t="s">
        <v>56</v>
      </c>
      <c r="P966" t="s">
        <v>57</v>
      </c>
      <c r="Q966" t="s">
        <v>58</v>
      </c>
      <c r="R966" t="s">
        <v>59</v>
      </c>
      <c r="S966" t="s">
        <v>3451</v>
      </c>
      <c r="T966" t="s">
        <v>61</v>
      </c>
      <c r="U966">
        <v>2.4658000000000002</v>
      </c>
      <c r="V966" t="s">
        <v>62</v>
      </c>
      <c r="W966">
        <v>0</v>
      </c>
      <c r="X966">
        <v>27.85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66</v>
      </c>
      <c r="AG966" t="s">
        <v>65</v>
      </c>
      <c r="AH966" t="s">
        <v>65</v>
      </c>
      <c r="AI966" t="s">
        <v>67</v>
      </c>
      <c r="AK966" t="s">
        <v>68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49</v>
      </c>
      <c r="AT966" t="s">
        <v>71</v>
      </c>
      <c r="AU966">
        <v>0</v>
      </c>
      <c r="AV966">
        <v>0</v>
      </c>
    </row>
    <row r="967" spans="1:48" x14ac:dyDescent="0.25">
      <c r="A967" t="s">
        <v>3452</v>
      </c>
      <c r="B967" t="s">
        <v>49</v>
      </c>
      <c r="C967" t="s">
        <v>50</v>
      </c>
      <c r="D967">
        <v>440586.00750000001</v>
      </c>
      <c r="E967">
        <v>1827384.4486</v>
      </c>
      <c r="F967">
        <v>30.004000000000001</v>
      </c>
      <c r="G967" t="s">
        <v>3453</v>
      </c>
      <c r="H967" t="s">
        <v>52</v>
      </c>
      <c r="I967">
        <v>30.004000000000001</v>
      </c>
      <c r="J967" t="s">
        <v>53</v>
      </c>
      <c r="K967">
        <v>0</v>
      </c>
      <c r="L967" t="s">
        <v>54</v>
      </c>
      <c r="M967" t="s">
        <v>3454</v>
      </c>
      <c r="N967">
        <v>-7.4999999999999997E-2</v>
      </c>
      <c r="O967" t="s">
        <v>56</v>
      </c>
      <c r="P967" t="s">
        <v>57</v>
      </c>
      <c r="Q967" t="s">
        <v>58</v>
      </c>
      <c r="R967" t="s">
        <v>59</v>
      </c>
      <c r="S967" t="s">
        <v>3455</v>
      </c>
      <c r="T967" t="s">
        <v>61</v>
      </c>
      <c r="U967">
        <v>2.2008000000000001</v>
      </c>
      <c r="V967" t="s">
        <v>62</v>
      </c>
      <c r="W967">
        <v>0</v>
      </c>
      <c r="X967">
        <v>27.803000000000001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66</v>
      </c>
      <c r="AG967" t="s">
        <v>65</v>
      </c>
      <c r="AH967" t="s">
        <v>65</v>
      </c>
      <c r="AI967" t="s">
        <v>67</v>
      </c>
      <c r="AK967" t="s">
        <v>68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49</v>
      </c>
      <c r="AT967" t="s">
        <v>71</v>
      </c>
      <c r="AU967">
        <v>0</v>
      </c>
      <c r="AV967">
        <v>0</v>
      </c>
    </row>
    <row r="968" spans="1:48" x14ac:dyDescent="0.25">
      <c r="A968" t="s">
        <v>3456</v>
      </c>
      <c r="B968" t="s">
        <v>105</v>
      </c>
      <c r="C968" t="s">
        <v>50</v>
      </c>
      <c r="D968">
        <v>440398.2501</v>
      </c>
      <c r="E968">
        <v>1827415.7542999999</v>
      </c>
      <c r="F968">
        <v>31.068000000000001</v>
      </c>
      <c r="G968" t="s">
        <v>3457</v>
      </c>
      <c r="H968" t="s">
        <v>52</v>
      </c>
      <c r="I968">
        <v>31.068000000000001</v>
      </c>
      <c r="J968" t="s">
        <v>53</v>
      </c>
      <c r="K968">
        <v>0</v>
      </c>
      <c r="L968" t="s">
        <v>107</v>
      </c>
      <c r="M968" t="s">
        <v>3458</v>
      </c>
      <c r="N968">
        <v>0.2248</v>
      </c>
      <c r="O968" t="s">
        <v>56</v>
      </c>
      <c r="P968" t="s">
        <v>57</v>
      </c>
      <c r="Q968" t="s">
        <v>59</v>
      </c>
      <c r="R968" t="s">
        <v>109</v>
      </c>
      <c r="S968" t="s">
        <v>1776</v>
      </c>
      <c r="T968" t="s">
        <v>61</v>
      </c>
      <c r="U968">
        <v>1.5138</v>
      </c>
      <c r="V968" t="s">
        <v>62</v>
      </c>
      <c r="W968">
        <v>0</v>
      </c>
      <c r="X968">
        <v>29.553999999999998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111</v>
      </c>
      <c r="AG968" t="s">
        <v>65</v>
      </c>
      <c r="AH968" t="s">
        <v>65</v>
      </c>
      <c r="AI968" t="s">
        <v>67</v>
      </c>
      <c r="AK968" t="s">
        <v>66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105</v>
      </c>
      <c r="AT968" t="s">
        <v>71</v>
      </c>
      <c r="AU968">
        <v>0</v>
      </c>
      <c r="AV968">
        <v>0</v>
      </c>
    </row>
    <row r="969" spans="1:48" x14ac:dyDescent="0.25">
      <c r="A969" t="s">
        <v>3459</v>
      </c>
      <c r="B969" t="s">
        <v>105</v>
      </c>
      <c r="C969" t="s">
        <v>50</v>
      </c>
      <c r="D969">
        <v>440398.2501</v>
      </c>
      <c r="E969">
        <v>1827449.7609000001</v>
      </c>
      <c r="F969">
        <v>31.064</v>
      </c>
      <c r="G969" t="s">
        <v>3460</v>
      </c>
      <c r="H969" t="s">
        <v>52</v>
      </c>
      <c r="I969">
        <v>31.064</v>
      </c>
      <c r="J969" t="s">
        <v>53</v>
      </c>
      <c r="K969">
        <v>0</v>
      </c>
      <c r="L969" t="s">
        <v>107</v>
      </c>
      <c r="M969" t="s">
        <v>824</v>
      </c>
      <c r="N969">
        <v>0.2248</v>
      </c>
      <c r="O969" t="s">
        <v>56</v>
      </c>
      <c r="P969" t="s">
        <v>57</v>
      </c>
      <c r="Q969" t="s">
        <v>59</v>
      </c>
      <c r="R969" t="s">
        <v>109</v>
      </c>
      <c r="S969" t="s">
        <v>3461</v>
      </c>
      <c r="T969" t="s">
        <v>61</v>
      </c>
      <c r="U969">
        <v>1.5346</v>
      </c>
      <c r="V969" t="s">
        <v>62</v>
      </c>
      <c r="W969">
        <v>0</v>
      </c>
      <c r="X969">
        <v>29.529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111</v>
      </c>
      <c r="AG969" t="s">
        <v>65</v>
      </c>
      <c r="AH969" t="s">
        <v>65</v>
      </c>
      <c r="AI969" t="s">
        <v>67</v>
      </c>
      <c r="AK969" t="s">
        <v>66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105</v>
      </c>
      <c r="AT969" t="s">
        <v>71</v>
      </c>
      <c r="AU969">
        <v>0</v>
      </c>
      <c r="AV969">
        <v>0</v>
      </c>
    </row>
    <row r="970" spans="1:48" x14ac:dyDescent="0.25">
      <c r="A970" t="s">
        <v>3462</v>
      </c>
      <c r="B970" t="s">
        <v>105</v>
      </c>
      <c r="C970" t="s">
        <v>50</v>
      </c>
      <c r="D970">
        <v>440398.2501</v>
      </c>
      <c r="E970">
        <v>1827469.7609000001</v>
      </c>
      <c r="F970">
        <v>30.962</v>
      </c>
      <c r="G970" t="s">
        <v>3463</v>
      </c>
      <c r="H970" t="s">
        <v>52</v>
      </c>
      <c r="I970">
        <v>30.962</v>
      </c>
      <c r="J970" t="s">
        <v>53</v>
      </c>
      <c r="K970">
        <v>0</v>
      </c>
      <c r="L970" t="s">
        <v>107</v>
      </c>
      <c r="M970" t="s">
        <v>832</v>
      </c>
      <c r="N970">
        <v>0.2248</v>
      </c>
      <c r="O970" t="s">
        <v>56</v>
      </c>
      <c r="P970" t="s">
        <v>57</v>
      </c>
      <c r="Q970" t="s">
        <v>59</v>
      </c>
      <c r="R970" t="s">
        <v>109</v>
      </c>
      <c r="S970" t="s">
        <v>3464</v>
      </c>
      <c r="T970" t="s">
        <v>61</v>
      </c>
      <c r="U970">
        <v>1.494</v>
      </c>
      <c r="V970" t="s">
        <v>62</v>
      </c>
      <c r="W970">
        <v>0</v>
      </c>
      <c r="X970">
        <v>29.468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111</v>
      </c>
      <c r="AG970" t="s">
        <v>65</v>
      </c>
      <c r="AH970" t="s">
        <v>65</v>
      </c>
      <c r="AI970" t="s">
        <v>67</v>
      </c>
      <c r="AK970" t="s">
        <v>66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105</v>
      </c>
      <c r="AT970" t="s">
        <v>71</v>
      </c>
      <c r="AU970">
        <v>0</v>
      </c>
      <c r="AV970">
        <v>0</v>
      </c>
    </row>
    <row r="971" spans="1:48" x14ac:dyDescent="0.25">
      <c r="A971" t="s">
        <v>3465</v>
      </c>
      <c r="B971" t="s">
        <v>105</v>
      </c>
      <c r="C971" t="s">
        <v>50</v>
      </c>
      <c r="D971">
        <v>440398.2501</v>
      </c>
      <c r="E971">
        <v>1827489.7609000001</v>
      </c>
      <c r="F971">
        <v>30.86</v>
      </c>
      <c r="G971" t="s">
        <v>3466</v>
      </c>
      <c r="H971" t="s">
        <v>52</v>
      </c>
      <c r="I971">
        <v>30.86</v>
      </c>
      <c r="J971" t="s">
        <v>53</v>
      </c>
      <c r="K971">
        <v>0</v>
      </c>
      <c r="L971" t="s">
        <v>107</v>
      </c>
      <c r="M971" t="s">
        <v>865</v>
      </c>
      <c r="N971">
        <v>0.2248</v>
      </c>
      <c r="O971" t="s">
        <v>56</v>
      </c>
      <c r="P971" t="s">
        <v>57</v>
      </c>
      <c r="Q971" t="s">
        <v>59</v>
      </c>
      <c r="R971" t="s">
        <v>109</v>
      </c>
      <c r="S971" t="s">
        <v>3467</v>
      </c>
      <c r="T971" t="s">
        <v>61</v>
      </c>
      <c r="U971">
        <v>1.4944</v>
      </c>
      <c r="V971" t="s">
        <v>62</v>
      </c>
      <c r="W971">
        <v>0</v>
      </c>
      <c r="X971">
        <v>29.366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111</v>
      </c>
      <c r="AG971" t="s">
        <v>65</v>
      </c>
      <c r="AH971" t="s">
        <v>65</v>
      </c>
      <c r="AI971" t="s">
        <v>67</v>
      </c>
      <c r="AK971" t="s">
        <v>66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105</v>
      </c>
      <c r="AT971" t="s">
        <v>71</v>
      </c>
      <c r="AU971">
        <v>0</v>
      </c>
      <c r="AV971">
        <v>0</v>
      </c>
    </row>
    <row r="972" spans="1:48" x14ac:dyDescent="0.25">
      <c r="A972" t="s">
        <v>3468</v>
      </c>
      <c r="B972" t="s">
        <v>49</v>
      </c>
      <c r="C972" t="s">
        <v>50</v>
      </c>
      <c r="D972">
        <v>440350.42509999999</v>
      </c>
      <c r="E972">
        <v>1827425.0486000001</v>
      </c>
      <c r="F972">
        <v>31.460999999999999</v>
      </c>
      <c r="G972" t="s">
        <v>3469</v>
      </c>
      <c r="H972" t="s">
        <v>52</v>
      </c>
      <c r="I972">
        <v>31.460999999999999</v>
      </c>
      <c r="J972" t="s">
        <v>53</v>
      </c>
      <c r="K972">
        <v>0</v>
      </c>
      <c r="L972" t="s">
        <v>80</v>
      </c>
      <c r="M972" t="s">
        <v>525</v>
      </c>
      <c r="N972">
        <v>-0.14480000000000001</v>
      </c>
      <c r="O972" t="s">
        <v>56</v>
      </c>
      <c r="P972" t="s">
        <v>57</v>
      </c>
      <c r="Q972" t="s">
        <v>58</v>
      </c>
      <c r="R972" t="s">
        <v>59</v>
      </c>
      <c r="S972" t="s">
        <v>3470</v>
      </c>
      <c r="T972" t="s">
        <v>61</v>
      </c>
      <c r="U972">
        <v>1.5215000000000001</v>
      </c>
      <c r="V972" t="s">
        <v>62</v>
      </c>
      <c r="W972">
        <v>0</v>
      </c>
      <c r="X972">
        <v>29.939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66</v>
      </c>
      <c r="AG972" t="s">
        <v>65</v>
      </c>
      <c r="AH972" t="s">
        <v>65</v>
      </c>
      <c r="AI972" t="s">
        <v>67</v>
      </c>
      <c r="AK972" t="s">
        <v>68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49</v>
      </c>
      <c r="AT972" t="s">
        <v>71</v>
      </c>
      <c r="AU972">
        <v>0</v>
      </c>
      <c r="AV972">
        <v>0</v>
      </c>
    </row>
    <row r="973" spans="1:48" x14ac:dyDescent="0.25">
      <c r="A973" t="s">
        <v>3471</v>
      </c>
      <c r="B973" t="s">
        <v>49</v>
      </c>
      <c r="C973" t="s">
        <v>50</v>
      </c>
      <c r="D973">
        <v>440370.42509999999</v>
      </c>
      <c r="E973">
        <v>1827425.0486000001</v>
      </c>
      <c r="F973">
        <v>31.332999999999998</v>
      </c>
      <c r="G973" t="s">
        <v>3472</v>
      </c>
      <c r="H973" t="s">
        <v>52</v>
      </c>
      <c r="I973">
        <v>31.332999999999998</v>
      </c>
      <c r="J973" t="s">
        <v>53</v>
      </c>
      <c r="K973">
        <v>0</v>
      </c>
      <c r="L973" t="s">
        <v>80</v>
      </c>
      <c r="M973" t="s">
        <v>529</v>
      </c>
      <c r="N973">
        <v>-0.15129999999999999</v>
      </c>
      <c r="O973" t="s">
        <v>56</v>
      </c>
      <c r="P973" t="s">
        <v>57</v>
      </c>
      <c r="Q973" t="s">
        <v>58</v>
      </c>
      <c r="R973" t="s">
        <v>59</v>
      </c>
      <c r="S973" t="s">
        <v>3473</v>
      </c>
      <c r="T973" t="s">
        <v>61</v>
      </c>
      <c r="U973">
        <v>1.7191000000000001</v>
      </c>
      <c r="V973" t="s">
        <v>62</v>
      </c>
      <c r="W973">
        <v>0</v>
      </c>
      <c r="X973">
        <v>29.614000000000001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66</v>
      </c>
      <c r="AG973" t="s">
        <v>65</v>
      </c>
      <c r="AH973" t="s">
        <v>65</v>
      </c>
      <c r="AI973" t="s">
        <v>67</v>
      </c>
      <c r="AK973" t="s">
        <v>68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49</v>
      </c>
      <c r="AT973" t="s">
        <v>71</v>
      </c>
      <c r="AU973">
        <v>0</v>
      </c>
      <c r="AV973">
        <v>0</v>
      </c>
    </row>
    <row r="974" spans="1:48" x14ac:dyDescent="0.25">
      <c r="A974" t="s">
        <v>3474</v>
      </c>
      <c r="B974" t="s">
        <v>49</v>
      </c>
      <c r="C974" t="s">
        <v>50</v>
      </c>
      <c r="D974">
        <v>440350.42509999999</v>
      </c>
      <c r="E974">
        <v>1827415.6486</v>
      </c>
      <c r="F974">
        <v>31.460999999999999</v>
      </c>
      <c r="G974" t="s">
        <v>3475</v>
      </c>
      <c r="H974" t="s">
        <v>52</v>
      </c>
      <c r="I974">
        <v>31.460999999999999</v>
      </c>
      <c r="J974" t="s">
        <v>53</v>
      </c>
      <c r="K974">
        <v>0</v>
      </c>
      <c r="L974" t="s">
        <v>85</v>
      </c>
      <c r="M974" t="s">
        <v>525</v>
      </c>
      <c r="N974">
        <v>4.8099999999999997E-2</v>
      </c>
      <c r="O974" t="s">
        <v>56</v>
      </c>
      <c r="P974" t="s">
        <v>57</v>
      </c>
      <c r="Q974" t="s">
        <v>58</v>
      </c>
      <c r="R974" t="s">
        <v>59</v>
      </c>
      <c r="S974" t="s">
        <v>3470</v>
      </c>
      <c r="T974" t="s">
        <v>61</v>
      </c>
      <c r="U974">
        <v>1.5215000000000001</v>
      </c>
      <c r="V974" t="s">
        <v>62</v>
      </c>
      <c r="W974">
        <v>0</v>
      </c>
      <c r="X974">
        <v>29.939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66</v>
      </c>
      <c r="AG974" t="s">
        <v>65</v>
      </c>
      <c r="AH974" t="s">
        <v>65</v>
      </c>
      <c r="AI974" t="s">
        <v>67</v>
      </c>
      <c r="AK974" t="s">
        <v>68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49</v>
      </c>
      <c r="AT974" t="s">
        <v>71</v>
      </c>
      <c r="AU974">
        <v>0</v>
      </c>
      <c r="AV974">
        <v>0</v>
      </c>
    </row>
    <row r="975" spans="1:48" x14ac:dyDescent="0.25">
      <c r="A975" t="s">
        <v>3476</v>
      </c>
      <c r="B975" t="s">
        <v>49</v>
      </c>
      <c r="C975" t="s">
        <v>50</v>
      </c>
      <c r="D975">
        <v>440370.42509999999</v>
      </c>
      <c r="E975">
        <v>1827415.6486</v>
      </c>
      <c r="F975">
        <v>31.332999999999998</v>
      </c>
      <c r="G975" t="s">
        <v>3477</v>
      </c>
      <c r="H975" t="s">
        <v>52</v>
      </c>
      <c r="I975">
        <v>31.332999999999998</v>
      </c>
      <c r="J975" t="s">
        <v>53</v>
      </c>
      <c r="K975">
        <v>0</v>
      </c>
      <c r="L975" t="s">
        <v>85</v>
      </c>
      <c r="M975" t="s">
        <v>529</v>
      </c>
      <c r="N975">
        <v>5.0200000000000002E-2</v>
      </c>
      <c r="O975" t="s">
        <v>56</v>
      </c>
      <c r="P975" t="s">
        <v>57</v>
      </c>
      <c r="Q975" t="s">
        <v>58</v>
      </c>
      <c r="R975" t="s">
        <v>59</v>
      </c>
      <c r="S975" t="s">
        <v>3478</v>
      </c>
      <c r="T975" t="s">
        <v>61</v>
      </c>
      <c r="U975">
        <v>1.6540999999999999</v>
      </c>
      <c r="V975" t="s">
        <v>62</v>
      </c>
      <c r="W975">
        <v>0</v>
      </c>
      <c r="X975">
        <v>29.678999999999998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66</v>
      </c>
      <c r="AG975" t="s">
        <v>65</v>
      </c>
      <c r="AH975" t="s">
        <v>65</v>
      </c>
      <c r="AI975" t="s">
        <v>67</v>
      </c>
      <c r="AK975" t="s">
        <v>68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49</v>
      </c>
      <c r="AT975" t="s">
        <v>71</v>
      </c>
      <c r="AU975">
        <v>0</v>
      </c>
      <c r="AV975">
        <v>0</v>
      </c>
    </row>
    <row r="976" spans="1:48" x14ac:dyDescent="0.25">
      <c r="A976" t="s">
        <v>3479</v>
      </c>
      <c r="B976" t="s">
        <v>105</v>
      </c>
      <c r="C976" t="s">
        <v>50</v>
      </c>
      <c r="D976">
        <v>440387.60009999998</v>
      </c>
      <c r="E976">
        <v>1827415.9179</v>
      </c>
      <c r="F976">
        <v>31.074000000000002</v>
      </c>
      <c r="G976" t="s">
        <v>3480</v>
      </c>
      <c r="H976" t="s">
        <v>52</v>
      </c>
      <c r="I976">
        <v>31.074000000000002</v>
      </c>
      <c r="J976" t="s">
        <v>53</v>
      </c>
      <c r="K976">
        <v>0</v>
      </c>
      <c r="L976" t="s">
        <v>85</v>
      </c>
      <c r="M976" t="s">
        <v>3481</v>
      </c>
      <c r="N976">
        <v>0.32140000000000002</v>
      </c>
      <c r="O976" t="s">
        <v>56</v>
      </c>
      <c r="P976" t="s">
        <v>57</v>
      </c>
      <c r="Q976" t="s">
        <v>59</v>
      </c>
      <c r="R976" t="s">
        <v>109</v>
      </c>
      <c r="S976" t="s">
        <v>3482</v>
      </c>
      <c r="T976" t="s">
        <v>61</v>
      </c>
      <c r="U976">
        <v>1.4846999999999999</v>
      </c>
      <c r="V976" t="s">
        <v>62</v>
      </c>
      <c r="W976">
        <v>0</v>
      </c>
      <c r="X976">
        <v>29.588999999999999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111</v>
      </c>
      <c r="AG976" t="s">
        <v>65</v>
      </c>
      <c r="AH976" t="s">
        <v>65</v>
      </c>
      <c r="AI976" t="s">
        <v>67</v>
      </c>
      <c r="AK976" t="s">
        <v>66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105</v>
      </c>
      <c r="AT976" t="s">
        <v>71</v>
      </c>
      <c r="AU976">
        <v>0</v>
      </c>
      <c r="AV976">
        <v>0</v>
      </c>
    </row>
    <row r="977" spans="1:48" x14ac:dyDescent="0.25">
      <c r="A977" t="s">
        <v>3483</v>
      </c>
      <c r="B977" t="s">
        <v>105</v>
      </c>
      <c r="C977" t="s">
        <v>50</v>
      </c>
      <c r="D977">
        <v>440387.60009999998</v>
      </c>
      <c r="E977">
        <v>1827425.1986</v>
      </c>
      <c r="F977">
        <v>30.995999999999999</v>
      </c>
      <c r="G977" t="s">
        <v>3484</v>
      </c>
      <c r="H977" t="s">
        <v>52</v>
      </c>
      <c r="I977">
        <v>30.995999999999999</v>
      </c>
      <c r="J977" t="s">
        <v>53</v>
      </c>
      <c r="K977">
        <v>0</v>
      </c>
      <c r="L977" t="s">
        <v>80</v>
      </c>
      <c r="M977" t="s">
        <v>3481</v>
      </c>
      <c r="N977">
        <v>-6.8999999999999999E-3</v>
      </c>
      <c r="O977" t="s">
        <v>56</v>
      </c>
      <c r="P977" t="s">
        <v>57</v>
      </c>
      <c r="Q977" t="s">
        <v>59</v>
      </c>
      <c r="R977" t="s">
        <v>109</v>
      </c>
      <c r="S977" t="s">
        <v>3485</v>
      </c>
      <c r="T977" t="s">
        <v>61</v>
      </c>
      <c r="U977">
        <v>1.4342999999999999</v>
      </c>
      <c r="V977" t="s">
        <v>62</v>
      </c>
      <c r="W977">
        <v>0</v>
      </c>
      <c r="X977">
        <v>29.562000000000001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111</v>
      </c>
      <c r="AG977" t="s">
        <v>65</v>
      </c>
      <c r="AH977" t="s">
        <v>65</v>
      </c>
      <c r="AI977" t="s">
        <v>67</v>
      </c>
      <c r="AK977" t="s">
        <v>66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105</v>
      </c>
      <c r="AT977" t="s">
        <v>71</v>
      </c>
      <c r="AU977">
        <v>0</v>
      </c>
      <c r="AV977">
        <v>0</v>
      </c>
    </row>
    <row r="978" spans="1:48" x14ac:dyDescent="0.25">
      <c r="A978" t="s">
        <v>3486</v>
      </c>
      <c r="B978" t="s">
        <v>105</v>
      </c>
      <c r="C978" t="s">
        <v>50</v>
      </c>
      <c r="D978">
        <v>440387.60009999998</v>
      </c>
      <c r="E978">
        <v>1827438.4203999999</v>
      </c>
      <c r="F978">
        <v>31.120999999999999</v>
      </c>
      <c r="G978" t="s">
        <v>3487</v>
      </c>
      <c r="H978" t="s">
        <v>52</v>
      </c>
      <c r="I978">
        <v>31.120999999999999</v>
      </c>
      <c r="J978" t="s">
        <v>53</v>
      </c>
      <c r="K978">
        <v>0</v>
      </c>
      <c r="L978" t="s">
        <v>117</v>
      </c>
      <c r="M978" t="s">
        <v>3488</v>
      </c>
      <c r="N978">
        <v>-0.18859999999999999</v>
      </c>
      <c r="O978" t="s">
        <v>56</v>
      </c>
      <c r="P978" t="s">
        <v>57</v>
      </c>
      <c r="Q978" t="s">
        <v>59</v>
      </c>
      <c r="R978" t="s">
        <v>109</v>
      </c>
      <c r="S978" t="s">
        <v>3489</v>
      </c>
      <c r="T978" t="s">
        <v>61</v>
      </c>
      <c r="U978">
        <v>1.5741000000000001</v>
      </c>
      <c r="V978" t="s">
        <v>62</v>
      </c>
      <c r="W978">
        <v>0</v>
      </c>
      <c r="X978">
        <v>29.547000000000001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111</v>
      </c>
      <c r="AG978" t="s">
        <v>65</v>
      </c>
      <c r="AH978" t="s">
        <v>65</v>
      </c>
      <c r="AI978" t="s">
        <v>67</v>
      </c>
      <c r="AK978" t="s">
        <v>66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105</v>
      </c>
      <c r="AT978" t="s">
        <v>71</v>
      </c>
      <c r="AU978">
        <v>0</v>
      </c>
      <c r="AV978">
        <v>0</v>
      </c>
    </row>
    <row r="979" spans="1:48" x14ac:dyDescent="0.25">
      <c r="A979" t="s">
        <v>3490</v>
      </c>
      <c r="B979" t="s">
        <v>105</v>
      </c>
      <c r="C979" t="s">
        <v>50</v>
      </c>
      <c r="D979">
        <v>440387.60009999998</v>
      </c>
      <c r="E979">
        <v>1827449.7609000001</v>
      </c>
      <c r="F979">
        <v>31.064</v>
      </c>
      <c r="G979" t="s">
        <v>3491</v>
      </c>
      <c r="H979" t="s">
        <v>52</v>
      </c>
      <c r="I979">
        <v>31.064</v>
      </c>
      <c r="J979" t="s">
        <v>53</v>
      </c>
      <c r="K979">
        <v>0</v>
      </c>
      <c r="L979" t="s">
        <v>117</v>
      </c>
      <c r="M979" t="s">
        <v>824</v>
      </c>
      <c r="N979">
        <v>-0.18859999999999999</v>
      </c>
      <c r="O979" t="s">
        <v>56</v>
      </c>
      <c r="P979" t="s">
        <v>57</v>
      </c>
      <c r="Q979" t="s">
        <v>59</v>
      </c>
      <c r="R979" t="s">
        <v>109</v>
      </c>
      <c r="S979" t="s">
        <v>3492</v>
      </c>
      <c r="T979" t="s">
        <v>61</v>
      </c>
      <c r="U979">
        <v>1.5286</v>
      </c>
      <c r="V979" t="s">
        <v>62</v>
      </c>
      <c r="W979">
        <v>0</v>
      </c>
      <c r="X979">
        <v>29.535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111</v>
      </c>
      <c r="AG979" t="s">
        <v>65</v>
      </c>
      <c r="AH979" t="s">
        <v>65</v>
      </c>
      <c r="AI979" t="s">
        <v>67</v>
      </c>
      <c r="AK979" t="s">
        <v>66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105</v>
      </c>
      <c r="AT979" t="s">
        <v>71</v>
      </c>
      <c r="AU979">
        <v>0</v>
      </c>
      <c r="AV979">
        <v>0</v>
      </c>
    </row>
    <row r="980" spans="1:48" x14ac:dyDescent="0.25">
      <c r="A980" t="s">
        <v>3493</v>
      </c>
      <c r="B980" t="s">
        <v>105</v>
      </c>
      <c r="C980" t="s">
        <v>50</v>
      </c>
      <c r="D980">
        <v>440387.60009999998</v>
      </c>
      <c r="E980">
        <v>1827469.7609000001</v>
      </c>
      <c r="F980">
        <v>30.962</v>
      </c>
      <c r="G980" t="s">
        <v>3494</v>
      </c>
      <c r="H980" t="s">
        <v>52</v>
      </c>
      <c r="I980">
        <v>30.962</v>
      </c>
      <c r="J980" t="s">
        <v>53</v>
      </c>
      <c r="K980">
        <v>0</v>
      </c>
      <c r="L980" t="s">
        <v>117</v>
      </c>
      <c r="M980" t="s">
        <v>832</v>
      </c>
      <c r="N980">
        <v>-0.18859999999999999</v>
      </c>
      <c r="O980" t="s">
        <v>56</v>
      </c>
      <c r="P980" t="s">
        <v>57</v>
      </c>
      <c r="Q980" t="s">
        <v>59</v>
      </c>
      <c r="R980" t="s">
        <v>109</v>
      </c>
      <c r="S980" t="s">
        <v>3464</v>
      </c>
      <c r="T980" t="s">
        <v>61</v>
      </c>
      <c r="U980">
        <v>1.494</v>
      </c>
      <c r="V980" t="s">
        <v>62</v>
      </c>
      <c r="W980">
        <v>0</v>
      </c>
      <c r="X980">
        <v>29.468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111</v>
      </c>
      <c r="AG980" t="s">
        <v>65</v>
      </c>
      <c r="AH980" t="s">
        <v>65</v>
      </c>
      <c r="AI980" t="s">
        <v>67</v>
      </c>
      <c r="AK980" t="s">
        <v>66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105</v>
      </c>
      <c r="AT980" t="s">
        <v>71</v>
      </c>
      <c r="AU980">
        <v>0</v>
      </c>
      <c r="AV980">
        <v>0</v>
      </c>
    </row>
    <row r="981" spans="1:48" x14ac:dyDescent="0.25">
      <c r="A981" t="s">
        <v>3495</v>
      </c>
      <c r="B981" t="s">
        <v>105</v>
      </c>
      <c r="C981" t="s">
        <v>50</v>
      </c>
      <c r="D981">
        <v>440387.60009999998</v>
      </c>
      <c r="E981">
        <v>1827489.7609000001</v>
      </c>
      <c r="F981">
        <v>30.86</v>
      </c>
      <c r="G981" t="s">
        <v>3496</v>
      </c>
      <c r="H981" t="s">
        <v>52</v>
      </c>
      <c r="I981">
        <v>30.86</v>
      </c>
      <c r="J981" t="s">
        <v>53</v>
      </c>
      <c r="K981">
        <v>0</v>
      </c>
      <c r="L981" t="s">
        <v>117</v>
      </c>
      <c r="M981" t="s">
        <v>865</v>
      </c>
      <c r="N981">
        <v>-0.18859999999999999</v>
      </c>
      <c r="O981" t="s">
        <v>56</v>
      </c>
      <c r="P981" t="s">
        <v>57</v>
      </c>
      <c r="Q981" t="s">
        <v>59</v>
      </c>
      <c r="R981" t="s">
        <v>109</v>
      </c>
      <c r="S981" t="s">
        <v>3467</v>
      </c>
      <c r="T981" t="s">
        <v>61</v>
      </c>
      <c r="U981">
        <v>1.4944</v>
      </c>
      <c r="V981" t="s">
        <v>62</v>
      </c>
      <c r="W981">
        <v>0</v>
      </c>
      <c r="X981">
        <v>29.366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111</v>
      </c>
      <c r="AG981" t="s">
        <v>65</v>
      </c>
      <c r="AH981" t="s">
        <v>65</v>
      </c>
      <c r="AI981" t="s">
        <v>67</v>
      </c>
      <c r="AK981" t="s">
        <v>66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105</v>
      </c>
      <c r="AT981" t="s">
        <v>71</v>
      </c>
      <c r="AU981">
        <v>0</v>
      </c>
      <c r="AV981">
        <v>0</v>
      </c>
    </row>
    <row r="982" spans="1:48" x14ac:dyDescent="0.25">
      <c r="A982" t="s">
        <v>3497</v>
      </c>
      <c r="B982" t="s">
        <v>125</v>
      </c>
      <c r="C982" t="s">
        <v>50</v>
      </c>
      <c r="D982">
        <v>440367.74329999997</v>
      </c>
      <c r="E982">
        <v>1827531.6588000001</v>
      </c>
      <c r="F982">
        <v>30.64</v>
      </c>
      <c r="G982" t="s">
        <v>3498</v>
      </c>
      <c r="H982" t="s">
        <v>52</v>
      </c>
      <c r="I982">
        <v>30.64</v>
      </c>
      <c r="J982" t="s">
        <v>53</v>
      </c>
      <c r="K982">
        <v>0</v>
      </c>
      <c r="L982" t="s">
        <v>141</v>
      </c>
      <c r="M982" t="s">
        <v>3499</v>
      </c>
      <c r="N982">
        <v>0.1084</v>
      </c>
      <c r="O982" t="s">
        <v>56</v>
      </c>
      <c r="P982" t="s">
        <v>57</v>
      </c>
      <c r="Q982" t="s">
        <v>109</v>
      </c>
      <c r="R982" t="s">
        <v>59</v>
      </c>
      <c r="S982" t="s">
        <v>3500</v>
      </c>
      <c r="T982" t="s">
        <v>61</v>
      </c>
      <c r="U982">
        <v>2.5381999999999998</v>
      </c>
      <c r="V982" t="s">
        <v>62</v>
      </c>
      <c r="W982">
        <v>0</v>
      </c>
      <c r="X982">
        <v>28.102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66</v>
      </c>
      <c r="AG982" t="s">
        <v>65</v>
      </c>
      <c r="AH982" t="s">
        <v>65</v>
      </c>
      <c r="AI982" t="s">
        <v>67</v>
      </c>
      <c r="AK982" t="s">
        <v>111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125</v>
      </c>
      <c r="AT982" t="s">
        <v>71</v>
      </c>
      <c r="AU982">
        <v>0</v>
      </c>
      <c r="AV982">
        <v>0</v>
      </c>
    </row>
    <row r="983" spans="1:48" x14ac:dyDescent="0.25">
      <c r="A983" t="s">
        <v>3501</v>
      </c>
      <c r="B983" t="s">
        <v>125</v>
      </c>
      <c r="C983" t="s">
        <v>50</v>
      </c>
      <c r="D983">
        <v>440387.3751</v>
      </c>
      <c r="E983">
        <v>1827531.6588000001</v>
      </c>
      <c r="F983">
        <v>30.488</v>
      </c>
      <c r="G983" t="s">
        <v>3502</v>
      </c>
      <c r="H983" t="s">
        <v>52</v>
      </c>
      <c r="I983">
        <v>30.488</v>
      </c>
      <c r="J983" t="s">
        <v>53</v>
      </c>
      <c r="K983">
        <v>0</v>
      </c>
      <c r="L983" t="s">
        <v>141</v>
      </c>
      <c r="M983" t="s">
        <v>3503</v>
      </c>
      <c r="N983">
        <v>0.1084</v>
      </c>
      <c r="O983" t="s">
        <v>56</v>
      </c>
      <c r="P983" t="s">
        <v>57</v>
      </c>
      <c r="Q983" t="s">
        <v>109</v>
      </c>
      <c r="R983" t="s">
        <v>59</v>
      </c>
      <c r="S983" t="s">
        <v>3504</v>
      </c>
      <c r="T983" t="s">
        <v>61</v>
      </c>
      <c r="U983">
        <v>2.4056000000000002</v>
      </c>
      <c r="V983" t="s">
        <v>62</v>
      </c>
      <c r="W983">
        <v>0</v>
      </c>
      <c r="X983">
        <v>28.082000000000001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66</v>
      </c>
      <c r="AG983" t="s">
        <v>65</v>
      </c>
      <c r="AH983" t="s">
        <v>65</v>
      </c>
      <c r="AI983" t="s">
        <v>67</v>
      </c>
      <c r="AK983" t="s">
        <v>111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125</v>
      </c>
      <c r="AT983" t="s">
        <v>71</v>
      </c>
      <c r="AU983">
        <v>0</v>
      </c>
      <c r="AV983">
        <v>0</v>
      </c>
    </row>
    <row r="984" spans="1:48" x14ac:dyDescent="0.25">
      <c r="A984" t="s">
        <v>3505</v>
      </c>
      <c r="B984" t="s">
        <v>125</v>
      </c>
      <c r="C984" t="s">
        <v>50</v>
      </c>
      <c r="D984">
        <v>440398.17609999998</v>
      </c>
      <c r="E984">
        <v>1827531.6588000001</v>
      </c>
      <c r="F984">
        <v>30.431999999999999</v>
      </c>
      <c r="G984" t="s">
        <v>3506</v>
      </c>
      <c r="H984" t="s">
        <v>52</v>
      </c>
      <c r="I984">
        <v>30.431999999999999</v>
      </c>
      <c r="J984" t="s">
        <v>53</v>
      </c>
      <c r="K984">
        <v>0</v>
      </c>
      <c r="L984" t="s">
        <v>141</v>
      </c>
      <c r="M984" t="s">
        <v>3507</v>
      </c>
      <c r="N984">
        <v>0.1084</v>
      </c>
      <c r="O984" t="s">
        <v>56</v>
      </c>
      <c r="P984" t="s">
        <v>57</v>
      </c>
      <c r="Q984" t="s">
        <v>109</v>
      </c>
      <c r="R984" t="s">
        <v>59</v>
      </c>
      <c r="S984" t="s">
        <v>3508</v>
      </c>
      <c r="T984" t="s">
        <v>61</v>
      </c>
      <c r="U984">
        <v>2.3605999999999998</v>
      </c>
      <c r="V984" t="s">
        <v>62</v>
      </c>
      <c r="W984">
        <v>0</v>
      </c>
      <c r="X984">
        <v>28.071000000000002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66</v>
      </c>
      <c r="AG984" t="s">
        <v>65</v>
      </c>
      <c r="AH984" t="s">
        <v>65</v>
      </c>
      <c r="AI984" t="s">
        <v>67</v>
      </c>
      <c r="AK984" t="s">
        <v>111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125</v>
      </c>
      <c r="AT984" t="s">
        <v>71</v>
      </c>
      <c r="AU984">
        <v>0</v>
      </c>
      <c r="AV984">
        <v>0</v>
      </c>
    </row>
    <row r="985" spans="1:48" x14ac:dyDescent="0.25">
      <c r="A985" t="s">
        <v>3509</v>
      </c>
      <c r="B985" t="s">
        <v>125</v>
      </c>
      <c r="C985" t="s">
        <v>50</v>
      </c>
      <c r="D985">
        <v>440420.81079999998</v>
      </c>
      <c r="E985">
        <v>1827531.6588000001</v>
      </c>
      <c r="F985">
        <v>30.346</v>
      </c>
      <c r="G985" t="s">
        <v>3510</v>
      </c>
      <c r="H985" t="s">
        <v>52</v>
      </c>
      <c r="I985">
        <v>30.346</v>
      </c>
      <c r="J985" t="s">
        <v>53</v>
      </c>
      <c r="K985">
        <v>0</v>
      </c>
      <c r="L985" t="s">
        <v>141</v>
      </c>
      <c r="M985" t="s">
        <v>3511</v>
      </c>
      <c r="N985">
        <v>0.1084</v>
      </c>
      <c r="O985" t="s">
        <v>56</v>
      </c>
      <c r="P985" t="s">
        <v>57</v>
      </c>
      <c r="Q985" t="s">
        <v>109</v>
      </c>
      <c r="R985" t="s">
        <v>59</v>
      </c>
      <c r="S985" t="s">
        <v>3512</v>
      </c>
      <c r="T985" t="s">
        <v>61</v>
      </c>
      <c r="U985">
        <v>2.2970000000000002</v>
      </c>
      <c r="V985" t="s">
        <v>62</v>
      </c>
      <c r="W985">
        <v>0</v>
      </c>
      <c r="X985">
        <v>28.048999999999999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66</v>
      </c>
      <c r="AG985" t="s">
        <v>65</v>
      </c>
      <c r="AH985" t="s">
        <v>65</v>
      </c>
      <c r="AI985" t="s">
        <v>67</v>
      </c>
      <c r="AK985" t="s">
        <v>111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125</v>
      </c>
      <c r="AT985" t="s">
        <v>71</v>
      </c>
      <c r="AU985">
        <v>0</v>
      </c>
      <c r="AV985">
        <v>0</v>
      </c>
    </row>
    <row r="986" spans="1:48" x14ac:dyDescent="0.25">
      <c r="A986" t="s">
        <v>3513</v>
      </c>
      <c r="B986" t="s">
        <v>125</v>
      </c>
      <c r="C986" t="s">
        <v>50</v>
      </c>
      <c r="D986">
        <v>440442.48080000002</v>
      </c>
      <c r="E986">
        <v>1827531.6588000001</v>
      </c>
      <c r="F986">
        <v>30.225999999999999</v>
      </c>
      <c r="G986" t="s">
        <v>3514</v>
      </c>
      <c r="H986" t="s">
        <v>52</v>
      </c>
      <c r="I986">
        <v>30.225999999999999</v>
      </c>
      <c r="J986" t="s">
        <v>53</v>
      </c>
      <c r="K986">
        <v>0</v>
      </c>
      <c r="L986" t="s">
        <v>141</v>
      </c>
      <c r="M986" t="s">
        <v>3515</v>
      </c>
      <c r="N986">
        <v>0.1084</v>
      </c>
      <c r="O986" t="s">
        <v>56</v>
      </c>
      <c r="P986" t="s">
        <v>57</v>
      </c>
      <c r="Q986" t="s">
        <v>109</v>
      </c>
      <c r="R986" t="s">
        <v>59</v>
      </c>
      <c r="S986" t="s">
        <v>3516</v>
      </c>
      <c r="T986" t="s">
        <v>61</v>
      </c>
      <c r="U986">
        <v>2.1987999999999999</v>
      </c>
      <c r="V986" t="s">
        <v>62</v>
      </c>
      <c r="W986">
        <v>0</v>
      </c>
      <c r="X986">
        <v>28.027000000000001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66</v>
      </c>
      <c r="AG986" t="s">
        <v>65</v>
      </c>
      <c r="AH986" t="s">
        <v>65</v>
      </c>
      <c r="AI986" t="s">
        <v>67</v>
      </c>
      <c r="AK986" t="s">
        <v>111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125</v>
      </c>
      <c r="AT986" t="s">
        <v>71</v>
      </c>
      <c r="AU986">
        <v>0</v>
      </c>
      <c r="AV986">
        <v>0</v>
      </c>
    </row>
    <row r="987" spans="1:48" x14ac:dyDescent="0.25">
      <c r="A987" t="s">
        <v>3517</v>
      </c>
      <c r="B987" t="s">
        <v>73</v>
      </c>
      <c r="C987" t="s">
        <v>50</v>
      </c>
      <c r="D987">
        <v>440463.92509999999</v>
      </c>
      <c r="E987">
        <v>1827439.4838</v>
      </c>
      <c r="F987">
        <v>30.673999999999999</v>
      </c>
      <c r="G987" t="s">
        <v>3518</v>
      </c>
      <c r="H987" t="s">
        <v>52</v>
      </c>
      <c r="I987">
        <v>30.673999999999999</v>
      </c>
      <c r="J987" t="s">
        <v>53</v>
      </c>
      <c r="K987">
        <v>0</v>
      </c>
      <c r="L987" t="s">
        <v>377</v>
      </c>
      <c r="M987" t="s">
        <v>440</v>
      </c>
      <c r="N987">
        <v>5.9999999999999995E-4</v>
      </c>
      <c r="O987" t="s">
        <v>56</v>
      </c>
      <c r="P987" t="s">
        <v>57</v>
      </c>
      <c r="Q987" t="s">
        <v>59</v>
      </c>
      <c r="R987" t="s">
        <v>58</v>
      </c>
      <c r="S987" t="s">
        <v>3519</v>
      </c>
      <c r="T987" t="s">
        <v>61</v>
      </c>
      <c r="U987">
        <v>1.4927999999999999</v>
      </c>
      <c r="V987" t="s">
        <v>62</v>
      </c>
      <c r="W987">
        <v>0</v>
      </c>
      <c r="X987">
        <v>29.181000000000001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68</v>
      </c>
      <c r="AG987" t="s">
        <v>65</v>
      </c>
      <c r="AH987" t="s">
        <v>65</v>
      </c>
      <c r="AI987" t="s">
        <v>67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73</v>
      </c>
      <c r="AT987" t="s">
        <v>71</v>
      </c>
      <c r="AU987">
        <v>0</v>
      </c>
      <c r="AV987">
        <v>0</v>
      </c>
    </row>
    <row r="988" spans="1:48" x14ac:dyDescent="0.25">
      <c r="A988" t="s">
        <v>3520</v>
      </c>
      <c r="B988" t="s">
        <v>73</v>
      </c>
      <c r="C988" t="s">
        <v>50</v>
      </c>
      <c r="D988">
        <v>440463.92509999999</v>
      </c>
      <c r="E988">
        <v>1827459.4838</v>
      </c>
      <c r="F988">
        <v>30.574999999999999</v>
      </c>
      <c r="G988" t="s">
        <v>3521</v>
      </c>
      <c r="H988" t="s">
        <v>52</v>
      </c>
      <c r="I988">
        <v>30.574999999999999</v>
      </c>
      <c r="J988" t="s">
        <v>53</v>
      </c>
      <c r="K988">
        <v>0</v>
      </c>
      <c r="L988" t="s">
        <v>377</v>
      </c>
      <c r="M988" t="s">
        <v>444</v>
      </c>
      <c r="N988">
        <v>1.67E-2</v>
      </c>
      <c r="O988" t="s">
        <v>56</v>
      </c>
      <c r="P988" t="s">
        <v>57</v>
      </c>
      <c r="Q988" t="s">
        <v>59</v>
      </c>
      <c r="R988" t="s">
        <v>58</v>
      </c>
      <c r="S988" t="s">
        <v>3522</v>
      </c>
      <c r="T988" t="s">
        <v>61</v>
      </c>
      <c r="U988">
        <v>1.4923</v>
      </c>
      <c r="V988" t="s">
        <v>62</v>
      </c>
      <c r="W988">
        <v>0</v>
      </c>
      <c r="X988">
        <v>29.082999999999998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68</v>
      </c>
      <c r="AG988" t="s">
        <v>65</v>
      </c>
      <c r="AH988" t="s">
        <v>65</v>
      </c>
      <c r="AI988" t="s">
        <v>67</v>
      </c>
      <c r="AK988" t="s">
        <v>66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73</v>
      </c>
      <c r="AT988" t="s">
        <v>71</v>
      </c>
      <c r="AU988">
        <v>0</v>
      </c>
      <c r="AV988">
        <v>0</v>
      </c>
    </row>
    <row r="989" spans="1:48" x14ac:dyDescent="0.25">
      <c r="A989" t="s">
        <v>3523</v>
      </c>
      <c r="B989" t="s">
        <v>73</v>
      </c>
      <c r="C989" t="s">
        <v>50</v>
      </c>
      <c r="D989">
        <v>440463.92509999999</v>
      </c>
      <c r="E989">
        <v>1827479.4838</v>
      </c>
      <c r="F989">
        <v>30.477</v>
      </c>
      <c r="G989" t="s">
        <v>3524</v>
      </c>
      <c r="H989" t="s">
        <v>52</v>
      </c>
      <c r="I989">
        <v>30.477</v>
      </c>
      <c r="J989" t="s">
        <v>53</v>
      </c>
      <c r="K989">
        <v>0</v>
      </c>
      <c r="L989" t="s">
        <v>377</v>
      </c>
      <c r="M989" t="s">
        <v>448</v>
      </c>
      <c r="N989">
        <v>3.27E-2</v>
      </c>
      <c r="O989" t="s">
        <v>56</v>
      </c>
      <c r="P989" t="s">
        <v>57</v>
      </c>
      <c r="Q989" t="s">
        <v>59</v>
      </c>
      <c r="R989" t="s">
        <v>58</v>
      </c>
      <c r="S989" t="s">
        <v>3525</v>
      </c>
      <c r="T989" t="s">
        <v>61</v>
      </c>
      <c r="U989">
        <v>1.4927999999999999</v>
      </c>
      <c r="V989" t="s">
        <v>62</v>
      </c>
      <c r="W989">
        <v>0</v>
      </c>
      <c r="X989">
        <v>28.984000000000002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68</v>
      </c>
      <c r="AG989" t="s">
        <v>65</v>
      </c>
      <c r="AH989" t="s">
        <v>65</v>
      </c>
      <c r="AI989" t="s">
        <v>67</v>
      </c>
      <c r="AK989" t="s">
        <v>66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73</v>
      </c>
      <c r="AT989" t="s">
        <v>71</v>
      </c>
      <c r="AU989">
        <v>0</v>
      </c>
      <c r="AV989">
        <v>0</v>
      </c>
    </row>
    <row r="990" spans="1:48" x14ac:dyDescent="0.25">
      <c r="A990" t="s">
        <v>3526</v>
      </c>
      <c r="B990" t="s">
        <v>73</v>
      </c>
      <c r="C990" t="s">
        <v>50</v>
      </c>
      <c r="D990">
        <v>440463.92509999999</v>
      </c>
      <c r="E990">
        <v>1827499.4838</v>
      </c>
      <c r="F990">
        <v>30.378</v>
      </c>
      <c r="G990" t="s">
        <v>3527</v>
      </c>
      <c r="H990" t="s">
        <v>52</v>
      </c>
      <c r="I990">
        <v>30.378</v>
      </c>
      <c r="J990" t="s">
        <v>53</v>
      </c>
      <c r="K990">
        <v>0</v>
      </c>
      <c r="L990" t="s">
        <v>377</v>
      </c>
      <c r="M990" t="s">
        <v>452</v>
      </c>
      <c r="N990">
        <v>4.87E-2</v>
      </c>
      <c r="O990" t="s">
        <v>56</v>
      </c>
      <c r="P990" t="s">
        <v>57</v>
      </c>
      <c r="Q990" t="s">
        <v>59</v>
      </c>
      <c r="R990" t="s">
        <v>58</v>
      </c>
      <c r="S990" t="s">
        <v>3528</v>
      </c>
      <c r="T990" t="s">
        <v>61</v>
      </c>
      <c r="U990">
        <v>1.4923999999999999</v>
      </c>
      <c r="V990" t="s">
        <v>62</v>
      </c>
      <c r="W990">
        <v>0</v>
      </c>
      <c r="X990">
        <v>28.885999999999999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68</v>
      </c>
      <c r="AG990" t="s">
        <v>65</v>
      </c>
      <c r="AH990" t="s">
        <v>65</v>
      </c>
      <c r="AI990" t="s">
        <v>67</v>
      </c>
      <c r="AK990" t="s">
        <v>66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73</v>
      </c>
      <c r="AT990" t="s">
        <v>71</v>
      </c>
      <c r="AU990">
        <v>0</v>
      </c>
      <c r="AV990">
        <v>0</v>
      </c>
    </row>
    <row r="991" spans="1:48" x14ac:dyDescent="0.25">
      <c r="A991" t="s">
        <v>3529</v>
      </c>
      <c r="B991" t="s">
        <v>49</v>
      </c>
      <c r="C991" t="s">
        <v>50</v>
      </c>
      <c r="D991">
        <v>440410.42509999999</v>
      </c>
      <c r="E991">
        <v>1827425.0486000001</v>
      </c>
      <c r="F991">
        <v>31.077999999999999</v>
      </c>
      <c r="G991" t="s">
        <v>3530</v>
      </c>
      <c r="H991" t="s">
        <v>52</v>
      </c>
      <c r="I991">
        <v>31.077999999999999</v>
      </c>
      <c r="J991" t="s">
        <v>53</v>
      </c>
      <c r="K991">
        <v>0</v>
      </c>
      <c r="L991" t="s">
        <v>80</v>
      </c>
      <c r="M991" t="s">
        <v>420</v>
      </c>
      <c r="N991">
        <v>-0.16439999999999999</v>
      </c>
      <c r="O991" t="s">
        <v>56</v>
      </c>
      <c r="P991" t="s">
        <v>57</v>
      </c>
      <c r="Q991" t="s">
        <v>58</v>
      </c>
      <c r="R991" t="s">
        <v>59</v>
      </c>
      <c r="S991" t="s">
        <v>3531</v>
      </c>
      <c r="T991" t="s">
        <v>61</v>
      </c>
      <c r="U991">
        <v>1.5214000000000001</v>
      </c>
      <c r="V991" t="s">
        <v>62</v>
      </c>
      <c r="W991">
        <v>0</v>
      </c>
      <c r="X991">
        <v>29.556999999999999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66</v>
      </c>
      <c r="AG991" t="s">
        <v>65</v>
      </c>
      <c r="AH991" t="s">
        <v>65</v>
      </c>
      <c r="AI991" t="s">
        <v>67</v>
      </c>
      <c r="AK991" t="s">
        <v>68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49</v>
      </c>
      <c r="AT991" t="s">
        <v>71</v>
      </c>
      <c r="AU991">
        <v>0</v>
      </c>
      <c r="AV991">
        <v>0</v>
      </c>
    </row>
    <row r="992" spans="1:48" x14ac:dyDescent="0.25">
      <c r="A992" t="s">
        <v>3532</v>
      </c>
      <c r="B992" t="s">
        <v>49</v>
      </c>
      <c r="C992" t="s">
        <v>50</v>
      </c>
      <c r="D992">
        <v>440430.42509999999</v>
      </c>
      <c r="E992">
        <v>1827425.0486000001</v>
      </c>
      <c r="F992">
        <v>30.951000000000001</v>
      </c>
      <c r="G992" t="s">
        <v>3533</v>
      </c>
      <c r="H992" t="s">
        <v>52</v>
      </c>
      <c r="I992">
        <v>30.951000000000001</v>
      </c>
      <c r="J992" t="s">
        <v>53</v>
      </c>
      <c r="K992">
        <v>0</v>
      </c>
      <c r="L992" t="s">
        <v>80</v>
      </c>
      <c r="M992" t="s">
        <v>424</v>
      </c>
      <c r="N992">
        <v>-0.17100000000000001</v>
      </c>
      <c r="O992" t="s">
        <v>56</v>
      </c>
      <c r="P992" t="s">
        <v>57</v>
      </c>
      <c r="Q992" t="s">
        <v>58</v>
      </c>
      <c r="R992" t="s">
        <v>59</v>
      </c>
      <c r="S992" t="s">
        <v>3534</v>
      </c>
      <c r="T992" t="s">
        <v>61</v>
      </c>
      <c r="U992">
        <v>1.4810000000000001</v>
      </c>
      <c r="V992" t="s">
        <v>62</v>
      </c>
      <c r="W992">
        <v>0</v>
      </c>
      <c r="X992">
        <v>29.47</v>
      </c>
      <c r="Y992" t="s">
        <v>63</v>
      </c>
      <c r="Z992" t="s">
        <v>64</v>
      </c>
      <c r="AC992" t="s">
        <v>65</v>
      </c>
      <c r="AD992" t="s">
        <v>61</v>
      </c>
      <c r="AE992" t="s">
        <v>64</v>
      </c>
      <c r="AF992" t="s">
        <v>66</v>
      </c>
      <c r="AG992" t="s">
        <v>65</v>
      </c>
      <c r="AH992" t="s">
        <v>65</v>
      </c>
      <c r="AI992" t="s">
        <v>67</v>
      </c>
      <c r="AK992" t="s">
        <v>68</v>
      </c>
      <c r="AL992" t="s">
        <v>63</v>
      </c>
      <c r="AM992" t="s">
        <v>63</v>
      </c>
      <c r="AN992" t="s">
        <v>61</v>
      </c>
      <c r="AO992" t="s">
        <v>61</v>
      </c>
      <c r="AP992" t="s">
        <v>69</v>
      </c>
      <c r="AQ992" t="s">
        <v>65</v>
      </c>
      <c r="AR992" t="s">
        <v>70</v>
      </c>
      <c r="AS992" t="s">
        <v>49</v>
      </c>
      <c r="AT992" t="s">
        <v>71</v>
      </c>
      <c r="AU992">
        <v>0</v>
      </c>
      <c r="AV992">
        <v>0</v>
      </c>
    </row>
    <row r="993" spans="1:48" x14ac:dyDescent="0.25">
      <c r="A993" t="s">
        <v>3535</v>
      </c>
      <c r="B993" t="s">
        <v>49</v>
      </c>
      <c r="C993" t="s">
        <v>50</v>
      </c>
      <c r="D993">
        <v>440410.42509999999</v>
      </c>
      <c r="E993">
        <v>1827415.6486</v>
      </c>
      <c r="F993">
        <v>31.077999999999999</v>
      </c>
      <c r="G993" t="s">
        <v>3536</v>
      </c>
      <c r="H993" t="s">
        <v>52</v>
      </c>
      <c r="I993">
        <v>31.077999999999999</v>
      </c>
      <c r="J993" t="s">
        <v>53</v>
      </c>
      <c r="K993">
        <v>0</v>
      </c>
      <c r="L993" t="s">
        <v>85</v>
      </c>
      <c r="M993" t="s">
        <v>420</v>
      </c>
      <c r="N993">
        <v>5.4600000000000003E-2</v>
      </c>
      <c r="O993" t="s">
        <v>56</v>
      </c>
      <c r="P993" t="s">
        <v>57</v>
      </c>
      <c r="Q993" t="s">
        <v>58</v>
      </c>
      <c r="R993" t="s">
        <v>59</v>
      </c>
      <c r="S993" t="s">
        <v>3531</v>
      </c>
      <c r="T993" t="s">
        <v>61</v>
      </c>
      <c r="U993">
        <v>1.5214000000000001</v>
      </c>
      <c r="V993" t="s">
        <v>62</v>
      </c>
      <c r="W993">
        <v>0</v>
      </c>
      <c r="X993">
        <v>29.556999999999999</v>
      </c>
      <c r="Y993" t="s">
        <v>63</v>
      </c>
      <c r="Z993" t="s">
        <v>64</v>
      </c>
      <c r="AC993" t="s">
        <v>65</v>
      </c>
      <c r="AD993" t="s">
        <v>61</v>
      </c>
      <c r="AE993" t="s">
        <v>64</v>
      </c>
      <c r="AF993" t="s">
        <v>66</v>
      </c>
      <c r="AG993" t="s">
        <v>65</v>
      </c>
      <c r="AH993" t="s">
        <v>65</v>
      </c>
      <c r="AI993" t="s">
        <v>67</v>
      </c>
      <c r="AK993" t="s">
        <v>68</v>
      </c>
      <c r="AL993" t="s">
        <v>63</v>
      </c>
      <c r="AM993" t="s">
        <v>63</v>
      </c>
      <c r="AN993" t="s">
        <v>61</v>
      </c>
      <c r="AO993" t="s">
        <v>61</v>
      </c>
      <c r="AP993" t="s">
        <v>69</v>
      </c>
      <c r="AQ993" t="s">
        <v>65</v>
      </c>
      <c r="AR993" t="s">
        <v>70</v>
      </c>
      <c r="AS993" t="s">
        <v>49</v>
      </c>
      <c r="AT993" t="s">
        <v>71</v>
      </c>
      <c r="AU993">
        <v>0</v>
      </c>
      <c r="AV993">
        <v>0</v>
      </c>
    </row>
    <row r="994" spans="1:48" x14ac:dyDescent="0.25">
      <c r="A994" t="s">
        <v>3537</v>
      </c>
      <c r="B994" t="s">
        <v>49</v>
      </c>
      <c r="C994" t="s">
        <v>50</v>
      </c>
      <c r="D994">
        <v>440430.42509999999</v>
      </c>
      <c r="E994">
        <v>1827415.6486</v>
      </c>
      <c r="F994">
        <v>30.951000000000001</v>
      </c>
      <c r="G994" t="s">
        <v>3538</v>
      </c>
      <c r="H994" t="s">
        <v>52</v>
      </c>
      <c r="I994">
        <v>30.951000000000001</v>
      </c>
      <c r="J994" t="s">
        <v>53</v>
      </c>
      <c r="K994">
        <v>0</v>
      </c>
      <c r="L994" t="s">
        <v>85</v>
      </c>
      <c r="M994" t="s">
        <v>424</v>
      </c>
      <c r="N994">
        <v>5.6800000000000003E-2</v>
      </c>
      <c r="O994" t="s">
        <v>56</v>
      </c>
      <c r="P994" t="s">
        <v>57</v>
      </c>
      <c r="Q994" t="s">
        <v>58</v>
      </c>
      <c r="R994" t="s">
        <v>59</v>
      </c>
      <c r="S994" t="s">
        <v>3539</v>
      </c>
      <c r="T994" t="s">
        <v>61</v>
      </c>
      <c r="U994">
        <v>1.4830000000000001</v>
      </c>
      <c r="V994" t="s">
        <v>62</v>
      </c>
      <c r="W994">
        <v>0</v>
      </c>
      <c r="X994">
        <v>29.468</v>
      </c>
      <c r="Y994" t="s">
        <v>63</v>
      </c>
      <c r="Z994" t="s">
        <v>64</v>
      </c>
      <c r="AC994" t="s">
        <v>65</v>
      </c>
      <c r="AD994" t="s">
        <v>61</v>
      </c>
      <c r="AE994" t="s">
        <v>64</v>
      </c>
      <c r="AF994" t="s">
        <v>66</v>
      </c>
      <c r="AG994" t="s">
        <v>65</v>
      </c>
      <c r="AH994" t="s">
        <v>65</v>
      </c>
      <c r="AI994" t="s">
        <v>67</v>
      </c>
      <c r="AK994" t="s">
        <v>68</v>
      </c>
      <c r="AL994" t="s">
        <v>63</v>
      </c>
      <c r="AM994" t="s">
        <v>63</v>
      </c>
      <c r="AN994" t="s">
        <v>61</v>
      </c>
      <c r="AO994" t="s">
        <v>61</v>
      </c>
      <c r="AP994" t="s">
        <v>69</v>
      </c>
      <c r="AQ994" t="s">
        <v>65</v>
      </c>
      <c r="AR994" t="s">
        <v>70</v>
      </c>
      <c r="AS994" t="s">
        <v>49</v>
      </c>
      <c r="AT994" t="s">
        <v>71</v>
      </c>
      <c r="AU994">
        <v>0</v>
      </c>
      <c r="AV994">
        <v>0</v>
      </c>
    </row>
    <row r="995" spans="1:48" x14ac:dyDescent="0.25">
      <c r="A995" t="s">
        <v>3540</v>
      </c>
      <c r="B995" t="s">
        <v>73</v>
      </c>
      <c r="C995" t="s">
        <v>50</v>
      </c>
      <c r="D995">
        <v>440454.52510000003</v>
      </c>
      <c r="E995">
        <v>1827415.9486</v>
      </c>
      <c r="F995">
        <v>30.792000000000002</v>
      </c>
      <c r="G995" t="s">
        <v>3541</v>
      </c>
      <c r="H995" t="s">
        <v>52</v>
      </c>
      <c r="I995">
        <v>30.792000000000002</v>
      </c>
      <c r="J995" t="s">
        <v>53</v>
      </c>
      <c r="K995">
        <v>0</v>
      </c>
      <c r="L995" t="s">
        <v>85</v>
      </c>
      <c r="M995" t="s">
        <v>3542</v>
      </c>
      <c r="N995">
        <v>0.3594</v>
      </c>
      <c r="O995" t="s">
        <v>56</v>
      </c>
      <c r="P995" t="s">
        <v>57</v>
      </c>
      <c r="Q995" t="s">
        <v>59</v>
      </c>
      <c r="R995" t="s">
        <v>58</v>
      </c>
      <c r="S995" t="s">
        <v>3543</v>
      </c>
      <c r="T995" t="s">
        <v>61</v>
      </c>
      <c r="U995">
        <v>1.6294999999999999</v>
      </c>
      <c r="V995" t="s">
        <v>62</v>
      </c>
      <c r="W995">
        <v>0</v>
      </c>
      <c r="X995">
        <v>29.161999999999999</v>
      </c>
      <c r="Y995" t="s">
        <v>63</v>
      </c>
      <c r="Z995" t="s">
        <v>64</v>
      </c>
      <c r="AC995" t="s">
        <v>65</v>
      </c>
      <c r="AD995" t="s">
        <v>61</v>
      </c>
      <c r="AE995" t="s">
        <v>64</v>
      </c>
      <c r="AF995" t="s">
        <v>68</v>
      </c>
      <c r="AG995" t="s">
        <v>65</v>
      </c>
      <c r="AH995" t="s">
        <v>65</v>
      </c>
      <c r="AI995" t="s">
        <v>67</v>
      </c>
      <c r="AK995" t="s">
        <v>66</v>
      </c>
      <c r="AL995" t="s">
        <v>63</v>
      </c>
      <c r="AM995" t="s">
        <v>63</v>
      </c>
      <c r="AN995" t="s">
        <v>61</v>
      </c>
      <c r="AO995" t="s">
        <v>61</v>
      </c>
      <c r="AP995" t="s">
        <v>69</v>
      </c>
      <c r="AQ995" t="s">
        <v>65</v>
      </c>
      <c r="AR995" t="s">
        <v>70</v>
      </c>
      <c r="AS995" t="s">
        <v>73</v>
      </c>
      <c r="AT995" t="s">
        <v>71</v>
      </c>
      <c r="AU995">
        <v>0</v>
      </c>
      <c r="AV995">
        <v>0</v>
      </c>
    </row>
    <row r="996" spans="1:48" x14ac:dyDescent="0.25">
      <c r="A996" t="s">
        <v>3544</v>
      </c>
      <c r="B996" t="s">
        <v>73</v>
      </c>
      <c r="C996" t="s">
        <v>50</v>
      </c>
      <c r="D996">
        <v>440454.52510000003</v>
      </c>
      <c r="E996">
        <v>1827424.9635999999</v>
      </c>
      <c r="F996">
        <v>30.577999999999999</v>
      </c>
      <c r="G996" t="s">
        <v>3545</v>
      </c>
      <c r="H996" t="s">
        <v>52</v>
      </c>
      <c r="I996">
        <v>30.577999999999999</v>
      </c>
      <c r="J996" t="s">
        <v>53</v>
      </c>
      <c r="K996">
        <v>0</v>
      </c>
      <c r="L996" t="s">
        <v>80</v>
      </c>
      <c r="M996" t="s">
        <v>3542</v>
      </c>
      <c r="N996">
        <v>-0.26379999999999998</v>
      </c>
      <c r="O996" t="s">
        <v>56</v>
      </c>
      <c r="P996" t="s">
        <v>57</v>
      </c>
      <c r="Q996" t="s">
        <v>59</v>
      </c>
      <c r="R996" t="s">
        <v>58</v>
      </c>
      <c r="S996" t="s">
        <v>3546</v>
      </c>
      <c r="T996" t="s">
        <v>61</v>
      </c>
      <c r="U996">
        <v>1.4434</v>
      </c>
      <c r="V996" t="s">
        <v>62</v>
      </c>
      <c r="W996">
        <v>0</v>
      </c>
      <c r="X996">
        <v>29.135000000000002</v>
      </c>
      <c r="Y996" t="s">
        <v>63</v>
      </c>
      <c r="Z996" t="s">
        <v>64</v>
      </c>
      <c r="AC996" t="s">
        <v>65</v>
      </c>
      <c r="AD996" t="s">
        <v>61</v>
      </c>
      <c r="AE996" t="s">
        <v>64</v>
      </c>
      <c r="AF996" t="s">
        <v>68</v>
      </c>
      <c r="AG996" t="s">
        <v>65</v>
      </c>
      <c r="AH996" t="s">
        <v>65</v>
      </c>
      <c r="AI996" t="s">
        <v>67</v>
      </c>
      <c r="AK996" t="s">
        <v>66</v>
      </c>
      <c r="AL996" t="s">
        <v>63</v>
      </c>
      <c r="AM996" t="s">
        <v>63</v>
      </c>
      <c r="AN996" t="s">
        <v>61</v>
      </c>
      <c r="AO996" t="s">
        <v>61</v>
      </c>
      <c r="AP996" t="s">
        <v>69</v>
      </c>
      <c r="AQ996" t="s">
        <v>65</v>
      </c>
      <c r="AR996" t="s">
        <v>70</v>
      </c>
      <c r="AS996" t="s">
        <v>73</v>
      </c>
      <c r="AT996" t="s">
        <v>71</v>
      </c>
      <c r="AU996">
        <v>0</v>
      </c>
      <c r="AV996">
        <v>0</v>
      </c>
    </row>
    <row r="997" spans="1:48" x14ac:dyDescent="0.25">
      <c r="A997" t="s">
        <v>3547</v>
      </c>
      <c r="B997" t="s">
        <v>73</v>
      </c>
      <c r="C997" t="s">
        <v>50</v>
      </c>
      <c r="D997">
        <v>440454.52510000003</v>
      </c>
      <c r="E997">
        <v>1827439.4838</v>
      </c>
      <c r="F997">
        <v>30.673999999999999</v>
      </c>
      <c r="G997" t="s">
        <v>3548</v>
      </c>
      <c r="H997" t="s">
        <v>52</v>
      </c>
      <c r="I997">
        <v>30.673999999999999</v>
      </c>
      <c r="J997" t="s">
        <v>53</v>
      </c>
      <c r="K997">
        <v>0</v>
      </c>
      <c r="L997" t="s">
        <v>3549</v>
      </c>
      <c r="M997" t="s">
        <v>440</v>
      </c>
      <c r="N997">
        <v>0</v>
      </c>
      <c r="O997" t="s">
        <v>56</v>
      </c>
      <c r="P997" t="s">
        <v>57</v>
      </c>
      <c r="Q997" t="s">
        <v>59</v>
      </c>
      <c r="R997" t="s">
        <v>58</v>
      </c>
      <c r="S997" t="s">
        <v>3550</v>
      </c>
      <c r="T997" t="s">
        <v>61</v>
      </c>
      <c r="U997">
        <v>1.5608</v>
      </c>
      <c r="V997" t="s">
        <v>62</v>
      </c>
      <c r="W997">
        <v>0</v>
      </c>
      <c r="X997">
        <v>29.113</v>
      </c>
      <c r="Y997" t="s">
        <v>63</v>
      </c>
      <c r="Z997" t="s">
        <v>64</v>
      </c>
      <c r="AC997" t="s">
        <v>65</v>
      </c>
      <c r="AD997" t="s">
        <v>61</v>
      </c>
      <c r="AE997" t="s">
        <v>64</v>
      </c>
      <c r="AF997" t="s">
        <v>68</v>
      </c>
      <c r="AG997" t="s">
        <v>65</v>
      </c>
      <c r="AH997" t="s">
        <v>65</v>
      </c>
      <c r="AI997" t="s">
        <v>67</v>
      </c>
      <c r="AK997" t="s">
        <v>66</v>
      </c>
      <c r="AL997" t="s">
        <v>63</v>
      </c>
      <c r="AM997" t="s">
        <v>63</v>
      </c>
      <c r="AN997" t="s">
        <v>61</v>
      </c>
      <c r="AO997" t="s">
        <v>61</v>
      </c>
      <c r="AP997" t="s">
        <v>69</v>
      </c>
      <c r="AQ997" t="s">
        <v>65</v>
      </c>
      <c r="AR997" t="s">
        <v>70</v>
      </c>
      <c r="AS997" t="s">
        <v>73</v>
      </c>
      <c r="AT997" t="s">
        <v>71</v>
      </c>
      <c r="AU997">
        <v>0</v>
      </c>
      <c r="AV997">
        <v>0</v>
      </c>
    </row>
    <row r="998" spans="1:48" x14ac:dyDescent="0.25">
      <c r="A998" t="s">
        <v>3551</v>
      </c>
      <c r="B998" t="s">
        <v>73</v>
      </c>
      <c r="C998" t="s">
        <v>50</v>
      </c>
      <c r="D998">
        <v>440454.52510000003</v>
      </c>
      <c r="E998">
        <v>1827459.4838</v>
      </c>
      <c r="F998">
        <v>30.574999999999999</v>
      </c>
      <c r="G998" t="s">
        <v>3552</v>
      </c>
      <c r="H998" t="s">
        <v>52</v>
      </c>
      <c r="I998">
        <v>30.574999999999999</v>
      </c>
      <c r="J998" t="s">
        <v>53</v>
      </c>
      <c r="K998">
        <v>0</v>
      </c>
      <c r="L998" t="s">
        <v>3549</v>
      </c>
      <c r="M998" t="s">
        <v>444</v>
      </c>
      <c r="N998">
        <v>0</v>
      </c>
      <c r="O998" t="s">
        <v>56</v>
      </c>
      <c r="P998" t="s">
        <v>57</v>
      </c>
      <c r="Q998" t="s">
        <v>59</v>
      </c>
      <c r="R998" t="s">
        <v>58</v>
      </c>
      <c r="S998" t="s">
        <v>3522</v>
      </c>
      <c r="T998" t="s">
        <v>61</v>
      </c>
      <c r="U998">
        <v>1.4923</v>
      </c>
      <c r="V998" t="s">
        <v>62</v>
      </c>
      <c r="W998">
        <v>0</v>
      </c>
      <c r="X998">
        <v>29.082999999999998</v>
      </c>
      <c r="Y998" t="s">
        <v>63</v>
      </c>
      <c r="Z998" t="s">
        <v>64</v>
      </c>
      <c r="AC998" t="s">
        <v>65</v>
      </c>
      <c r="AD998" t="s">
        <v>61</v>
      </c>
      <c r="AE998" t="s">
        <v>64</v>
      </c>
      <c r="AF998" t="s">
        <v>68</v>
      </c>
      <c r="AG998" t="s">
        <v>65</v>
      </c>
      <c r="AH998" t="s">
        <v>65</v>
      </c>
      <c r="AI998" t="s">
        <v>67</v>
      </c>
      <c r="AK998" t="s">
        <v>66</v>
      </c>
      <c r="AL998" t="s">
        <v>63</v>
      </c>
      <c r="AM998" t="s">
        <v>63</v>
      </c>
      <c r="AN998" t="s">
        <v>61</v>
      </c>
      <c r="AO998" t="s">
        <v>61</v>
      </c>
      <c r="AP998" t="s">
        <v>69</v>
      </c>
      <c r="AQ998" t="s">
        <v>65</v>
      </c>
      <c r="AR998" t="s">
        <v>70</v>
      </c>
      <c r="AS998" t="s">
        <v>73</v>
      </c>
      <c r="AT998" t="s">
        <v>71</v>
      </c>
      <c r="AU998">
        <v>0</v>
      </c>
      <c r="AV998">
        <v>0</v>
      </c>
    </row>
    <row r="999" spans="1:48" x14ac:dyDescent="0.25">
      <c r="A999" t="s">
        <v>3553</v>
      </c>
      <c r="B999" t="s">
        <v>73</v>
      </c>
      <c r="C999" t="s">
        <v>50</v>
      </c>
      <c r="D999">
        <v>440454.52510000003</v>
      </c>
      <c r="E999">
        <v>1827479.4838</v>
      </c>
      <c r="F999">
        <v>30.477</v>
      </c>
      <c r="G999" t="s">
        <v>3554</v>
      </c>
      <c r="H999" t="s">
        <v>52</v>
      </c>
      <c r="I999">
        <v>30.477</v>
      </c>
      <c r="J999" t="s">
        <v>53</v>
      </c>
      <c r="K999">
        <v>0</v>
      </c>
      <c r="L999" t="s">
        <v>3549</v>
      </c>
      <c r="M999" t="s">
        <v>448</v>
      </c>
      <c r="N999">
        <v>0</v>
      </c>
      <c r="O999" t="s">
        <v>56</v>
      </c>
      <c r="P999" t="s">
        <v>57</v>
      </c>
      <c r="Q999" t="s">
        <v>59</v>
      </c>
      <c r="R999" t="s">
        <v>58</v>
      </c>
      <c r="S999" t="s">
        <v>3525</v>
      </c>
      <c r="T999" t="s">
        <v>61</v>
      </c>
      <c r="U999">
        <v>1.4927999999999999</v>
      </c>
      <c r="V999" t="s">
        <v>62</v>
      </c>
      <c r="W999">
        <v>0</v>
      </c>
      <c r="X999">
        <v>28.984000000000002</v>
      </c>
      <c r="Y999" t="s">
        <v>63</v>
      </c>
      <c r="Z999" t="s">
        <v>64</v>
      </c>
      <c r="AC999" t="s">
        <v>65</v>
      </c>
      <c r="AD999" t="s">
        <v>61</v>
      </c>
      <c r="AE999" t="s">
        <v>64</v>
      </c>
      <c r="AF999" t="s">
        <v>68</v>
      </c>
      <c r="AG999" t="s">
        <v>65</v>
      </c>
      <c r="AH999" t="s">
        <v>65</v>
      </c>
      <c r="AI999" t="s">
        <v>67</v>
      </c>
      <c r="AK999" t="s">
        <v>66</v>
      </c>
      <c r="AL999" t="s">
        <v>63</v>
      </c>
      <c r="AM999" t="s">
        <v>63</v>
      </c>
      <c r="AN999" t="s">
        <v>61</v>
      </c>
      <c r="AO999" t="s">
        <v>61</v>
      </c>
      <c r="AP999" t="s">
        <v>69</v>
      </c>
      <c r="AQ999" t="s">
        <v>65</v>
      </c>
      <c r="AR999" t="s">
        <v>70</v>
      </c>
      <c r="AS999" t="s">
        <v>73</v>
      </c>
      <c r="AT999" t="s">
        <v>71</v>
      </c>
      <c r="AU999">
        <v>0</v>
      </c>
      <c r="AV999">
        <v>0</v>
      </c>
    </row>
    <row r="1000" spans="1:48" x14ac:dyDescent="0.25">
      <c r="A1000" t="s">
        <v>3555</v>
      </c>
      <c r="B1000" t="s">
        <v>73</v>
      </c>
      <c r="C1000" t="s">
        <v>50</v>
      </c>
      <c r="D1000">
        <v>440454.52510000003</v>
      </c>
      <c r="E1000">
        <v>1827499.4838</v>
      </c>
      <c r="F1000">
        <v>30.378</v>
      </c>
      <c r="G1000" t="s">
        <v>3556</v>
      </c>
      <c r="H1000" t="s">
        <v>52</v>
      </c>
      <c r="I1000">
        <v>30.378</v>
      </c>
      <c r="J1000" t="s">
        <v>53</v>
      </c>
      <c r="K1000">
        <v>0</v>
      </c>
      <c r="L1000" t="s">
        <v>3549</v>
      </c>
      <c r="M1000" t="s">
        <v>452</v>
      </c>
      <c r="N1000">
        <v>0</v>
      </c>
      <c r="O1000" t="s">
        <v>56</v>
      </c>
      <c r="P1000" t="s">
        <v>57</v>
      </c>
      <c r="Q1000" t="s">
        <v>59</v>
      </c>
      <c r="R1000" t="s">
        <v>58</v>
      </c>
      <c r="S1000" t="s">
        <v>3528</v>
      </c>
      <c r="T1000" t="s">
        <v>61</v>
      </c>
      <c r="U1000">
        <v>1.4923999999999999</v>
      </c>
      <c r="V1000" t="s">
        <v>62</v>
      </c>
      <c r="W1000">
        <v>0</v>
      </c>
      <c r="X1000">
        <v>28.885999999999999</v>
      </c>
      <c r="Y1000" t="s">
        <v>63</v>
      </c>
      <c r="Z1000" t="s">
        <v>64</v>
      </c>
      <c r="AC1000" t="s">
        <v>65</v>
      </c>
      <c r="AD1000" t="s">
        <v>61</v>
      </c>
      <c r="AE1000" t="s">
        <v>64</v>
      </c>
      <c r="AF1000" t="s">
        <v>68</v>
      </c>
      <c r="AG1000" t="s">
        <v>65</v>
      </c>
      <c r="AH1000" t="s">
        <v>65</v>
      </c>
      <c r="AI1000" t="s">
        <v>67</v>
      </c>
      <c r="AK1000" t="s">
        <v>66</v>
      </c>
      <c r="AL1000" t="s">
        <v>63</v>
      </c>
      <c r="AM1000" t="s">
        <v>63</v>
      </c>
      <c r="AN1000" t="s">
        <v>61</v>
      </c>
      <c r="AO1000" t="s">
        <v>61</v>
      </c>
      <c r="AP1000" t="s">
        <v>69</v>
      </c>
      <c r="AQ1000" t="s">
        <v>65</v>
      </c>
      <c r="AR1000" t="s">
        <v>70</v>
      </c>
      <c r="AS1000" t="s">
        <v>73</v>
      </c>
      <c r="AT1000" t="s">
        <v>71</v>
      </c>
      <c r="AU1000">
        <v>0</v>
      </c>
      <c r="AV1000">
        <v>0</v>
      </c>
    </row>
    <row r="1001" spans="1:48" x14ac:dyDescent="0.25">
      <c r="A1001" t="s">
        <v>3557</v>
      </c>
      <c r="B1001" t="s">
        <v>73</v>
      </c>
      <c r="C1001" t="s">
        <v>50</v>
      </c>
      <c r="D1001">
        <v>440454.52510000003</v>
      </c>
      <c r="E1001">
        <v>1827519.4838</v>
      </c>
      <c r="F1001">
        <v>30.28</v>
      </c>
      <c r="G1001" t="s">
        <v>3558</v>
      </c>
      <c r="H1001" t="s">
        <v>52</v>
      </c>
      <c r="I1001">
        <v>30.28</v>
      </c>
      <c r="J1001" t="s">
        <v>53</v>
      </c>
      <c r="K1001">
        <v>0</v>
      </c>
      <c r="L1001" t="s">
        <v>3549</v>
      </c>
      <c r="M1001" t="s">
        <v>774</v>
      </c>
      <c r="N1001">
        <v>0</v>
      </c>
      <c r="O1001" t="s">
        <v>56</v>
      </c>
      <c r="P1001" t="s">
        <v>57</v>
      </c>
      <c r="Q1001" t="s">
        <v>59</v>
      </c>
      <c r="R1001" t="s">
        <v>58</v>
      </c>
      <c r="S1001" t="s">
        <v>3559</v>
      </c>
      <c r="T1001" t="s">
        <v>61</v>
      </c>
      <c r="U1001">
        <v>1.4539</v>
      </c>
      <c r="V1001" t="s">
        <v>62</v>
      </c>
      <c r="W1001">
        <v>0</v>
      </c>
      <c r="X1001">
        <v>28.826000000000001</v>
      </c>
      <c r="Y1001" t="s">
        <v>63</v>
      </c>
      <c r="Z1001" t="s">
        <v>64</v>
      </c>
      <c r="AC1001" t="s">
        <v>65</v>
      </c>
      <c r="AD1001" t="s">
        <v>61</v>
      </c>
      <c r="AE1001" t="s">
        <v>64</v>
      </c>
      <c r="AF1001" t="s">
        <v>68</v>
      </c>
      <c r="AG1001" t="s">
        <v>65</v>
      </c>
      <c r="AH1001" t="s">
        <v>65</v>
      </c>
      <c r="AI1001" t="s">
        <v>67</v>
      </c>
      <c r="AK1001" t="s">
        <v>66</v>
      </c>
      <c r="AL1001" t="s">
        <v>63</v>
      </c>
      <c r="AM1001" t="s">
        <v>63</v>
      </c>
      <c r="AN1001" t="s">
        <v>61</v>
      </c>
      <c r="AO1001" t="s">
        <v>61</v>
      </c>
      <c r="AP1001" t="s">
        <v>69</v>
      </c>
      <c r="AQ1001" t="s">
        <v>65</v>
      </c>
      <c r="AR1001" t="s">
        <v>70</v>
      </c>
      <c r="AS1001" t="s">
        <v>73</v>
      </c>
      <c r="AT1001" t="s">
        <v>71</v>
      </c>
      <c r="AU1001">
        <v>0</v>
      </c>
      <c r="AV1001">
        <v>0</v>
      </c>
    </row>
    <row r="1002" spans="1:48" x14ac:dyDescent="0.25">
      <c r="A1002" t="s">
        <v>3560</v>
      </c>
      <c r="B1002" t="s">
        <v>125</v>
      </c>
      <c r="C1002" t="s">
        <v>50</v>
      </c>
      <c r="D1002">
        <v>440464.0001</v>
      </c>
      <c r="E1002">
        <v>1827531.6588000001</v>
      </c>
      <c r="F1002">
        <v>30.106999999999999</v>
      </c>
      <c r="G1002" t="s">
        <v>3561</v>
      </c>
      <c r="H1002" t="s">
        <v>52</v>
      </c>
      <c r="I1002">
        <v>30.106999999999999</v>
      </c>
      <c r="J1002" t="s">
        <v>53</v>
      </c>
      <c r="K1002">
        <v>0</v>
      </c>
      <c r="L1002" t="s">
        <v>141</v>
      </c>
      <c r="M1002" t="s">
        <v>3562</v>
      </c>
      <c r="N1002">
        <v>0.1084</v>
      </c>
      <c r="O1002" t="s">
        <v>56</v>
      </c>
      <c r="P1002" t="s">
        <v>57</v>
      </c>
      <c r="Q1002" t="s">
        <v>109</v>
      </c>
      <c r="R1002" t="s">
        <v>59</v>
      </c>
      <c r="S1002" t="s">
        <v>3563</v>
      </c>
      <c r="T1002" t="s">
        <v>61</v>
      </c>
      <c r="U1002">
        <v>2.1025</v>
      </c>
      <c r="V1002" t="s">
        <v>62</v>
      </c>
      <c r="W1002">
        <v>0</v>
      </c>
      <c r="X1002">
        <v>28.004000000000001</v>
      </c>
      <c r="Y1002" t="s">
        <v>63</v>
      </c>
      <c r="Z1002" t="s">
        <v>64</v>
      </c>
      <c r="AC1002" t="s">
        <v>65</v>
      </c>
      <c r="AD1002" t="s">
        <v>61</v>
      </c>
      <c r="AE1002" t="s">
        <v>64</v>
      </c>
      <c r="AF1002" t="s">
        <v>66</v>
      </c>
      <c r="AG1002" t="s">
        <v>65</v>
      </c>
      <c r="AH1002" t="s">
        <v>65</v>
      </c>
      <c r="AI1002" t="s">
        <v>67</v>
      </c>
      <c r="AK1002" t="s">
        <v>111</v>
      </c>
      <c r="AL1002" t="s">
        <v>63</v>
      </c>
      <c r="AM1002" t="s">
        <v>63</v>
      </c>
      <c r="AN1002" t="s">
        <v>61</v>
      </c>
      <c r="AO1002" t="s">
        <v>61</v>
      </c>
      <c r="AP1002" t="s">
        <v>69</v>
      </c>
      <c r="AQ1002" t="s">
        <v>65</v>
      </c>
      <c r="AR1002" t="s">
        <v>70</v>
      </c>
      <c r="AS1002" t="s">
        <v>125</v>
      </c>
      <c r="AT1002" t="s">
        <v>71</v>
      </c>
      <c r="AU1002">
        <v>0</v>
      </c>
      <c r="AV1002">
        <v>0</v>
      </c>
    </row>
    <row r="1003" spans="1:48" x14ac:dyDescent="0.25">
      <c r="A1003" t="s">
        <v>3564</v>
      </c>
      <c r="B1003" t="s">
        <v>125</v>
      </c>
      <c r="C1003" t="s">
        <v>50</v>
      </c>
      <c r="D1003">
        <v>440485.80129999999</v>
      </c>
      <c r="E1003">
        <v>1827531.6588000001</v>
      </c>
      <c r="F1003">
        <v>29.986000000000001</v>
      </c>
      <c r="G1003" t="s">
        <v>3565</v>
      </c>
      <c r="H1003" t="s">
        <v>52</v>
      </c>
      <c r="I1003">
        <v>29.986000000000001</v>
      </c>
      <c r="J1003" t="s">
        <v>53</v>
      </c>
      <c r="K1003">
        <v>0</v>
      </c>
      <c r="L1003" t="s">
        <v>141</v>
      </c>
      <c r="M1003" t="s">
        <v>3566</v>
      </c>
      <c r="N1003">
        <v>0.1084</v>
      </c>
      <c r="O1003" t="s">
        <v>56</v>
      </c>
      <c r="P1003" t="s">
        <v>57</v>
      </c>
      <c r="Q1003" t="s">
        <v>109</v>
      </c>
      <c r="R1003" t="s">
        <v>59</v>
      </c>
      <c r="S1003" t="s">
        <v>3567</v>
      </c>
      <c r="T1003" t="s">
        <v>61</v>
      </c>
      <c r="U1003">
        <v>2.1027</v>
      </c>
      <c r="V1003" t="s">
        <v>62</v>
      </c>
      <c r="W1003">
        <v>0</v>
      </c>
      <c r="X1003">
        <v>27.882999999999999</v>
      </c>
      <c r="Y1003" t="s">
        <v>63</v>
      </c>
      <c r="Z1003" t="s">
        <v>64</v>
      </c>
      <c r="AC1003" t="s">
        <v>65</v>
      </c>
      <c r="AD1003" t="s">
        <v>61</v>
      </c>
      <c r="AE1003" t="s">
        <v>64</v>
      </c>
      <c r="AF1003" t="s">
        <v>66</v>
      </c>
      <c r="AG1003" t="s">
        <v>65</v>
      </c>
      <c r="AH1003" t="s">
        <v>65</v>
      </c>
      <c r="AI1003" t="s">
        <v>67</v>
      </c>
      <c r="AK1003" t="s">
        <v>111</v>
      </c>
      <c r="AL1003" t="s">
        <v>63</v>
      </c>
      <c r="AM1003" t="s">
        <v>63</v>
      </c>
      <c r="AN1003" t="s">
        <v>61</v>
      </c>
      <c r="AO1003" t="s">
        <v>61</v>
      </c>
      <c r="AP1003" t="s">
        <v>69</v>
      </c>
      <c r="AQ1003" t="s">
        <v>65</v>
      </c>
      <c r="AR1003" t="s">
        <v>70</v>
      </c>
      <c r="AS1003" t="s">
        <v>125</v>
      </c>
      <c r="AT1003" t="s">
        <v>71</v>
      </c>
      <c r="AU1003">
        <v>0</v>
      </c>
      <c r="AV1003">
        <v>0</v>
      </c>
    </row>
    <row r="1004" spans="1:48" x14ac:dyDescent="0.25">
      <c r="A1004" t="s">
        <v>3568</v>
      </c>
      <c r="B1004" t="s">
        <v>73</v>
      </c>
      <c r="C1004" t="s">
        <v>50</v>
      </c>
      <c r="D1004">
        <v>440529.52510000003</v>
      </c>
      <c r="E1004">
        <v>1827424.8485999999</v>
      </c>
      <c r="F1004">
        <v>30.131</v>
      </c>
      <c r="G1004" t="s">
        <v>3569</v>
      </c>
      <c r="H1004" t="s">
        <v>52</v>
      </c>
      <c r="I1004">
        <v>30.131</v>
      </c>
      <c r="J1004" t="s">
        <v>53</v>
      </c>
      <c r="K1004">
        <v>0</v>
      </c>
      <c r="L1004" t="s">
        <v>362</v>
      </c>
      <c r="M1004" t="s">
        <v>436</v>
      </c>
      <c r="N1004">
        <v>0.15</v>
      </c>
      <c r="O1004" t="s">
        <v>56</v>
      </c>
      <c r="P1004" t="s">
        <v>57</v>
      </c>
      <c r="Q1004" t="s">
        <v>59</v>
      </c>
      <c r="R1004" t="s">
        <v>58</v>
      </c>
      <c r="S1004" t="s">
        <v>3570</v>
      </c>
      <c r="T1004" t="s">
        <v>61</v>
      </c>
      <c r="U1004">
        <v>1.4478</v>
      </c>
      <c r="V1004" t="s">
        <v>62</v>
      </c>
      <c r="W1004">
        <v>0</v>
      </c>
      <c r="X1004">
        <v>28.683</v>
      </c>
      <c r="Y1004" t="s">
        <v>63</v>
      </c>
      <c r="Z1004" t="s">
        <v>64</v>
      </c>
      <c r="AC1004" t="s">
        <v>65</v>
      </c>
      <c r="AD1004" t="s">
        <v>61</v>
      </c>
      <c r="AE1004" t="s">
        <v>64</v>
      </c>
      <c r="AF1004" t="s">
        <v>68</v>
      </c>
      <c r="AG1004" t="s">
        <v>65</v>
      </c>
      <c r="AH1004" t="s">
        <v>65</v>
      </c>
      <c r="AI1004" t="s">
        <v>67</v>
      </c>
      <c r="AK1004" t="s">
        <v>66</v>
      </c>
      <c r="AL1004" t="s">
        <v>63</v>
      </c>
      <c r="AM1004" t="s">
        <v>63</v>
      </c>
      <c r="AN1004" t="s">
        <v>61</v>
      </c>
      <c r="AO1004" t="s">
        <v>61</v>
      </c>
      <c r="AP1004" t="s">
        <v>69</v>
      </c>
      <c r="AQ1004" t="s">
        <v>65</v>
      </c>
      <c r="AR1004" t="s">
        <v>70</v>
      </c>
      <c r="AS1004" t="s">
        <v>73</v>
      </c>
      <c r="AT1004" t="s">
        <v>71</v>
      </c>
      <c r="AU1004">
        <v>0</v>
      </c>
      <c r="AV1004">
        <v>0</v>
      </c>
    </row>
    <row r="1005" spans="1:48" x14ac:dyDescent="0.25">
      <c r="A1005" t="s">
        <v>3571</v>
      </c>
      <c r="B1005" t="s">
        <v>73</v>
      </c>
      <c r="C1005" t="s">
        <v>50</v>
      </c>
      <c r="D1005">
        <v>440529.52510000003</v>
      </c>
      <c r="E1005">
        <v>1827439.4838</v>
      </c>
      <c r="F1005">
        <v>30.167999999999999</v>
      </c>
      <c r="G1005" t="s">
        <v>3572</v>
      </c>
      <c r="H1005" t="s">
        <v>52</v>
      </c>
      <c r="I1005">
        <v>30.167999999999999</v>
      </c>
      <c r="J1005" t="s">
        <v>53</v>
      </c>
      <c r="K1005">
        <v>0</v>
      </c>
      <c r="L1005" t="s">
        <v>362</v>
      </c>
      <c r="M1005" t="s">
        <v>440</v>
      </c>
      <c r="N1005">
        <v>0.15</v>
      </c>
      <c r="O1005" t="s">
        <v>56</v>
      </c>
      <c r="P1005" t="s">
        <v>57</v>
      </c>
      <c r="Q1005" t="s">
        <v>59</v>
      </c>
      <c r="R1005" t="s">
        <v>58</v>
      </c>
      <c r="S1005" t="s">
        <v>3573</v>
      </c>
      <c r="T1005" t="s">
        <v>61</v>
      </c>
      <c r="U1005">
        <v>1.5848</v>
      </c>
      <c r="V1005" t="s">
        <v>62</v>
      </c>
      <c r="W1005">
        <v>0</v>
      </c>
      <c r="X1005">
        <v>28.582999999999998</v>
      </c>
      <c r="Y1005" t="s">
        <v>63</v>
      </c>
      <c r="Z1005" t="s">
        <v>64</v>
      </c>
      <c r="AC1005" t="s">
        <v>65</v>
      </c>
      <c r="AD1005" t="s">
        <v>61</v>
      </c>
      <c r="AE1005" t="s">
        <v>64</v>
      </c>
      <c r="AF1005" t="s">
        <v>68</v>
      </c>
      <c r="AG1005" t="s">
        <v>65</v>
      </c>
      <c r="AH1005" t="s">
        <v>65</v>
      </c>
      <c r="AI1005" t="s">
        <v>67</v>
      </c>
      <c r="AK1005" t="s">
        <v>66</v>
      </c>
      <c r="AL1005" t="s">
        <v>63</v>
      </c>
      <c r="AM1005" t="s">
        <v>63</v>
      </c>
      <c r="AN1005" t="s">
        <v>61</v>
      </c>
      <c r="AO1005" t="s">
        <v>61</v>
      </c>
      <c r="AP1005" t="s">
        <v>69</v>
      </c>
      <c r="AQ1005" t="s">
        <v>65</v>
      </c>
      <c r="AR1005" t="s">
        <v>70</v>
      </c>
      <c r="AS1005" t="s">
        <v>73</v>
      </c>
      <c r="AT1005" t="s">
        <v>71</v>
      </c>
      <c r="AU1005">
        <v>0</v>
      </c>
      <c r="AV1005">
        <v>0</v>
      </c>
    </row>
    <row r="1006" spans="1:48" x14ac:dyDescent="0.25">
      <c r="A1006" t="s">
        <v>3574</v>
      </c>
      <c r="B1006" t="s">
        <v>73</v>
      </c>
      <c r="C1006" t="s">
        <v>50</v>
      </c>
      <c r="D1006">
        <v>440529.52510000003</v>
      </c>
      <c r="E1006">
        <v>1827459.4919</v>
      </c>
      <c r="F1006">
        <v>29.977</v>
      </c>
      <c r="G1006" t="s">
        <v>3575</v>
      </c>
      <c r="H1006" t="s">
        <v>52</v>
      </c>
      <c r="I1006">
        <v>29.977</v>
      </c>
      <c r="J1006" t="s">
        <v>53</v>
      </c>
      <c r="K1006">
        <v>0</v>
      </c>
      <c r="L1006" t="s">
        <v>362</v>
      </c>
      <c r="M1006" t="s">
        <v>3576</v>
      </c>
      <c r="N1006">
        <v>0.15</v>
      </c>
      <c r="O1006" t="s">
        <v>56</v>
      </c>
      <c r="P1006" t="s">
        <v>57</v>
      </c>
      <c r="Q1006" t="s">
        <v>59</v>
      </c>
      <c r="R1006" t="s">
        <v>58</v>
      </c>
      <c r="S1006" t="s">
        <v>3577</v>
      </c>
      <c r="T1006" t="s">
        <v>61</v>
      </c>
      <c r="U1006">
        <v>1.5652999999999999</v>
      </c>
      <c r="V1006" t="s">
        <v>62</v>
      </c>
      <c r="W1006">
        <v>0</v>
      </c>
      <c r="X1006">
        <v>28.411999999999999</v>
      </c>
      <c r="Y1006" t="s">
        <v>63</v>
      </c>
      <c r="Z1006" t="s">
        <v>64</v>
      </c>
      <c r="AC1006" t="s">
        <v>65</v>
      </c>
      <c r="AD1006" t="s">
        <v>61</v>
      </c>
      <c r="AE1006" t="s">
        <v>64</v>
      </c>
      <c r="AF1006" t="s">
        <v>68</v>
      </c>
      <c r="AG1006" t="s">
        <v>65</v>
      </c>
      <c r="AH1006" t="s">
        <v>65</v>
      </c>
      <c r="AI1006" t="s">
        <v>67</v>
      </c>
      <c r="AK1006" t="s">
        <v>66</v>
      </c>
      <c r="AL1006" t="s">
        <v>63</v>
      </c>
      <c r="AM1006" t="s">
        <v>63</v>
      </c>
      <c r="AN1006" t="s">
        <v>61</v>
      </c>
      <c r="AO1006" t="s">
        <v>61</v>
      </c>
      <c r="AP1006" t="s">
        <v>69</v>
      </c>
      <c r="AQ1006" t="s">
        <v>65</v>
      </c>
      <c r="AR1006" t="s">
        <v>70</v>
      </c>
      <c r="AS1006" t="s">
        <v>73</v>
      </c>
      <c r="AT1006" t="s">
        <v>71</v>
      </c>
      <c r="AU1006">
        <v>0</v>
      </c>
      <c r="AV1006">
        <v>0</v>
      </c>
    </row>
    <row r="1007" spans="1:48" x14ac:dyDescent="0.25">
      <c r="A1007" t="s">
        <v>3578</v>
      </c>
      <c r="B1007" t="s">
        <v>73</v>
      </c>
      <c r="C1007" t="s">
        <v>50</v>
      </c>
      <c r="D1007">
        <v>440529.52510000003</v>
      </c>
      <c r="E1007">
        <v>1827499.4838</v>
      </c>
      <c r="F1007">
        <v>29.596</v>
      </c>
      <c r="G1007" t="s">
        <v>3579</v>
      </c>
      <c r="H1007" t="s">
        <v>52</v>
      </c>
      <c r="I1007">
        <v>29.596</v>
      </c>
      <c r="J1007" t="s">
        <v>53</v>
      </c>
      <c r="K1007">
        <v>0</v>
      </c>
      <c r="L1007" t="s">
        <v>362</v>
      </c>
      <c r="M1007" t="s">
        <v>452</v>
      </c>
      <c r="N1007">
        <v>0.15</v>
      </c>
      <c r="O1007" t="s">
        <v>56</v>
      </c>
      <c r="P1007" t="s">
        <v>57</v>
      </c>
      <c r="Q1007" t="s">
        <v>59</v>
      </c>
      <c r="R1007" t="s">
        <v>58</v>
      </c>
      <c r="S1007" t="s">
        <v>3580</v>
      </c>
      <c r="T1007" t="s">
        <v>61</v>
      </c>
      <c r="U1007">
        <v>1.5844</v>
      </c>
      <c r="V1007" t="s">
        <v>62</v>
      </c>
      <c r="W1007">
        <v>0</v>
      </c>
      <c r="X1007">
        <v>28.012</v>
      </c>
      <c r="Y1007" t="s">
        <v>63</v>
      </c>
      <c r="Z1007" t="s">
        <v>64</v>
      </c>
      <c r="AC1007" t="s">
        <v>65</v>
      </c>
      <c r="AD1007" t="s">
        <v>61</v>
      </c>
      <c r="AE1007" t="s">
        <v>64</v>
      </c>
      <c r="AF1007" t="s">
        <v>68</v>
      </c>
      <c r="AG1007" t="s">
        <v>65</v>
      </c>
      <c r="AH1007" t="s">
        <v>65</v>
      </c>
      <c r="AI1007" t="s">
        <v>67</v>
      </c>
      <c r="AK1007" t="s">
        <v>66</v>
      </c>
      <c r="AL1007" t="s">
        <v>63</v>
      </c>
      <c r="AM1007" t="s">
        <v>63</v>
      </c>
      <c r="AN1007" t="s">
        <v>61</v>
      </c>
      <c r="AO1007" t="s">
        <v>61</v>
      </c>
      <c r="AP1007" t="s">
        <v>69</v>
      </c>
      <c r="AQ1007" t="s">
        <v>65</v>
      </c>
      <c r="AR1007" t="s">
        <v>70</v>
      </c>
      <c r="AS1007" t="s">
        <v>73</v>
      </c>
      <c r="AT1007" t="s">
        <v>71</v>
      </c>
      <c r="AU1007">
        <v>0</v>
      </c>
      <c r="AV1007">
        <v>0</v>
      </c>
    </row>
    <row r="1008" spans="1:48" x14ac:dyDescent="0.25">
      <c r="A1008" t="s">
        <v>3581</v>
      </c>
      <c r="B1008" t="s">
        <v>49</v>
      </c>
      <c r="C1008" t="s">
        <v>50</v>
      </c>
      <c r="D1008">
        <v>440470.42509999999</v>
      </c>
      <c r="E1008">
        <v>1827415.6486</v>
      </c>
      <c r="F1008">
        <v>30.696000000000002</v>
      </c>
      <c r="G1008" t="s">
        <v>3582</v>
      </c>
      <c r="H1008" t="s">
        <v>52</v>
      </c>
      <c r="I1008">
        <v>30.696000000000002</v>
      </c>
      <c r="J1008" t="s">
        <v>53</v>
      </c>
      <c r="K1008">
        <v>0</v>
      </c>
      <c r="L1008" t="s">
        <v>85</v>
      </c>
      <c r="M1008" t="s">
        <v>432</v>
      </c>
      <c r="N1008">
        <v>6.1100000000000002E-2</v>
      </c>
      <c r="O1008" t="s">
        <v>56</v>
      </c>
      <c r="P1008" t="s">
        <v>57</v>
      </c>
      <c r="Q1008" t="s">
        <v>58</v>
      </c>
      <c r="R1008" t="s">
        <v>59</v>
      </c>
      <c r="S1008" t="s">
        <v>3583</v>
      </c>
      <c r="T1008" t="s">
        <v>61</v>
      </c>
      <c r="U1008">
        <v>1.5213000000000001</v>
      </c>
      <c r="V1008" t="s">
        <v>62</v>
      </c>
      <c r="W1008">
        <v>0</v>
      </c>
      <c r="X1008">
        <v>29.175000000000001</v>
      </c>
      <c r="Y1008" t="s">
        <v>63</v>
      </c>
      <c r="Z1008" t="s">
        <v>64</v>
      </c>
      <c r="AC1008" t="s">
        <v>65</v>
      </c>
      <c r="AD1008" t="s">
        <v>61</v>
      </c>
      <c r="AE1008" t="s">
        <v>64</v>
      </c>
      <c r="AF1008" t="s">
        <v>66</v>
      </c>
      <c r="AG1008" t="s">
        <v>65</v>
      </c>
      <c r="AH1008" t="s">
        <v>65</v>
      </c>
      <c r="AI1008" t="s">
        <v>67</v>
      </c>
      <c r="AK1008" t="s">
        <v>68</v>
      </c>
      <c r="AL1008" t="s">
        <v>63</v>
      </c>
      <c r="AM1008" t="s">
        <v>63</v>
      </c>
      <c r="AN1008" t="s">
        <v>61</v>
      </c>
      <c r="AO1008" t="s">
        <v>61</v>
      </c>
      <c r="AP1008" t="s">
        <v>69</v>
      </c>
      <c r="AQ1008" t="s">
        <v>65</v>
      </c>
      <c r="AR1008" t="s">
        <v>70</v>
      </c>
      <c r="AS1008" t="s">
        <v>49</v>
      </c>
      <c r="AT1008" t="s">
        <v>71</v>
      </c>
      <c r="AU1008">
        <v>0</v>
      </c>
      <c r="AV1008">
        <v>0</v>
      </c>
    </row>
    <row r="1009" spans="1:48" x14ac:dyDescent="0.25">
      <c r="A1009" t="s">
        <v>3584</v>
      </c>
      <c r="B1009" t="s">
        <v>49</v>
      </c>
      <c r="C1009" t="s">
        <v>50</v>
      </c>
      <c r="D1009">
        <v>440490.42509999999</v>
      </c>
      <c r="E1009">
        <v>1827415.6486</v>
      </c>
      <c r="F1009">
        <v>30.568999999999999</v>
      </c>
      <c r="G1009" t="s">
        <v>3585</v>
      </c>
      <c r="H1009" t="s">
        <v>52</v>
      </c>
      <c r="I1009">
        <v>30.568999999999999</v>
      </c>
      <c r="J1009" t="s">
        <v>53</v>
      </c>
      <c r="K1009">
        <v>0</v>
      </c>
      <c r="L1009" t="s">
        <v>85</v>
      </c>
      <c r="M1009" t="s">
        <v>597</v>
      </c>
      <c r="N1009">
        <v>6.3299999999999995E-2</v>
      </c>
      <c r="O1009" t="s">
        <v>56</v>
      </c>
      <c r="P1009" t="s">
        <v>57</v>
      </c>
      <c r="Q1009" t="s">
        <v>58</v>
      </c>
      <c r="R1009" t="s">
        <v>59</v>
      </c>
      <c r="S1009" t="s">
        <v>3586</v>
      </c>
      <c r="T1009" t="s">
        <v>61</v>
      </c>
      <c r="U1009">
        <v>1.5219</v>
      </c>
      <c r="V1009" t="s">
        <v>62</v>
      </c>
      <c r="W1009">
        <v>0</v>
      </c>
      <c r="X1009">
        <v>29.047000000000001</v>
      </c>
      <c r="Y1009" t="s">
        <v>63</v>
      </c>
      <c r="Z1009" t="s">
        <v>64</v>
      </c>
      <c r="AC1009" t="s">
        <v>65</v>
      </c>
      <c r="AD1009" t="s">
        <v>61</v>
      </c>
      <c r="AE1009" t="s">
        <v>64</v>
      </c>
      <c r="AF1009" t="s">
        <v>66</v>
      </c>
      <c r="AG1009" t="s">
        <v>65</v>
      </c>
      <c r="AH1009" t="s">
        <v>65</v>
      </c>
      <c r="AI1009" t="s">
        <v>67</v>
      </c>
      <c r="AK1009" t="s">
        <v>68</v>
      </c>
      <c r="AL1009" t="s">
        <v>63</v>
      </c>
      <c r="AM1009" t="s">
        <v>63</v>
      </c>
      <c r="AN1009" t="s">
        <v>61</v>
      </c>
      <c r="AO1009" t="s">
        <v>61</v>
      </c>
      <c r="AP1009" t="s">
        <v>69</v>
      </c>
      <c r="AQ1009" t="s">
        <v>65</v>
      </c>
      <c r="AR1009" t="s">
        <v>70</v>
      </c>
      <c r="AS1009" t="s">
        <v>49</v>
      </c>
      <c r="AT1009" t="s">
        <v>71</v>
      </c>
      <c r="AU1009">
        <v>0</v>
      </c>
      <c r="AV1009">
        <v>0</v>
      </c>
    </row>
    <row r="1010" spans="1:48" x14ac:dyDescent="0.25">
      <c r="A1010" t="s">
        <v>3587</v>
      </c>
      <c r="B1010" t="s">
        <v>49</v>
      </c>
      <c r="C1010" t="s">
        <v>50</v>
      </c>
      <c r="D1010">
        <v>440510.42509999999</v>
      </c>
      <c r="E1010">
        <v>1827415.6486</v>
      </c>
      <c r="F1010">
        <v>30.442</v>
      </c>
      <c r="G1010" t="s">
        <v>3588</v>
      </c>
      <c r="H1010" t="s">
        <v>52</v>
      </c>
      <c r="I1010">
        <v>30.442</v>
      </c>
      <c r="J1010" t="s">
        <v>53</v>
      </c>
      <c r="K1010">
        <v>0</v>
      </c>
      <c r="L1010" t="s">
        <v>85</v>
      </c>
      <c r="M1010" t="s">
        <v>440</v>
      </c>
      <c r="N1010">
        <v>6.54E-2</v>
      </c>
      <c r="O1010" t="s">
        <v>56</v>
      </c>
      <c r="P1010" t="s">
        <v>57</v>
      </c>
      <c r="Q1010" t="s">
        <v>58</v>
      </c>
      <c r="R1010" t="s">
        <v>59</v>
      </c>
      <c r="S1010" t="s">
        <v>3589</v>
      </c>
      <c r="T1010" t="s">
        <v>61</v>
      </c>
      <c r="U1010">
        <v>1.4875</v>
      </c>
      <c r="V1010" t="s">
        <v>62</v>
      </c>
      <c r="W1010">
        <v>0</v>
      </c>
      <c r="X1010">
        <v>28.954000000000001</v>
      </c>
      <c r="Y1010" t="s">
        <v>63</v>
      </c>
      <c r="Z1010" t="s">
        <v>64</v>
      </c>
      <c r="AC1010" t="s">
        <v>65</v>
      </c>
      <c r="AD1010" t="s">
        <v>61</v>
      </c>
      <c r="AE1010" t="s">
        <v>64</v>
      </c>
      <c r="AF1010" t="s">
        <v>66</v>
      </c>
      <c r="AG1010" t="s">
        <v>65</v>
      </c>
      <c r="AH1010" t="s">
        <v>65</v>
      </c>
      <c r="AI1010" t="s">
        <v>67</v>
      </c>
      <c r="AK1010" t="s">
        <v>68</v>
      </c>
      <c r="AL1010" t="s">
        <v>63</v>
      </c>
      <c r="AM1010" t="s">
        <v>63</v>
      </c>
      <c r="AN1010" t="s">
        <v>61</v>
      </c>
      <c r="AO1010" t="s">
        <v>61</v>
      </c>
      <c r="AP1010" t="s">
        <v>69</v>
      </c>
      <c r="AQ1010" t="s">
        <v>65</v>
      </c>
      <c r="AR1010" t="s">
        <v>70</v>
      </c>
      <c r="AS1010" t="s">
        <v>49</v>
      </c>
      <c r="AT1010" t="s">
        <v>71</v>
      </c>
      <c r="AU1010">
        <v>0</v>
      </c>
      <c r="AV1010">
        <v>0</v>
      </c>
    </row>
    <row r="1011" spans="1:48" x14ac:dyDescent="0.25">
      <c r="A1011" t="s">
        <v>3590</v>
      </c>
      <c r="B1011" t="s">
        <v>73</v>
      </c>
      <c r="C1011" t="s">
        <v>50</v>
      </c>
      <c r="D1011">
        <v>440520.1251</v>
      </c>
      <c r="E1011">
        <v>1827415.9486</v>
      </c>
      <c r="F1011">
        <v>30.373999999999999</v>
      </c>
      <c r="G1011" t="s">
        <v>3591</v>
      </c>
      <c r="H1011" t="s">
        <v>52</v>
      </c>
      <c r="I1011">
        <v>30.373999999999999</v>
      </c>
      <c r="J1011" t="s">
        <v>53</v>
      </c>
      <c r="K1011">
        <v>0</v>
      </c>
      <c r="L1011" t="s">
        <v>85</v>
      </c>
      <c r="M1011" t="s">
        <v>2350</v>
      </c>
      <c r="N1011">
        <v>0.36649999999999999</v>
      </c>
      <c r="O1011" t="s">
        <v>56</v>
      </c>
      <c r="P1011" t="s">
        <v>57</v>
      </c>
      <c r="Q1011" t="s">
        <v>59</v>
      </c>
      <c r="R1011" t="s">
        <v>58</v>
      </c>
      <c r="S1011" t="s">
        <v>3592</v>
      </c>
      <c r="T1011" t="s">
        <v>61</v>
      </c>
      <c r="U1011">
        <v>1.6637</v>
      </c>
      <c r="V1011" t="s">
        <v>62</v>
      </c>
      <c r="W1011">
        <v>0</v>
      </c>
      <c r="X1011">
        <v>28.71</v>
      </c>
      <c r="Y1011" t="s">
        <v>63</v>
      </c>
      <c r="Z1011" t="s">
        <v>64</v>
      </c>
      <c r="AC1011" t="s">
        <v>65</v>
      </c>
      <c r="AD1011" t="s">
        <v>61</v>
      </c>
      <c r="AE1011" t="s">
        <v>64</v>
      </c>
      <c r="AF1011" t="s">
        <v>68</v>
      </c>
      <c r="AG1011" t="s">
        <v>65</v>
      </c>
      <c r="AH1011" t="s">
        <v>65</v>
      </c>
      <c r="AI1011" t="s">
        <v>67</v>
      </c>
      <c r="AK1011" t="s">
        <v>66</v>
      </c>
      <c r="AL1011" t="s">
        <v>63</v>
      </c>
      <c r="AM1011" t="s">
        <v>63</v>
      </c>
      <c r="AN1011" t="s">
        <v>61</v>
      </c>
      <c r="AO1011" t="s">
        <v>61</v>
      </c>
      <c r="AP1011" t="s">
        <v>69</v>
      </c>
      <c r="AQ1011" t="s">
        <v>65</v>
      </c>
      <c r="AR1011" t="s">
        <v>70</v>
      </c>
      <c r="AS1011" t="s">
        <v>73</v>
      </c>
      <c r="AT1011" t="s">
        <v>71</v>
      </c>
      <c r="AU1011">
        <v>0</v>
      </c>
      <c r="AV1011">
        <v>0</v>
      </c>
    </row>
    <row r="1012" spans="1:48" x14ac:dyDescent="0.25">
      <c r="A1012" t="s">
        <v>3593</v>
      </c>
      <c r="B1012" t="s">
        <v>49</v>
      </c>
      <c r="C1012" t="s">
        <v>50</v>
      </c>
      <c r="D1012">
        <v>440470.42509999999</v>
      </c>
      <c r="E1012">
        <v>1827425.0486000001</v>
      </c>
      <c r="F1012">
        <v>30.734000000000002</v>
      </c>
      <c r="G1012" t="s">
        <v>3594</v>
      </c>
      <c r="H1012" t="s">
        <v>52</v>
      </c>
      <c r="I1012">
        <v>30.734000000000002</v>
      </c>
      <c r="J1012" t="s">
        <v>53</v>
      </c>
      <c r="K1012">
        <v>0</v>
      </c>
      <c r="L1012" t="s">
        <v>80</v>
      </c>
      <c r="M1012" t="s">
        <v>432</v>
      </c>
      <c r="N1012">
        <v>-0.184</v>
      </c>
      <c r="O1012" t="s">
        <v>56</v>
      </c>
      <c r="P1012" t="s">
        <v>57</v>
      </c>
      <c r="Q1012" t="s">
        <v>58</v>
      </c>
      <c r="R1012" t="s">
        <v>59</v>
      </c>
      <c r="S1012" t="s">
        <v>3595</v>
      </c>
      <c r="T1012" t="s">
        <v>61</v>
      </c>
      <c r="U1012">
        <v>1.5592999999999999</v>
      </c>
      <c r="V1012" t="s">
        <v>62</v>
      </c>
      <c r="W1012">
        <v>0</v>
      </c>
      <c r="X1012">
        <v>29.175000000000001</v>
      </c>
      <c r="Y1012" t="s">
        <v>63</v>
      </c>
      <c r="Z1012" t="s">
        <v>64</v>
      </c>
      <c r="AC1012" t="s">
        <v>65</v>
      </c>
      <c r="AD1012" t="s">
        <v>61</v>
      </c>
      <c r="AE1012" t="s">
        <v>64</v>
      </c>
      <c r="AF1012" t="s">
        <v>66</v>
      </c>
      <c r="AG1012" t="s">
        <v>65</v>
      </c>
      <c r="AH1012" t="s">
        <v>65</v>
      </c>
      <c r="AI1012" t="s">
        <v>67</v>
      </c>
      <c r="AK1012" t="s">
        <v>68</v>
      </c>
      <c r="AL1012" t="s">
        <v>63</v>
      </c>
      <c r="AM1012" t="s">
        <v>63</v>
      </c>
      <c r="AN1012" t="s">
        <v>61</v>
      </c>
      <c r="AO1012" t="s">
        <v>61</v>
      </c>
      <c r="AP1012" t="s">
        <v>69</v>
      </c>
      <c r="AQ1012" t="s">
        <v>65</v>
      </c>
      <c r="AR1012" t="s">
        <v>70</v>
      </c>
      <c r="AS1012" t="s">
        <v>49</v>
      </c>
      <c r="AT1012" t="s">
        <v>71</v>
      </c>
      <c r="AU1012">
        <v>0</v>
      </c>
      <c r="AV1012">
        <v>0</v>
      </c>
    </row>
    <row r="1013" spans="1:48" x14ac:dyDescent="0.25">
      <c r="A1013" t="s">
        <v>3596</v>
      </c>
      <c r="B1013" t="s">
        <v>49</v>
      </c>
      <c r="C1013" t="s">
        <v>50</v>
      </c>
      <c r="D1013">
        <v>440490.42509999999</v>
      </c>
      <c r="E1013">
        <v>1827425.0486000001</v>
      </c>
      <c r="F1013">
        <v>30.568999999999999</v>
      </c>
      <c r="G1013" t="s">
        <v>3597</v>
      </c>
      <c r="H1013" t="s">
        <v>52</v>
      </c>
      <c r="I1013">
        <v>30.568999999999999</v>
      </c>
      <c r="J1013" t="s">
        <v>53</v>
      </c>
      <c r="K1013">
        <v>0</v>
      </c>
      <c r="L1013" t="s">
        <v>80</v>
      </c>
      <c r="M1013" t="s">
        <v>597</v>
      </c>
      <c r="N1013">
        <v>-0.19059999999999999</v>
      </c>
      <c r="O1013" t="s">
        <v>56</v>
      </c>
      <c r="P1013" t="s">
        <v>57</v>
      </c>
      <c r="Q1013" t="s">
        <v>58</v>
      </c>
      <c r="R1013" t="s">
        <v>59</v>
      </c>
      <c r="S1013" t="s">
        <v>3586</v>
      </c>
      <c r="T1013" t="s">
        <v>61</v>
      </c>
      <c r="U1013">
        <v>1.5219</v>
      </c>
      <c r="V1013" t="s">
        <v>62</v>
      </c>
      <c r="W1013">
        <v>0</v>
      </c>
      <c r="X1013">
        <v>29.047000000000001</v>
      </c>
      <c r="Y1013" t="s">
        <v>63</v>
      </c>
      <c r="Z1013" t="s">
        <v>64</v>
      </c>
      <c r="AC1013" t="s">
        <v>65</v>
      </c>
      <c r="AD1013" t="s">
        <v>61</v>
      </c>
      <c r="AE1013" t="s">
        <v>64</v>
      </c>
      <c r="AF1013" t="s">
        <v>66</v>
      </c>
      <c r="AG1013" t="s">
        <v>65</v>
      </c>
      <c r="AH1013" t="s">
        <v>65</v>
      </c>
      <c r="AI1013" t="s">
        <v>67</v>
      </c>
      <c r="AK1013" t="s">
        <v>68</v>
      </c>
      <c r="AL1013" t="s">
        <v>63</v>
      </c>
      <c r="AM1013" t="s">
        <v>63</v>
      </c>
      <c r="AN1013" t="s">
        <v>61</v>
      </c>
      <c r="AO1013" t="s">
        <v>61</v>
      </c>
      <c r="AP1013" t="s">
        <v>69</v>
      </c>
      <c r="AQ1013" t="s">
        <v>65</v>
      </c>
      <c r="AR1013" t="s">
        <v>70</v>
      </c>
      <c r="AS1013" t="s">
        <v>49</v>
      </c>
      <c r="AT1013" t="s">
        <v>71</v>
      </c>
      <c r="AU1013">
        <v>0</v>
      </c>
      <c r="AV1013">
        <v>0</v>
      </c>
    </row>
    <row r="1014" spans="1:48" x14ac:dyDescent="0.25">
      <c r="A1014" t="s">
        <v>3598</v>
      </c>
      <c r="B1014" t="s">
        <v>49</v>
      </c>
      <c r="C1014" t="s">
        <v>50</v>
      </c>
      <c r="D1014">
        <v>440510.42509999999</v>
      </c>
      <c r="E1014">
        <v>1827425.0486000001</v>
      </c>
      <c r="F1014">
        <v>30.442</v>
      </c>
      <c r="G1014" t="s">
        <v>3599</v>
      </c>
      <c r="H1014" t="s">
        <v>52</v>
      </c>
      <c r="I1014">
        <v>30.442</v>
      </c>
      <c r="J1014" t="s">
        <v>53</v>
      </c>
      <c r="K1014">
        <v>0</v>
      </c>
      <c r="L1014" t="s">
        <v>80</v>
      </c>
      <c r="M1014" t="s">
        <v>440</v>
      </c>
      <c r="N1014">
        <v>-0.1971</v>
      </c>
      <c r="O1014" t="s">
        <v>56</v>
      </c>
      <c r="P1014" t="s">
        <v>57</v>
      </c>
      <c r="Q1014" t="s">
        <v>58</v>
      </c>
      <c r="R1014" t="s">
        <v>59</v>
      </c>
      <c r="S1014" t="s">
        <v>3600</v>
      </c>
      <c r="T1014" t="s">
        <v>61</v>
      </c>
      <c r="U1014">
        <v>1.7284999999999999</v>
      </c>
      <c r="V1014" t="s">
        <v>62</v>
      </c>
      <c r="W1014">
        <v>0</v>
      </c>
      <c r="X1014">
        <v>28.713000000000001</v>
      </c>
      <c r="Y1014" t="s">
        <v>63</v>
      </c>
      <c r="Z1014" t="s">
        <v>64</v>
      </c>
      <c r="AC1014" t="s">
        <v>65</v>
      </c>
      <c r="AD1014" t="s">
        <v>61</v>
      </c>
      <c r="AE1014" t="s">
        <v>64</v>
      </c>
      <c r="AF1014" t="s">
        <v>66</v>
      </c>
      <c r="AG1014" t="s">
        <v>65</v>
      </c>
      <c r="AH1014" t="s">
        <v>65</v>
      </c>
      <c r="AI1014" t="s">
        <v>67</v>
      </c>
      <c r="AK1014" t="s">
        <v>68</v>
      </c>
      <c r="AL1014" t="s">
        <v>63</v>
      </c>
      <c r="AM1014" t="s">
        <v>63</v>
      </c>
      <c r="AN1014" t="s">
        <v>61</v>
      </c>
      <c r="AO1014" t="s">
        <v>61</v>
      </c>
      <c r="AP1014" t="s">
        <v>69</v>
      </c>
      <c r="AQ1014" t="s">
        <v>65</v>
      </c>
      <c r="AR1014" t="s">
        <v>70</v>
      </c>
      <c r="AS1014" t="s">
        <v>49</v>
      </c>
      <c r="AT1014" t="s">
        <v>71</v>
      </c>
      <c r="AU1014">
        <v>0</v>
      </c>
      <c r="AV1014">
        <v>0</v>
      </c>
    </row>
    <row r="1015" spans="1:48" x14ac:dyDescent="0.25">
      <c r="A1015" t="s">
        <v>3601</v>
      </c>
      <c r="B1015" t="s">
        <v>73</v>
      </c>
      <c r="C1015" t="s">
        <v>50</v>
      </c>
      <c r="D1015">
        <v>440520.1251</v>
      </c>
      <c r="E1015">
        <v>1827424.8999000001</v>
      </c>
      <c r="F1015">
        <v>30.132000000000001</v>
      </c>
      <c r="G1015" t="s">
        <v>3602</v>
      </c>
      <c r="H1015" t="s">
        <v>52</v>
      </c>
      <c r="I1015">
        <v>30.132000000000001</v>
      </c>
      <c r="J1015" t="s">
        <v>53</v>
      </c>
      <c r="K1015">
        <v>0</v>
      </c>
      <c r="L1015" t="s">
        <v>80</v>
      </c>
      <c r="M1015" t="s">
        <v>2350</v>
      </c>
      <c r="N1015">
        <v>-0.34910000000000002</v>
      </c>
      <c r="O1015" t="s">
        <v>56</v>
      </c>
      <c r="P1015" t="s">
        <v>57</v>
      </c>
      <c r="Q1015" t="s">
        <v>59</v>
      </c>
      <c r="R1015" t="s">
        <v>58</v>
      </c>
      <c r="S1015" t="s">
        <v>3603</v>
      </c>
      <c r="T1015" t="s">
        <v>61</v>
      </c>
      <c r="U1015">
        <v>1.4495</v>
      </c>
      <c r="V1015" t="s">
        <v>62</v>
      </c>
      <c r="W1015">
        <v>0</v>
      </c>
      <c r="X1015">
        <v>28.683</v>
      </c>
      <c r="Y1015" t="s">
        <v>63</v>
      </c>
      <c r="Z1015" t="s">
        <v>64</v>
      </c>
      <c r="AC1015" t="s">
        <v>65</v>
      </c>
      <c r="AD1015" t="s">
        <v>61</v>
      </c>
      <c r="AE1015" t="s">
        <v>64</v>
      </c>
      <c r="AF1015" t="s">
        <v>68</v>
      </c>
      <c r="AG1015" t="s">
        <v>65</v>
      </c>
      <c r="AH1015" t="s">
        <v>65</v>
      </c>
      <c r="AI1015" t="s">
        <v>67</v>
      </c>
      <c r="AK1015" t="s">
        <v>66</v>
      </c>
      <c r="AL1015" t="s">
        <v>63</v>
      </c>
      <c r="AM1015" t="s">
        <v>63</v>
      </c>
      <c r="AN1015" t="s">
        <v>61</v>
      </c>
      <c r="AO1015" t="s">
        <v>61</v>
      </c>
      <c r="AP1015" t="s">
        <v>69</v>
      </c>
      <c r="AQ1015" t="s">
        <v>65</v>
      </c>
      <c r="AR1015" t="s">
        <v>70</v>
      </c>
      <c r="AS1015" t="s">
        <v>73</v>
      </c>
      <c r="AT1015" t="s">
        <v>71</v>
      </c>
      <c r="AU1015">
        <v>0</v>
      </c>
      <c r="AV1015">
        <v>0</v>
      </c>
    </row>
    <row r="1016" spans="1:48" x14ac:dyDescent="0.25">
      <c r="A1016" t="s">
        <v>3604</v>
      </c>
      <c r="B1016" t="s">
        <v>73</v>
      </c>
      <c r="C1016" t="s">
        <v>50</v>
      </c>
      <c r="D1016">
        <v>440520.1251</v>
      </c>
      <c r="E1016">
        <v>1827439.4838</v>
      </c>
      <c r="F1016">
        <v>30.167999999999999</v>
      </c>
      <c r="G1016" t="s">
        <v>3605</v>
      </c>
      <c r="H1016" t="s">
        <v>52</v>
      </c>
      <c r="I1016">
        <v>30.167999999999999</v>
      </c>
      <c r="J1016" t="s">
        <v>53</v>
      </c>
      <c r="K1016">
        <v>0</v>
      </c>
      <c r="L1016" t="s">
        <v>3606</v>
      </c>
      <c r="M1016" t="s">
        <v>440</v>
      </c>
      <c r="N1016">
        <v>-1.7299999999999999E-2</v>
      </c>
      <c r="O1016" t="s">
        <v>56</v>
      </c>
      <c r="P1016" t="s">
        <v>57</v>
      </c>
      <c r="Q1016" t="s">
        <v>59</v>
      </c>
      <c r="R1016" t="s">
        <v>58</v>
      </c>
      <c r="S1016" t="s">
        <v>3607</v>
      </c>
      <c r="T1016" t="s">
        <v>61</v>
      </c>
      <c r="U1016">
        <v>1.5808</v>
      </c>
      <c r="V1016" t="s">
        <v>62</v>
      </c>
      <c r="W1016">
        <v>0</v>
      </c>
      <c r="X1016">
        <v>28.587</v>
      </c>
      <c r="Y1016" t="s">
        <v>63</v>
      </c>
      <c r="Z1016" t="s">
        <v>64</v>
      </c>
      <c r="AC1016" t="s">
        <v>65</v>
      </c>
      <c r="AD1016" t="s">
        <v>61</v>
      </c>
      <c r="AE1016" t="s">
        <v>64</v>
      </c>
      <c r="AF1016" t="s">
        <v>68</v>
      </c>
      <c r="AG1016" t="s">
        <v>65</v>
      </c>
      <c r="AH1016" t="s">
        <v>65</v>
      </c>
      <c r="AI1016" t="s">
        <v>67</v>
      </c>
      <c r="AK1016" t="s">
        <v>66</v>
      </c>
      <c r="AL1016" t="s">
        <v>63</v>
      </c>
      <c r="AM1016" t="s">
        <v>63</v>
      </c>
      <c r="AN1016" t="s">
        <v>61</v>
      </c>
      <c r="AO1016" t="s">
        <v>61</v>
      </c>
      <c r="AP1016" t="s">
        <v>69</v>
      </c>
      <c r="AQ1016" t="s">
        <v>65</v>
      </c>
      <c r="AR1016" t="s">
        <v>70</v>
      </c>
      <c r="AS1016" t="s">
        <v>73</v>
      </c>
      <c r="AT1016" t="s">
        <v>71</v>
      </c>
      <c r="AU1016">
        <v>0</v>
      </c>
      <c r="AV1016">
        <v>0</v>
      </c>
    </row>
    <row r="1017" spans="1:48" x14ac:dyDescent="0.25">
      <c r="A1017" t="s">
        <v>3608</v>
      </c>
      <c r="B1017" t="s">
        <v>73</v>
      </c>
      <c r="C1017" t="s">
        <v>50</v>
      </c>
      <c r="D1017">
        <v>440520.1251</v>
      </c>
      <c r="E1017">
        <v>1827459.1143</v>
      </c>
      <c r="F1017">
        <v>29.981000000000002</v>
      </c>
      <c r="G1017" t="s">
        <v>3609</v>
      </c>
      <c r="H1017" t="s">
        <v>52</v>
      </c>
      <c r="I1017">
        <v>29.981000000000002</v>
      </c>
      <c r="J1017" t="s">
        <v>53</v>
      </c>
      <c r="K1017">
        <v>0</v>
      </c>
      <c r="L1017" t="s">
        <v>3606</v>
      </c>
      <c r="M1017" t="s">
        <v>3610</v>
      </c>
      <c r="N1017">
        <v>-1.7299999999999999E-2</v>
      </c>
      <c r="O1017" t="s">
        <v>56</v>
      </c>
      <c r="P1017" t="s">
        <v>57</v>
      </c>
      <c r="Q1017" t="s">
        <v>59</v>
      </c>
      <c r="R1017" t="s">
        <v>58</v>
      </c>
      <c r="S1017" t="s">
        <v>3611</v>
      </c>
      <c r="T1017" t="s">
        <v>61</v>
      </c>
      <c r="U1017">
        <v>1.5649</v>
      </c>
      <c r="V1017" t="s">
        <v>62</v>
      </c>
      <c r="W1017">
        <v>0</v>
      </c>
      <c r="X1017">
        <v>28.416</v>
      </c>
      <c r="Y1017" t="s">
        <v>63</v>
      </c>
      <c r="Z1017" t="s">
        <v>64</v>
      </c>
      <c r="AC1017" t="s">
        <v>65</v>
      </c>
      <c r="AD1017" t="s">
        <v>61</v>
      </c>
      <c r="AE1017" t="s">
        <v>64</v>
      </c>
      <c r="AF1017" t="s">
        <v>68</v>
      </c>
      <c r="AG1017" t="s">
        <v>65</v>
      </c>
      <c r="AH1017" t="s">
        <v>65</v>
      </c>
      <c r="AI1017" t="s">
        <v>67</v>
      </c>
      <c r="AK1017" t="s">
        <v>66</v>
      </c>
      <c r="AL1017" t="s">
        <v>63</v>
      </c>
      <c r="AM1017" t="s">
        <v>63</v>
      </c>
      <c r="AN1017" t="s">
        <v>61</v>
      </c>
      <c r="AO1017" t="s">
        <v>61</v>
      </c>
      <c r="AP1017" t="s">
        <v>69</v>
      </c>
      <c r="AQ1017" t="s">
        <v>65</v>
      </c>
      <c r="AR1017" t="s">
        <v>70</v>
      </c>
      <c r="AS1017" t="s">
        <v>73</v>
      </c>
      <c r="AT1017" t="s">
        <v>71</v>
      </c>
      <c r="AU1017">
        <v>0</v>
      </c>
      <c r="AV1017">
        <v>0</v>
      </c>
    </row>
    <row r="1018" spans="1:48" x14ac:dyDescent="0.25">
      <c r="A1018" t="s">
        <v>3612</v>
      </c>
      <c r="B1018" t="s">
        <v>73</v>
      </c>
      <c r="C1018" t="s">
        <v>50</v>
      </c>
      <c r="D1018">
        <v>440520.1251</v>
      </c>
      <c r="E1018">
        <v>1827479.1857</v>
      </c>
      <c r="F1018">
        <v>29.79</v>
      </c>
      <c r="G1018" t="s">
        <v>3613</v>
      </c>
      <c r="H1018" t="s">
        <v>52</v>
      </c>
      <c r="I1018">
        <v>29.79</v>
      </c>
      <c r="J1018" t="s">
        <v>53</v>
      </c>
      <c r="K1018">
        <v>0</v>
      </c>
      <c r="L1018" t="s">
        <v>3606</v>
      </c>
      <c r="M1018" t="s">
        <v>3614</v>
      </c>
      <c r="N1018">
        <v>-1.7299999999999999E-2</v>
      </c>
      <c r="O1018" t="s">
        <v>56</v>
      </c>
      <c r="P1018" t="s">
        <v>57</v>
      </c>
      <c r="Q1018" t="s">
        <v>59</v>
      </c>
      <c r="R1018" t="s">
        <v>58</v>
      </c>
      <c r="S1018" t="s">
        <v>3615</v>
      </c>
      <c r="T1018" t="s">
        <v>61</v>
      </c>
      <c r="U1018">
        <v>1.5867</v>
      </c>
      <c r="V1018" t="s">
        <v>62</v>
      </c>
      <c r="W1018">
        <v>0</v>
      </c>
      <c r="X1018">
        <v>28.202999999999999</v>
      </c>
      <c r="Y1018" t="s">
        <v>63</v>
      </c>
      <c r="Z1018" t="s">
        <v>64</v>
      </c>
      <c r="AC1018" t="s">
        <v>65</v>
      </c>
      <c r="AD1018" t="s">
        <v>61</v>
      </c>
      <c r="AE1018" t="s">
        <v>64</v>
      </c>
      <c r="AF1018" t="s">
        <v>68</v>
      </c>
      <c r="AG1018" t="s">
        <v>65</v>
      </c>
      <c r="AH1018" t="s">
        <v>65</v>
      </c>
      <c r="AI1018" t="s">
        <v>67</v>
      </c>
      <c r="AK1018" t="s">
        <v>66</v>
      </c>
      <c r="AL1018" t="s">
        <v>63</v>
      </c>
      <c r="AM1018" t="s">
        <v>63</v>
      </c>
      <c r="AN1018" t="s">
        <v>61</v>
      </c>
      <c r="AO1018" t="s">
        <v>61</v>
      </c>
      <c r="AP1018" t="s">
        <v>69</v>
      </c>
      <c r="AQ1018" t="s">
        <v>65</v>
      </c>
      <c r="AR1018" t="s">
        <v>70</v>
      </c>
      <c r="AS1018" t="s">
        <v>73</v>
      </c>
      <c r="AT1018" t="s">
        <v>71</v>
      </c>
      <c r="AU1018">
        <v>0</v>
      </c>
      <c r="AV1018">
        <v>0</v>
      </c>
    </row>
    <row r="1019" spans="1:48" x14ac:dyDescent="0.25">
      <c r="A1019" t="s">
        <v>3616</v>
      </c>
      <c r="B1019" t="s">
        <v>73</v>
      </c>
      <c r="C1019" t="s">
        <v>50</v>
      </c>
      <c r="D1019">
        <v>440520.1251</v>
      </c>
      <c r="E1019">
        <v>1827499.4838</v>
      </c>
      <c r="F1019">
        <v>29.596</v>
      </c>
      <c r="G1019" t="s">
        <v>3617</v>
      </c>
      <c r="H1019" t="s">
        <v>52</v>
      </c>
      <c r="I1019">
        <v>29.596</v>
      </c>
      <c r="J1019" t="s">
        <v>53</v>
      </c>
      <c r="K1019">
        <v>0</v>
      </c>
      <c r="L1019" t="s">
        <v>3606</v>
      </c>
      <c r="M1019" t="s">
        <v>452</v>
      </c>
      <c r="N1019">
        <v>-1.7299999999999999E-2</v>
      </c>
      <c r="O1019" t="s">
        <v>56</v>
      </c>
      <c r="P1019" t="s">
        <v>57</v>
      </c>
      <c r="Q1019" t="s">
        <v>59</v>
      </c>
      <c r="R1019" t="s">
        <v>58</v>
      </c>
      <c r="S1019" t="s">
        <v>3580</v>
      </c>
      <c r="T1019" t="s">
        <v>61</v>
      </c>
      <c r="U1019">
        <v>1.5844</v>
      </c>
      <c r="V1019" t="s">
        <v>62</v>
      </c>
      <c r="W1019">
        <v>0</v>
      </c>
      <c r="X1019">
        <v>28.012</v>
      </c>
      <c r="Y1019" t="s">
        <v>63</v>
      </c>
      <c r="Z1019" t="s">
        <v>64</v>
      </c>
      <c r="AC1019" t="s">
        <v>65</v>
      </c>
      <c r="AD1019" t="s">
        <v>61</v>
      </c>
      <c r="AE1019" t="s">
        <v>64</v>
      </c>
      <c r="AF1019" t="s">
        <v>68</v>
      </c>
      <c r="AG1019" t="s">
        <v>65</v>
      </c>
      <c r="AH1019" t="s">
        <v>65</v>
      </c>
      <c r="AI1019" t="s">
        <v>67</v>
      </c>
      <c r="AK1019" t="s">
        <v>66</v>
      </c>
      <c r="AL1019" t="s">
        <v>63</v>
      </c>
      <c r="AM1019" t="s">
        <v>63</v>
      </c>
      <c r="AN1019" t="s">
        <v>61</v>
      </c>
      <c r="AO1019" t="s">
        <v>61</v>
      </c>
      <c r="AP1019" t="s">
        <v>69</v>
      </c>
      <c r="AQ1019" t="s">
        <v>65</v>
      </c>
      <c r="AR1019" t="s">
        <v>70</v>
      </c>
      <c r="AS1019" t="s">
        <v>73</v>
      </c>
      <c r="AT1019" t="s">
        <v>71</v>
      </c>
      <c r="AU1019">
        <v>0</v>
      </c>
      <c r="AV1019">
        <v>0</v>
      </c>
    </row>
    <row r="1020" spans="1:48" x14ac:dyDescent="0.25">
      <c r="A1020" t="s">
        <v>3618</v>
      </c>
      <c r="B1020" t="s">
        <v>73</v>
      </c>
      <c r="C1020" t="s">
        <v>50</v>
      </c>
      <c r="D1020">
        <v>440520.1251</v>
      </c>
      <c r="E1020">
        <v>1827517.9859</v>
      </c>
      <c r="F1020">
        <v>29.42</v>
      </c>
      <c r="G1020" t="s">
        <v>3619</v>
      </c>
      <c r="H1020" t="s">
        <v>52</v>
      </c>
      <c r="I1020">
        <v>29.42</v>
      </c>
      <c r="J1020" t="s">
        <v>53</v>
      </c>
      <c r="K1020">
        <v>0</v>
      </c>
      <c r="L1020" t="s">
        <v>3606</v>
      </c>
      <c r="M1020" t="s">
        <v>3620</v>
      </c>
      <c r="N1020">
        <v>-1.7299999999999999E-2</v>
      </c>
      <c r="O1020" t="s">
        <v>56</v>
      </c>
      <c r="P1020" t="s">
        <v>57</v>
      </c>
      <c r="Q1020" t="s">
        <v>59</v>
      </c>
      <c r="R1020" t="s">
        <v>58</v>
      </c>
      <c r="S1020" t="s">
        <v>3621</v>
      </c>
      <c r="T1020" t="s">
        <v>61</v>
      </c>
      <c r="U1020">
        <v>1.4682999999999999</v>
      </c>
      <c r="V1020" t="s">
        <v>62</v>
      </c>
      <c r="W1020">
        <v>0</v>
      </c>
      <c r="X1020">
        <v>27.952000000000002</v>
      </c>
      <c r="Y1020" t="s">
        <v>63</v>
      </c>
      <c r="Z1020" t="s">
        <v>64</v>
      </c>
      <c r="AC1020" t="s">
        <v>65</v>
      </c>
      <c r="AD1020" t="s">
        <v>61</v>
      </c>
      <c r="AE1020" t="s">
        <v>64</v>
      </c>
      <c r="AF1020" t="s">
        <v>68</v>
      </c>
      <c r="AG1020" t="s">
        <v>65</v>
      </c>
      <c r="AH1020" t="s">
        <v>65</v>
      </c>
      <c r="AI1020" t="s">
        <v>67</v>
      </c>
      <c r="AK1020" t="s">
        <v>66</v>
      </c>
      <c r="AL1020" t="s">
        <v>63</v>
      </c>
      <c r="AM1020" t="s">
        <v>63</v>
      </c>
      <c r="AN1020" t="s">
        <v>61</v>
      </c>
      <c r="AO1020" t="s">
        <v>61</v>
      </c>
      <c r="AP1020" t="s">
        <v>69</v>
      </c>
      <c r="AQ1020" t="s">
        <v>65</v>
      </c>
      <c r="AR1020" t="s">
        <v>70</v>
      </c>
      <c r="AS1020" t="s">
        <v>73</v>
      </c>
      <c r="AT1020" t="s">
        <v>71</v>
      </c>
      <c r="AU1020">
        <v>0</v>
      </c>
      <c r="AV1020">
        <v>0</v>
      </c>
    </row>
    <row r="1021" spans="1:48" x14ac:dyDescent="0.25">
      <c r="A1021" t="s">
        <v>3622</v>
      </c>
      <c r="B1021" t="s">
        <v>73</v>
      </c>
      <c r="C1021" t="s">
        <v>50</v>
      </c>
      <c r="D1021">
        <v>440529.52510000003</v>
      </c>
      <c r="E1021">
        <v>1827518.1998999999</v>
      </c>
      <c r="F1021">
        <v>29.417999999999999</v>
      </c>
      <c r="G1021" t="s">
        <v>3623</v>
      </c>
      <c r="H1021" t="s">
        <v>52</v>
      </c>
      <c r="I1021">
        <v>29.417999999999999</v>
      </c>
      <c r="J1021" t="s">
        <v>53</v>
      </c>
      <c r="K1021">
        <v>0</v>
      </c>
      <c r="L1021" t="s">
        <v>362</v>
      </c>
      <c r="M1021" t="s">
        <v>3624</v>
      </c>
      <c r="N1021">
        <v>0.15</v>
      </c>
      <c r="O1021" t="s">
        <v>56</v>
      </c>
      <c r="P1021" t="s">
        <v>57</v>
      </c>
      <c r="Q1021" t="s">
        <v>59</v>
      </c>
      <c r="R1021" t="s">
        <v>58</v>
      </c>
      <c r="S1021" t="s">
        <v>3625</v>
      </c>
      <c r="T1021" t="s">
        <v>61</v>
      </c>
      <c r="U1021">
        <v>1.6282000000000001</v>
      </c>
      <c r="V1021" t="s">
        <v>62</v>
      </c>
      <c r="W1021">
        <v>0</v>
      </c>
      <c r="X1021">
        <v>27.79</v>
      </c>
      <c r="Y1021" t="s">
        <v>63</v>
      </c>
      <c r="Z1021" t="s">
        <v>64</v>
      </c>
      <c r="AC1021" t="s">
        <v>65</v>
      </c>
      <c r="AD1021" t="s">
        <v>61</v>
      </c>
      <c r="AE1021" t="s">
        <v>64</v>
      </c>
      <c r="AF1021" t="s">
        <v>68</v>
      </c>
      <c r="AG1021" t="s">
        <v>65</v>
      </c>
      <c r="AH1021" t="s">
        <v>65</v>
      </c>
      <c r="AI1021" t="s">
        <v>67</v>
      </c>
      <c r="AK1021" t="s">
        <v>66</v>
      </c>
      <c r="AL1021" t="s">
        <v>63</v>
      </c>
      <c r="AM1021" t="s">
        <v>63</v>
      </c>
      <c r="AN1021" t="s">
        <v>61</v>
      </c>
      <c r="AO1021" t="s">
        <v>61</v>
      </c>
      <c r="AP1021" t="s">
        <v>69</v>
      </c>
      <c r="AQ1021" t="s">
        <v>65</v>
      </c>
      <c r="AR1021" t="s">
        <v>70</v>
      </c>
      <c r="AS1021" t="s">
        <v>73</v>
      </c>
      <c r="AT1021" t="s">
        <v>71</v>
      </c>
      <c r="AU1021">
        <v>0</v>
      </c>
      <c r="AV1021">
        <v>0</v>
      </c>
    </row>
    <row r="1022" spans="1:48" x14ac:dyDescent="0.25">
      <c r="A1022" t="s">
        <v>3626</v>
      </c>
      <c r="B1022" t="s">
        <v>125</v>
      </c>
      <c r="C1022" t="s">
        <v>50</v>
      </c>
      <c r="D1022">
        <v>440529.60009999998</v>
      </c>
      <c r="E1022">
        <v>1827531.6588000001</v>
      </c>
      <c r="F1022">
        <v>29.695</v>
      </c>
      <c r="G1022" t="s">
        <v>3627</v>
      </c>
      <c r="H1022" t="s">
        <v>52</v>
      </c>
      <c r="I1022">
        <v>29.695</v>
      </c>
      <c r="J1022" t="s">
        <v>53</v>
      </c>
      <c r="K1022">
        <v>0</v>
      </c>
      <c r="L1022" t="s">
        <v>141</v>
      </c>
      <c r="M1022" t="s">
        <v>3628</v>
      </c>
      <c r="N1022">
        <v>0.1084</v>
      </c>
      <c r="O1022" t="s">
        <v>56</v>
      </c>
      <c r="P1022" t="s">
        <v>57</v>
      </c>
      <c r="Q1022" t="s">
        <v>109</v>
      </c>
      <c r="R1022" t="s">
        <v>59</v>
      </c>
      <c r="S1022" t="s">
        <v>3629</v>
      </c>
      <c r="T1022" t="s">
        <v>61</v>
      </c>
      <c r="U1022">
        <v>2.2174</v>
      </c>
      <c r="V1022" t="s">
        <v>62</v>
      </c>
      <c r="W1022">
        <v>0</v>
      </c>
      <c r="X1022">
        <v>27.478000000000002</v>
      </c>
      <c r="Y1022" t="s">
        <v>63</v>
      </c>
      <c r="Z1022" t="s">
        <v>64</v>
      </c>
      <c r="AC1022" t="s">
        <v>65</v>
      </c>
      <c r="AD1022" t="s">
        <v>61</v>
      </c>
      <c r="AE1022" t="s">
        <v>64</v>
      </c>
      <c r="AF1022" t="s">
        <v>66</v>
      </c>
      <c r="AG1022" t="s">
        <v>65</v>
      </c>
      <c r="AH1022" t="s">
        <v>65</v>
      </c>
      <c r="AI1022" t="s">
        <v>67</v>
      </c>
      <c r="AK1022" t="s">
        <v>111</v>
      </c>
      <c r="AL1022" t="s">
        <v>63</v>
      </c>
      <c r="AM1022" t="s">
        <v>63</v>
      </c>
      <c r="AN1022" t="s">
        <v>61</v>
      </c>
      <c r="AO1022" t="s">
        <v>61</v>
      </c>
      <c r="AP1022" t="s">
        <v>69</v>
      </c>
      <c r="AQ1022" t="s">
        <v>65</v>
      </c>
      <c r="AR1022" t="s">
        <v>70</v>
      </c>
      <c r="AS1022" t="s">
        <v>125</v>
      </c>
      <c r="AT1022" t="s">
        <v>71</v>
      </c>
      <c r="AU1022">
        <v>0</v>
      </c>
      <c r="AV1022">
        <v>0</v>
      </c>
    </row>
    <row r="1023" spans="1:48" x14ac:dyDescent="0.25">
      <c r="A1023" t="s">
        <v>3630</v>
      </c>
      <c r="B1023" t="s">
        <v>125</v>
      </c>
      <c r="C1023" t="s">
        <v>50</v>
      </c>
      <c r="D1023">
        <v>440550.87599999999</v>
      </c>
      <c r="E1023">
        <v>1827531.6588000001</v>
      </c>
      <c r="F1023">
        <v>29.472999999999999</v>
      </c>
      <c r="G1023" t="s">
        <v>3631</v>
      </c>
      <c r="H1023" t="s">
        <v>52</v>
      </c>
      <c r="I1023">
        <v>29.472999999999999</v>
      </c>
      <c r="J1023" t="s">
        <v>53</v>
      </c>
      <c r="K1023">
        <v>0</v>
      </c>
      <c r="L1023" t="s">
        <v>141</v>
      </c>
      <c r="M1023" t="s">
        <v>3632</v>
      </c>
      <c r="N1023">
        <v>0.1084</v>
      </c>
      <c r="O1023" t="s">
        <v>56</v>
      </c>
      <c r="P1023" t="s">
        <v>57</v>
      </c>
      <c r="Q1023" t="s">
        <v>109</v>
      </c>
      <c r="R1023" t="s">
        <v>59</v>
      </c>
      <c r="S1023" t="s">
        <v>3633</v>
      </c>
      <c r="T1023" t="s">
        <v>61</v>
      </c>
      <c r="U1023">
        <v>2.1951000000000001</v>
      </c>
      <c r="V1023" t="s">
        <v>62</v>
      </c>
      <c r="W1023">
        <v>0</v>
      </c>
      <c r="X1023">
        <v>27.277999999999999</v>
      </c>
      <c r="Y1023" t="s">
        <v>63</v>
      </c>
      <c r="Z1023" t="s">
        <v>64</v>
      </c>
      <c r="AC1023" t="s">
        <v>65</v>
      </c>
      <c r="AD1023" t="s">
        <v>61</v>
      </c>
      <c r="AE1023" t="s">
        <v>64</v>
      </c>
      <c r="AF1023" t="s">
        <v>66</v>
      </c>
      <c r="AG1023" t="s">
        <v>65</v>
      </c>
      <c r="AH1023" t="s">
        <v>65</v>
      </c>
      <c r="AI1023" t="s">
        <v>67</v>
      </c>
      <c r="AK1023" t="s">
        <v>111</v>
      </c>
      <c r="AL1023" t="s">
        <v>63</v>
      </c>
      <c r="AM1023" t="s">
        <v>63</v>
      </c>
      <c r="AN1023" t="s">
        <v>61</v>
      </c>
      <c r="AO1023" t="s">
        <v>61</v>
      </c>
      <c r="AP1023" t="s">
        <v>69</v>
      </c>
      <c r="AQ1023" t="s">
        <v>65</v>
      </c>
      <c r="AR1023" t="s">
        <v>70</v>
      </c>
      <c r="AS1023" t="s">
        <v>125</v>
      </c>
      <c r="AT1023" t="s">
        <v>71</v>
      </c>
      <c r="AU1023">
        <v>0</v>
      </c>
      <c r="AV1023">
        <v>0</v>
      </c>
    </row>
    <row r="1024" spans="1:48" x14ac:dyDescent="0.25">
      <c r="A1024" t="s">
        <v>3634</v>
      </c>
      <c r="B1024" t="s">
        <v>125</v>
      </c>
      <c r="C1024" t="s">
        <v>50</v>
      </c>
      <c r="D1024">
        <v>440570.14370000002</v>
      </c>
      <c r="E1024">
        <v>1827531.6588000001</v>
      </c>
      <c r="F1024">
        <v>29.25</v>
      </c>
      <c r="G1024" t="s">
        <v>3635</v>
      </c>
      <c r="H1024" t="s">
        <v>52</v>
      </c>
      <c r="I1024">
        <v>29.25</v>
      </c>
      <c r="J1024" t="s">
        <v>53</v>
      </c>
      <c r="K1024">
        <v>0</v>
      </c>
      <c r="L1024" t="s">
        <v>141</v>
      </c>
      <c r="M1024" t="s">
        <v>3636</v>
      </c>
      <c r="N1024">
        <v>0.1084</v>
      </c>
      <c r="O1024" t="s">
        <v>56</v>
      </c>
      <c r="P1024" t="s">
        <v>57</v>
      </c>
      <c r="Q1024" t="s">
        <v>109</v>
      </c>
      <c r="R1024" t="s">
        <v>59</v>
      </c>
      <c r="S1024" t="s">
        <v>3637</v>
      </c>
      <c r="T1024" t="s">
        <v>61</v>
      </c>
      <c r="U1024">
        <v>2.5916000000000001</v>
      </c>
      <c r="V1024" t="s">
        <v>62</v>
      </c>
      <c r="W1024">
        <v>0</v>
      </c>
      <c r="X1024">
        <v>26.658000000000001</v>
      </c>
      <c r="Y1024" t="s">
        <v>63</v>
      </c>
      <c r="Z1024" t="s">
        <v>64</v>
      </c>
      <c r="AC1024" t="s">
        <v>65</v>
      </c>
      <c r="AD1024" t="s">
        <v>61</v>
      </c>
      <c r="AE1024" t="s">
        <v>64</v>
      </c>
      <c r="AF1024" t="s">
        <v>66</v>
      </c>
      <c r="AG1024" t="s">
        <v>65</v>
      </c>
      <c r="AH1024" t="s">
        <v>65</v>
      </c>
      <c r="AI1024" t="s">
        <v>67</v>
      </c>
      <c r="AK1024" t="s">
        <v>111</v>
      </c>
      <c r="AL1024" t="s">
        <v>63</v>
      </c>
      <c r="AM1024" t="s">
        <v>63</v>
      </c>
      <c r="AN1024" t="s">
        <v>61</v>
      </c>
      <c r="AO1024" t="s">
        <v>61</v>
      </c>
      <c r="AP1024" t="s">
        <v>69</v>
      </c>
      <c r="AQ1024" t="s">
        <v>65</v>
      </c>
      <c r="AR1024" t="s">
        <v>70</v>
      </c>
      <c r="AS1024" t="s">
        <v>125</v>
      </c>
      <c r="AT1024" t="s">
        <v>71</v>
      </c>
      <c r="AU1024">
        <v>0</v>
      </c>
      <c r="AV1024">
        <v>0</v>
      </c>
    </row>
    <row r="1025" spans="1:48" x14ac:dyDescent="0.25">
      <c r="A1025" t="s">
        <v>3638</v>
      </c>
      <c r="B1025" t="s">
        <v>49</v>
      </c>
      <c r="C1025" t="s">
        <v>50</v>
      </c>
      <c r="D1025">
        <v>440533.44410000002</v>
      </c>
      <c r="E1025">
        <v>1827415.6486</v>
      </c>
      <c r="F1025">
        <v>30.295000000000002</v>
      </c>
      <c r="G1025" t="s">
        <v>3639</v>
      </c>
      <c r="H1025" t="s">
        <v>52</v>
      </c>
      <c r="I1025">
        <v>30.295000000000002</v>
      </c>
      <c r="J1025" t="s">
        <v>53</v>
      </c>
      <c r="K1025">
        <v>0</v>
      </c>
      <c r="L1025" t="s">
        <v>85</v>
      </c>
      <c r="M1025" t="s">
        <v>3640</v>
      </c>
      <c r="N1025">
        <v>6.8000000000000005E-2</v>
      </c>
      <c r="O1025" t="s">
        <v>56</v>
      </c>
      <c r="P1025" t="s">
        <v>57</v>
      </c>
      <c r="Q1025" t="s">
        <v>58</v>
      </c>
      <c r="R1025" t="s">
        <v>59</v>
      </c>
      <c r="S1025" t="s">
        <v>3641</v>
      </c>
      <c r="T1025" t="s">
        <v>61</v>
      </c>
      <c r="U1025">
        <v>1.5108999999999999</v>
      </c>
      <c r="V1025" t="s">
        <v>62</v>
      </c>
      <c r="W1025">
        <v>0</v>
      </c>
      <c r="X1025">
        <v>28.783999999999999</v>
      </c>
      <c r="Y1025" t="s">
        <v>63</v>
      </c>
      <c r="Z1025" t="s">
        <v>64</v>
      </c>
      <c r="AC1025" t="s">
        <v>65</v>
      </c>
      <c r="AD1025" t="s">
        <v>61</v>
      </c>
      <c r="AE1025" t="s">
        <v>64</v>
      </c>
      <c r="AF1025" t="s">
        <v>66</v>
      </c>
      <c r="AG1025" t="s">
        <v>65</v>
      </c>
      <c r="AH1025" t="s">
        <v>65</v>
      </c>
      <c r="AI1025" t="s">
        <v>67</v>
      </c>
      <c r="AK1025" t="s">
        <v>68</v>
      </c>
      <c r="AL1025" t="s">
        <v>63</v>
      </c>
      <c r="AM1025" t="s">
        <v>63</v>
      </c>
      <c r="AN1025" t="s">
        <v>61</v>
      </c>
      <c r="AO1025" t="s">
        <v>61</v>
      </c>
      <c r="AP1025" t="s">
        <v>69</v>
      </c>
      <c r="AQ1025" t="s">
        <v>65</v>
      </c>
      <c r="AR1025" t="s">
        <v>70</v>
      </c>
      <c r="AS1025" t="s">
        <v>49</v>
      </c>
      <c r="AT1025" t="s">
        <v>71</v>
      </c>
      <c r="AU1025">
        <v>0</v>
      </c>
      <c r="AV1025">
        <v>0</v>
      </c>
    </row>
    <row r="1026" spans="1:48" x14ac:dyDescent="0.25">
      <c r="A1026" t="s">
        <v>3642</v>
      </c>
      <c r="B1026" t="s">
        <v>49</v>
      </c>
      <c r="C1026" t="s">
        <v>50</v>
      </c>
      <c r="D1026">
        <v>440550.42509999999</v>
      </c>
      <c r="E1026">
        <v>1827415.6486</v>
      </c>
      <c r="F1026">
        <v>30.187000000000001</v>
      </c>
      <c r="G1026" t="s">
        <v>3643</v>
      </c>
      <c r="H1026" t="s">
        <v>52</v>
      </c>
      <c r="I1026">
        <v>30.187000000000001</v>
      </c>
      <c r="J1026" t="s">
        <v>53</v>
      </c>
      <c r="K1026">
        <v>0</v>
      </c>
      <c r="L1026" t="s">
        <v>85</v>
      </c>
      <c r="M1026" t="s">
        <v>448</v>
      </c>
      <c r="N1026">
        <v>6.9800000000000001E-2</v>
      </c>
      <c r="O1026" t="s">
        <v>56</v>
      </c>
      <c r="P1026" t="s">
        <v>57</v>
      </c>
      <c r="Q1026" t="s">
        <v>58</v>
      </c>
      <c r="R1026" t="s">
        <v>59</v>
      </c>
      <c r="S1026" t="s">
        <v>3644</v>
      </c>
      <c r="T1026" t="s">
        <v>61</v>
      </c>
      <c r="U1026">
        <v>1.5217000000000001</v>
      </c>
      <c r="V1026" t="s">
        <v>62</v>
      </c>
      <c r="W1026">
        <v>0</v>
      </c>
      <c r="X1026">
        <v>28.664999999999999</v>
      </c>
      <c r="Y1026" t="s">
        <v>63</v>
      </c>
      <c r="Z1026" t="s">
        <v>64</v>
      </c>
      <c r="AC1026" t="s">
        <v>65</v>
      </c>
      <c r="AD1026" t="s">
        <v>61</v>
      </c>
      <c r="AE1026" t="s">
        <v>64</v>
      </c>
      <c r="AF1026" t="s">
        <v>66</v>
      </c>
      <c r="AG1026" t="s">
        <v>65</v>
      </c>
      <c r="AH1026" t="s">
        <v>65</v>
      </c>
      <c r="AI1026" t="s">
        <v>67</v>
      </c>
      <c r="AK1026" t="s">
        <v>68</v>
      </c>
      <c r="AL1026" t="s">
        <v>63</v>
      </c>
      <c r="AM1026" t="s">
        <v>63</v>
      </c>
      <c r="AN1026" t="s">
        <v>61</v>
      </c>
      <c r="AO1026" t="s">
        <v>61</v>
      </c>
      <c r="AP1026" t="s">
        <v>69</v>
      </c>
      <c r="AQ1026" t="s">
        <v>65</v>
      </c>
      <c r="AR1026" t="s">
        <v>70</v>
      </c>
      <c r="AS1026" t="s">
        <v>49</v>
      </c>
      <c r="AT1026" t="s">
        <v>71</v>
      </c>
      <c r="AU1026">
        <v>0</v>
      </c>
      <c r="AV1026">
        <v>0</v>
      </c>
    </row>
    <row r="1027" spans="1:48" x14ac:dyDescent="0.25">
      <c r="A1027" t="s">
        <v>3645</v>
      </c>
      <c r="B1027" t="s">
        <v>49</v>
      </c>
      <c r="C1027" t="s">
        <v>50</v>
      </c>
      <c r="D1027">
        <v>440570.42509999999</v>
      </c>
      <c r="E1027">
        <v>1827415.6486</v>
      </c>
      <c r="F1027">
        <v>30.059000000000001</v>
      </c>
      <c r="G1027" t="s">
        <v>3646</v>
      </c>
      <c r="H1027" t="s">
        <v>52</v>
      </c>
      <c r="I1027">
        <v>30.059000000000001</v>
      </c>
      <c r="J1027" t="s">
        <v>53</v>
      </c>
      <c r="K1027">
        <v>0</v>
      </c>
      <c r="L1027" t="s">
        <v>85</v>
      </c>
      <c r="M1027" t="s">
        <v>452</v>
      </c>
      <c r="N1027">
        <v>7.1999999999999995E-2</v>
      </c>
      <c r="O1027" t="s">
        <v>56</v>
      </c>
      <c r="P1027" t="s">
        <v>57</v>
      </c>
      <c r="Q1027" t="s">
        <v>58</v>
      </c>
      <c r="R1027" t="s">
        <v>59</v>
      </c>
      <c r="S1027" t="s">
        <v>3647</v>
      </c>
      <c r="T1027" t="s">
        <v>61</v>
      </c>
      <c r="U1027">
        <v>1.6444000000000001</v>
      </c>
      <c r="V1027" t="s">
        <v>62</v>
      </c>
      <c r="W1027">
        <v>0</v>
      </c>
      <c r="X1027">
        <v>28.414999999999999</v>
      </c>
      <c r="Y1027" t="s">
        <v>63</v>
      </c>
      <c r="Z1027" t="s">
        <v>64</v>
      </c>
      <c r="AC1027" t="s">
        <v>65</v>
      </c>
      <c r="AD1027" t="s">
        <v>61</v>
      </c>
      <c r="AE1027" t="s">
        <v>64</v>
      </c>
      <c r="AF1027" t="s">
        <v>66</v>
      </c>
      <c r="AG1027" t="s">
        <v>65</v>
      </c>
      <c r="AH1027" t="s">
        <v>65</v>
      </c>
      <c r="AI1027" t="s">
        <v>67</v>
      </c>
      <c r="AK1027" t="s">
        <v>68</v>
      </c>
      <c r="AL1027" t="s">
        <v>63</v>
      </c>
      <c r="AM1027" t="s">
        <v>63</v>
      </c>
      <c r="AN1027" t="s">
        <v>61</v>
      </c>
      <c r="AO1027" t="s">
        <v>61</v>
      </c>
      <c r="AP1027" t="s">
        <v>69</v>
      </c>
      <c r="AQ1027" t="s">
        <v>65</v>
      </c>
      <c r="AR1027" t="s">
        <v>70</v>
      </c>
      <c r="AS1027" t="s">
        <v>49</v>
      </c>
      <c r="AT1027" t="s">
        <v>71</v>
      </c>
      <c r="AU1027">
        <v>0</v>
      </c>
      <c r="AV1027">
        <v>0</v>
      </c>
    </row>
    <row r="1028" spans="1:48" x14ac:dyDescent="0.25">
      <c r="A1028" t="s">
        <v>3648</v>
      </c>
      <c r="B1028" t="s">
        <v>73</v>
      </c>
      <c r="C1028" t="s">
        <v>50</v>
      </c>
      <c r="D1028">
        <v>440585.72509999998</v>
      </c>
      <c r="E1028">
        <v>1827415.9486</v>
      </c>
      <c r="F1028">
        <v>29.838000000000001</v>
      </c>
      <c r="G1028" t="s">
        <v>3649</v>
      </c>
      <c r="H1028" t="s">
        <v>52</v>
      </c>
      <c r="I1028">
        <v>29.838000000000001</v>
      </c>
      <c r="J1028" t="s">
        <v>53</v>
      </c>
      <c r="K1028">
        <v>0</v>
      </c>
      <c r="L1028" t="s">
        <v>85</v>
      </c>
      <c r="M1028" t="s">
        <v>3650</v>
      </c>
      <c r="N1028">
        <v>0.37359999999999999</v>
      </c>
      <c r="O1028" t="s">
        <v>56</v>
      </c>
      <c r="P1028" t="s">
        <v>57</v>
      </c>
      <c r="Q1028" t="s">
        <v>59</v>
      </c>
      <c r="R1028" t="s">
        <v>58</v>
      </c>
      <c r="S1028" t="s">
        <v>313</v>
      </c>
      <c r="T1028" t="s">
        <v>61</v>
      </c>
      <c r="U1028">
        <v>1.5378000000000001</v>
      </c>
      <c r="V1028" t="s">
        <v>62</v>
      </c>
      <c r="W1028">
        <v>0</v>
      </c>
      <c r="X1028">
        <v>28.3</v>
      </c>
      <c r="Y1028" t="s">
        <v>63</v>
      </c>
      <c r="Z1028" t="s">
        <v>64</v>
      </c>
      <c r="AC1028" t="s">
        <v>65</v>
      </c>
      <c r="AD1028" t="s">
        <v>61</v>
      </c>
      <c r="AE1028" t="s">
        <v>64</v>
      </c>
      <c r="AF1028" t="s">
        <v>68</v>
      </c>
      <c r="AG1028" t="s">
        <v>65</v>
      </c>
      <c r="AH1028" t="s">
        <v>65</v>
      </c>
      <c r="AI1028" t="s">
        <v>67</v>
      </c>
      <c r="AK1028" t="s">
        <v>66</v>
      </c>
      <c r="AL1028" t="s">
        <v>63</v>
      </c>
      <c r="AM1028" t="s">
        <v>63</v>
      </c>
      <c r="AN1028" t="s">
        <v>61</v>
      </c>
      <c r="AO1028" t="s">
        <v>61</v>
      </c>
      <c r="AP1028" t="s">
        <v>69</v>
      </c>
      <c r="AQ1028" t="s">
        <v>65</v>
      </c>
      <c r="AR1028" t="s">
        <v>70</v>
      </c>
      <c r="AS1028" t="s">
        <v>73</v>
      </c>
      <c r="AT1028" t="s">
        <v>71</v>
      </c>
      <c r="AU1028">
        <v>0</v>
      </c>
      <c r="AV1028">
        <v>0</v>
      </c>
    </row>
    <row r="1029" spans="1:48" x14ac:dyDescent="0.25">
      <c r="A1029" t="s">
        <v>3651</v>
      </c>
      <c r="B1029" t="s">
        <v>49</v>
      </c>
      <c r="C1029" t="s">
        <v>50</v>
      </c>
      <c r="D1029">
        <v>440533.90850000002</v>
      </c>
      <c r="E1029">
        <v>1827425.0486000001</v>
      </c>
      <c r="F1029">
        <v>30.295999999999999</v>
      </c>
      <c r="G1029" t="s">
        <v>3652</v>
      </c>
      <c r="H1029" t="s">
        <v>52</v>
      </c>
      <c r="I1029">
        <v>30.295999999999999</v>
      </c>
      <c r="J1029" t="s">
        <v>53</v>
      </c>
      <c r="K1029">
        <v>0</v>
      </c>
      <c r="L1029" t="s">
        <v>80</v>
      </c>
      <c r="M1029" t="s">
        <v>3653</v>
      </c>
      <c r="N1029">
        <v>-0.20480000000000001</v>
      </c>
      <c r="O1029" t="s">
        <v>56</v>
      </c>
      <c r="P1029" t="s">
        <v>57</v>
      </c>
      <c r="Q1029" t="s">
        <v>58</v>
      </c>
      <c r="R1029" t="s">
        <v>59</v>
      </c>
      <c r="S1029" t="s">
        <v>3654</v>
      </c>
      <c r="T1029" t="s">
        <v>61</v>
      </c>
      <c r="U1029">
        <v>1.5137</v>
      </c>
      <c r="V1029" t="s">
        <v>62</v>
      </c>
      <c r="W1029">
        <v>0</v>
      </c>
      <c r="X1029">
        <v>28.782</v>
      </c>
      <c r="Y1029" t="s">
        <v>63</v>
      </c>
      <c r="Z1029" t="s">
        <v>64</v>
      </c>
      <c r="AC1029" t="s">
        <v>65</v>
      </c>
      <c r="AD1029" t="s">
        <v>61</v>
      </c>
      <c r="AE1029" t="s">
        <v>64</v>
      </c>
      <c r="AF1029" t="s">
        <v>66</v>
      </c>
      <c r="AG1029" t="s">
        <v>65</v>
      </c>
      <c r="AH1029" t="s">
        <v>65</v>
      </c>
      <c r="AI1029" t="s">
        <v>67</v>
      </c>
      <c r="AK1029" t="s">
        <v>68</v>
      </c>
      <c r="AL1029" t="s">
        <v>63</v>
      </c>
      <c r="AM1029" t="s">
        <v>63</v>
      </c>
      <c r="AN1029" t="s">
        <v>61</v>
      </c>
      <c r="AO1029" t="s">
        <v>61</v>
      </c>
      <c r="AP1029" t="s">
        <v>69</v>
      </c>
      <c r="AQ1029" t="s">
        <v>65</v>
      </c>
      <c r="AR1029" t="s">
        <v>70</v>
      </c>
      <c r="AS1029" t="s">
        <v>49</v>
      </c>
      <c r="AT1029" t="s">
        <v>71</v>
      </c>
      <c r="AU1029">
        <v>0</v>
      </c>
      <c r="AV1029">
        <v>0</v>
      </c>
    </row>
    <row r="1030" spans="1:48" x14ac:dyDescent="0.25">
      <c r="A1030" t="s">
        <v>3655</v>
      </c>
      <c r="B1030" t="s">
        <v>49</v>
      </c>
      <c r="C1030" t="s">
        <v>50</v>
      </c>
      <c r="D1030">
        <v>440550.42509999999</v>
      </c>
      <c r="E1030">
        <v>1827425.0486000001</v>
      </c>
      <c r="F1030">
        <v>30.187000000000001</v>
      </c>
      <c r="G1030" t="s">
        <v>3656</v>
      </c>
      <c r="H1030" t="s">
        <v>52</v>
      </c>
      <c r="I1030">
        <v>30.187000000000001</v>
      </c>
      <c r="J1030" t="s">
        <v>53</v>
      </c>
      <c r="K1030">
        <v>0</v>
      </c>
      <c r="L1030" t="s">
        <v>80</v>
      </c>
      <c r="M1030" t="s">
        <v>448</v>
      </c>
      <c r="N1030">
        <v>-0.2102</v>
      </c>
      <c r="O1030" t="s">
        <v>56</v>
      </c>
      <c r="P1030" t="s">
        <v>57</v>
      </c>
      <c r="Q1030" t="s">
        <v>58</v>
      </c>
      <c r="R1030" t="s">
        <v>59</v>
      </c>
      <c r="S1030" t="s">
        <v>3644</v>
      </c>
      <c r="T1030" t="s">
        <v>61</v>
      </c>
      <c r="U1030">
        <v>1.5217000000000001</v>
      </c>
      <c r="V1030" t="s">
        <v>62</v>
      </c>
      <c r="W1030">
        <v>0</v>
      </c>
      <c r="X1030">
        <v>28.664999999999999</v>
      </c>
      <c r="Y1030" t="s">
        <v>63</v>
      </c>
      <c r="Z1030" t="s">
        <v>64</v>
      </c>
      <c r="AC1030" t="s">
        <v>65</v>
      </c>
      <c r="AD1030" t="s">
        <v>61</v>
      </c>
      <c r="AE1030" t="s">
        <v>64</v>
      </c>
      <c r="AF1030" t="s">
        <v>66</v>
      </c>
      <c r="AG1030" t="s">
        <v>65</v>
      </c>
      <c r="AH1030" t="s">
        <v>65</v>
      </c>
      <c r="AI1030" t="s">
        <v>67</v>
      </c>
      <c r="AK1030" t="s">
        <v>68</v>
      </c>
      <c r="AL1030" t="s">
        <v>63</v>
      </c>
      <c r="AM1030" t="s">
        <v>63</v>
      </c>
      <c r="AN1030" t="s">
        <v>61</v>
      </c>
      <c r="AO1030" t="s">
        <v>61</v>
      </c>
      <c r="AP1030" t="s">
        <v>69</v>
      </c>
      <c r="AQ1030" t="s">
        <v>65</v>
      </c>
      <c r="AR1030" t="s">
        <v>70</v>
      </c>
      <c r="AS1030" t="s">
        <v>49</v>
      </c>
      <c r="AT1030" t="s">
        <v>71</v>
      </c>
      <c r="AU1030">
        <v>0</v>
      </c>
      <c r="AV1030">
        <v>0</v>
      </c>
    </row>
    <row r="1031" spans="1:48" x14ac:dyDescent="0.25">
      <c r="A1031" t="s">
        <v>3657</v>
      </c>
      <c r="B1031" t="s">
        <v>49</v>
      </c>
      <c r="C1031" t="s">
        <v>50</v>
      </c>
      <c r="D1031">
        <v>440570.42509999999</v>
      </c>
      <c r="E1031">
        <v>1827425.0486000001</v>
      </c>
      <c r="F1031">
        <v>30.059000000000001</v>
      </c>
      <c r="G1031" t="s">
        <v>3658</v>
      </c>
      <c r="H1031" t="s">
        <v>52</v>
      </c>
      <c r="I1031">
        <v>30.059000000000001</v>
      </c>
      <c r="J1031" t="s">
        <v>53</v>
      </c>
      <c r="K1031">
        <v>0</v>
      </c>
      <c r="L1031" t="s">
        <v>80</v>
      </c>
      <c r="M1031" t="s">
        <v>452</v>
      </c>
      <c r="N1031">
        <v>-0.21679999999999999</v>
      </c>
      <c r="O1031" t="s">
        <v>56</v>
      </c>
      <c r="P1031" t="s">
        <v>57</v>
      </c>
      <c r="Q1031" t="s">
        <v>58</v>
      </c>
      <c r="R1031" t="s">
        <v>59</v>
      </c>
      <c r="S1031" t="s">
        <v>3659</v>
      </c>
      <c r="T1031" t="s">
        <v>61</v>
      </c>
      <c r="U1031">
        <v>1.7403999999999999</v>
      </c>
      <c r="V1031" t="s">
        <v>62</v>
      </c>
      <c r="W1031">
        <v>0</v>
      </c>
      <c r="X1031">
        <v>28.318999999999999</v>
      </c>
      <c r="Y1031" t="s">
        <v>63</v>
      </c>
      <c r="Z1031" t="s">
        <v>64</v>
      </c>
      <c r="AC1031" t="s">
        <v>65</v>
      </c>
      <c r="AD1031" t="s">
        <v>61</v>
      </c>
      <c r="AE1031" t="s">
        <v>64</v>
      </c>
      <c r="AF1031" t="s">
        <v>66</v>
      </c>
      <c r="AG1031" t="s">
        <v>65</v>
      </c>
      <c r="AH1031" t="s">
        <v>65</v>
      </c>
      <c r="AI1031" t="s">
        <v>67</v>
      </c>
      <c r="AK1031" t="s">
        <v>68</v>
      </c>
      <c r="AL1031" t="s">
        <v>63</v>
      </c>
      <c r="AM1031" t="s">
        <v>63</v>
      </c>
      <c r="AN1031" t="s">
        <v>61</v>
      </c>
      <c r="AO1031" t="s">
        <v>61</v>
      </c>
      <c r="AP1031" t="s">
        <v>69</v>
      </c>
      <c r="AQ1031" t="s">
        <v>65</v>
      </c>
      <c r="AR1031" t="s">
        <v>70</v>
      </c>
      <c r="AS1031" t="s">
        <v>49</v>
      </c>
      <c r="AT1031" t="s">
        <v>71</v>
      </c>
      <c r="AU1031">
        <v>0</v>
      </c>
      <c r="AV1031">
        <v>0</v>
      </c>
    </row>
    <row r="1032" spans="1:48" x14ac:dyDescent="0.25">
      <c r="A1032" t="s">
        <v>3660</v>
      </c>
      <c r="B1032" t="s">
        <v>73</v>
      </c>
      <c r="C1032" t="s">
        <v>50</v>
      </c>
      <c r="D1032">
        <v>440585.72509999998</v>
      </c>
      <c r="E1032">
        <v>1827425.1986</v>
      </c>
      <c r="F1032">
        <v>29.713999999999999</v>
      </c>
      <c r="G1032" t="s">
        <v>3661</v>
      </c>
      <c r="H1032" t="s">
        <v>52</v>
      </c>
      <c r="I1032">
        <v>29.713999999999999</v>
      </c>
      <c r="J1032" t="s">
        <v>53</v>
      </c>
      <c r="K1032">
        <v>0</v>
      </c>
      <c r="L1032" t="s">
        <v>80</v>
      </c>
      <c r="M1032" t="s">
        <v>3650</v>
      </c>
      <c r="N1032">
        <v>-7.1800000000000003E-2</v>
      </c>
      <c r="O1032" t="s">
        <v>56</v>
      </c>
      <c r="P1032" t="s">
        <v>57</v>
      </c>
      <c r="Q1032" t="s">
        <v>59</v>
      </c>
      <c r="R1032" t="s">
        <v>58</v>
      </c>
      <c r="S1032" t="s">
        <v>3662</v>
      </c>
      <c r="T1032" t="s">
        <v>61</v>
      </c>
      <c r="U1032">
        <v>1.4415</v>
      </c>
      <c r="V1032" t="s">
        <v>62</v>
      </c>
      <c r="W1032">
        <v>0</v>
      </c>
      <c r="X1032">
        <v>28.273</v>
      </c>
      <c r="Y1032" t="s">
        <v>63</v>
      </c>
      <c r="Z1032" t="s">
        <v>64</v>
      </c>
      <c r="AC1032" t="s">
        <v>65</v>
      </c>
      <c r="AD1032" t="s">
        <v>61</v>
      </c>
      <c r="AE1032" t="s">
        <v>64</v>
      </c>
      <c r="AF1032" t="s">
        <v>68</v>
      </c>
      <c r="AG1032" t="s">
        <v>65</v>
      </c>
      <c r="AH1032" t="s">
        <v>65</v>
      </c>
      <c r="AI1032" t="s">
        <v>67</v>
      </c>
      <c r="AK1032" t="s">
        <v>66</v>
      </c>
      <c r="AL1032" t="s">
        <v>63</v>
      </c>
      <c r="AM1032" t="s">
        <v>63</v>
      </c>
      <c r="AN1032" t="s">
        <v>61</v>
      </c>
      <c r="AO1032" t="s">
        <v>61</v>
      </c>
      <c r="AP1032" t="s">
        <v>69</v>
      </c>
      <c r="AQ1032" t="s">
        <v>65</v>
      </c>
      <c r="AR1032" t="s">
        <v>70</v>
      </c>
      <c r="AS1032" t="s">
        <v>73</v>
      </c>
      <c r="AT1032" t="s">
        <v>71</v>
      </c>
      <c r="AU1032">
        <v>0</v>
      </c>
      <c r="AV1032">
        <v>0</v>
      </c>
    </row>
    <row r="1033" spans="1:48" x14ac:dyDescent="0.25">
      <c r="A1033" t="s">
        <v>3663</v>
      </c>
      <c r="B1033" t="s">
        <v>73</v>
      </c>
      <c r="C1033" t="s">
        <v>50</v>
      </c>
      <c r="D1033">
        <v>440585.72509999998</v>
      </c>
      <c r="E1033">
        <v>1827438.2394999999</v>
      </c>
      <c r="F1033">
        <v>29.774999999999999</v>
      </c>
      <c r="G1033" t="s">
        <v>3664</v>
      </c>
      <c r="H1033" t="s">
        <v>52</v>
      </c>
      <c r="I1033">
        <v>29.774999999999999</v>
      </c>
      <c r="J1033" t="s">
        <v>53</v>
      </c>
      <c r="K1033">
        <v>0</v>
      </c>
      <c r="L1033" t="s">
        <v>357</v>
      </c>
      <c r="M1033" t="s">
        <v>1444</v>
      </c>
      <c r="N1033">
        <v>-9.0499999999999997E-2</v>
      </c>
      <c r="O1033" t="s">
        <v>56</v>
      </c>
      <c r="P1033" t="s">
        <v>57</v>
      </c>
      <c r="Q1033" t="s">
        <v>59</v>
      </c>
      <c r="R1033" t="s">
        <v>58</v>
      </c>
      <c r="S1033" t="s">
        <v>3665</v>
      </c>
      <c r="T1033" t="s">
        <v>61</v>
      </c>
      <c r="U1033">
        <v>1.5981000000000001</v>
      </c>
      <c r="V1033" t="s">
        <v>62</v>
      </c>
      <c r="W1033">
        <v>0</v>
      </c>
      <c r="X1033">
        <v>28.177</v>
      </c>
      <c r="Y1033" t="s">
        <v>63</v>
      </c>
      <c r="Z1033" t="s">
        <v>64</v>
      </c>
      <c r="AC1033" t="s">
        <v>65</v>
      </c>
      <c r="AD1033" t="s">
        <v>61</v>
      </c>
      <c r="AE1033" t="s">
        <v>64</v>
      </c>
      <c r="AF1033" t="s">
        <v>68</v>
      </c>
      <c r="AG1033" t="s">
        <v>65</v>
      </c>
      <c r="AH1033" t="s">
        <v>65</v>
      </c>
      <c r="AI1033" t="s">
        <v>67</v>
      </c>
      <c r="AK1033" t="s">
        <v>66</v>
      </c>
      <c r="AL1033" t="s">
        <v>63</v>
      </c>
      <c r="AM1033" t="s">
        <v>63</v>
      </c>
      <c r="AN1033" t="s">
        <v>61</v>
      </c>
      <c r="AO1033" t="s">
        <v>61</v>
      </c>
      <c r="AP1033" t="s">
        <v>69</v>
      </c>
      <c r="AQ1033" t="s">
        <v>65</v>
      </c>
      <c r="AR1033" t="s">
        <v>70</v>
      </c>
      <c r="AS1033" t="s">
        <v>73</v>
      </c>
      <c r="AT1033" t="s">
        <v>71</v>
      </c>
      <c r="AU1033">
        <v>0</v>
      </c>
      <c r="AV1033">
        <v>0</v>
      </c>
    </row>
    <row r="1034" spans="1:48" x14ac:dyDescent="0.25">
      <c r="A1034" t="s">
        <v>3666</v>
      </c>
      <c r="B1034" t="s">
        <v>73</v>
      </c>
      <c r="C1034" t="s">
        <v>50</v>
      </c>
      <c r="D1034">
        <v>440585.72509999998</v>
      </c>
      <c r="E1034">
        <v>1827458.2394999999</v>
      </c>
      <c r="F1034">
        <v>29.571000000000002</v>
      </c>
      <c r="G1034" t="s">
        <v>3667</v>
      </c>
      <c r="H1034" t="s">
        <v>52</v>
      </c>
      <c r="I1034">
        <v>29.571000000000002</v>
      </c>
      <c r="J1034" t="s">
        <v>53</v>
      </c>
      <c r="K1034">
        <v>0</v>
      </c>
      <c r="L1034" t="s">
        <v>357</v>
      </c>
      <c r="M1034" t="s">
        <v>525</v>
      </c>
      <c r="N1034">
        <v>-0.1016</v>
      </c>
      <c r="O1034" t="s">
        <v>56</v>
      </c>
      <c r="P1034" t="s">
        <v>57</v>
      </c>
      <c r="Q1034" t="s">
        <v>59</v>
      </c>
      <c r="R1034" t="s">
        <v>58</v>
      </c>
      <c r="S1034" t="s">
        <v>3668</v>
      </c>
      <c r="T1034" t="s">
        <v>61</v>
      </c>
      <c r="U1034">
        <v>1.6032999999999999</v>
      </c>
      <c r="V1034" t="s">
        <v>62</v>
      </c>
      <c r="W1034">
        <v>0</v>
      </c>
      <c r="X1034">
        <v>27.968</v>
      </c>
      <c r="Y1034" t="s">
        <v>63</v>
      </c>
      <c r="Z1034" t="s">
        <v>64</v>
      </c>
      <c r="AC1034" t="s">
        <v>65</v>
      </c>
      <c r="AD1034" t="s">
        <v>61</v>
      </c>
      <c r="AE1034" t="s">
        <v>64</v>
      </c>
      <c r="AF1034" t="s">
        <v>68</v>
      </c>
      <c r="AG1034" t="s">
        <v>65</v>
      </c>
      <c r="AH1034" t="s">
        <v>65</v>
      </c>
      <c r="AI1034" t="s">
        <v>67</v>
      </c>
      <c r="AK1034" t="s">
        <v>66</v>
      </c>
      <c r="AL1034" t="s">
        <v>63</v>
      </c>
      <c r="AM1034" t="s">
        <v>63</v>
      </c>
      <c r="AN1034" t="s">
        <v>61</v>
      </c>
      <c r="AO1034" t="s">
        <v>61</v>
      </c>
      <c r="AP1034" t="s">
        <v>69</v>
      </c>
      <c r="AQ1034" t="s">
        <v>65</v>
      </c>
      <c r="AR1034" t="s">
        <v>70</v>
      </c>
      <c r="AS1034" t="s">
        <v>73</v>
      </c>
      <c r="AT1034" t="s">
        <v>71</v>
      </c>
      <c r="AU1034">
        <v>0</v>
      </c>
      <c r="AV1034">
        <v>0</v>
      </c>
    </row>
    <row r="1035" spans="1:48" x14ac:dyDescent="0.25">
      <c r="A1035" t="s">
        <v>3669</v>
      </c>
      <c r="B1035" t="s">
        <v>73</v>
      </c>
      <c r="C1035" t="s">
        <v>50</v>
      </c>
      <c r="D1035">
        <v>440585.72509999998</v>
      </c>
      <c r="E1035">
        <v>1827478.2318</v>
      </c>
      <c r="F1035">
        <v>29.361999999999998</v>
      </c>
      <c r="G1035" t="s">
        <v>3670</v>
      </c>
      <c r="H1035" t="s">
        <v>52</v>
      </c>
      <c r="I1035">
        <v>29.361999999999998</v>
      </c>
      <c r="J1035" t="s">
        <v>53</v>
      </c>
      <c r="K1035">
        <v>0</v>
      </c>
      <c r="L1035" t="s">
        <v>357</v>
      </c>
      <c r="M1035" t="s">
        <v>3671</v>
      </c>
      <c r="N1035">
        <v>-0.11260000000000001</v>
      </c>
      <c r="O1035" t="s">
        <v>56</v>
      </c>
      <c r="P1035" t="s">
        <v>57</v>
      </c>
      <c r="Q1035" t="s">
        <v>59</v>
      </c>
      <c r="R1035" t="s">
        <v>58</v>
      </c>
      <c r="S1035" t="s">
        <v>3672</v>
      </c>
      <c r="T1035" t="s">
        <v>61</v>
      </c>
      <c r="U1035">
        <v>1.5394000000000001</v>
      </c>
      <c r="V1035" t="s">
        <v>62</v>
      </c>
      <c r="W1035">
        <v>0</v>
      </c>
      <c r="X1035">
        <v>27.823</v>
      </c>
      <c r="Y1035" t="s">
        <v>63</v>
      </c>
      <c r="Z1035" t="s">
        <v>64</v>
      </c>
      <c r="AC1035" t="s">
        <v>65</v>
      </c>
      <c r="AD1035" t="s">
        <v>61</v>
      </c>
      <c r="AE1035" t="s">
        <v>64</v>
      </c>
      <c r="AF1035" t="s">
        <v>68</v>
      </c>
      <c r="AG1035" t="s">
        <v>65</v>
      </c>
      <c r="AH1035" t="s">
        <v>65</v>
      </c>
      <c r="AI1035" t="s">
        <v>67</v>
      </c>
      <c r="AK1035" t="s">
        <v>66</v>
      </c>
      <c r="AL1035" t="s">
        <v>63</v>
      </c>
      <c r="AM1035" t="s">
        <v>63</v>
      </c>
      <c r="AN1035" t="s">
        <v>61</v>
      </c>
      <c r="AO1035" t="s">
        <v>61</v>
      </c>
      <c r="AP1035" t="s">
        <v>69</v>
      </c>
      <c r="AQ1035" t="s">
        <v>65</v>
      </c>
      <c r="AR1035" t="s">
        <v>70</v>
      </c>
      <c r="AS1035" t="s">
        <v>73</v>
      </c>
      <c r="AT1035" t="s">
        <v>71</v>
      </c>
      <c r="AU1035">
        <v>0</v>
      </c>
      <c r="AV1035">
        <v>0</v>
      </c>
    </row>
    <row r="1036" spans="1:48" x14ac:dyDescent="0.25">
      <c r="A1036" t="s">
        <v>3673</v>
      </c>
      <c r="B1036" t="s">
        <v>73</v>
      </c>
      <c r="C1036" t="s">
        <v>50</v>
      </c>
      <c r="D1036">
        <v>440585.72509999998</v>
      </c>
      <c r="E1036">
        <v>1827498.2394999999</v>
      </c>
      <c r="F1036">
        <v>29.218</v>
      </c>
      <c r="G1036" t="s">
        <v>3674</v>
      </c>
      <c r="H1036" t="s">
        <v>52</v>
      </c>
      <c r="I1036">
        <v>29.218</v>
      </c>
      <c r="J1036" t="s">
        <v>53</v>
      </c>
      <c r="K1036">
        <v>0</v>
      </c>
      <c r="L1036" t="s">
        <v>357</v>
      </c>
      <c r="M1036" t="s">
        <v>416</v>
      </c>
      <c r="N1036">
        <v>-0.1237</v>
      </c>
      <c r="O1036" t="s">
        <v>56</v>
      </c>
      <c r="P1036" t="s">
        <v>57</v>
      </c>
      <c r="Q1036" t="s">
        <v>59</v>
      </c>
      <c r="R1036" t="s">
        <v>58</v>
      </c>
      <c r="S1036" t="s">
        <v>421</v>
      </c>
      <c r="T1036" t="s">
        <v>61</v>
      </c>
      <c r="U1036">
        <v>1.4536</v>
      </c>
      <c r="V1036" t="s">
        <v>62</v>
      </c>
      <c r="W1036">
        <v>0</v>
      </c>
      <c r="X1036">
        <v>27.763999999999999</v>
      </c>
      <c r="Y1036" t="s">
        <v>63</v>
      </c>
      <c r="Z1036" t="s">
        <v>64</v>
      </c>
      <c r="AC1036" t="s">
        <v>65</v>
      </c>
      <c r="AD1036" t="s">
        <v>61</v>
      </c>
      <c r="AE1036" t="s">
        <v>64</v>
      </c>
      <c r="AF1036" t="s">
        <v>68</v>
      </c>
      <c r="AG1036" t="s">
        <v>65</v>
      </c>
      <c r="AH1036" t="s">
        <v>65</v>
      </c>
      <c r="AI1036" t="s">
        <v>67</v>
      </c>
      <c r="AK1036" t="s">
        <v>66</v>
      </c>
      <c r="AL1036" t="s">
        <v>63</v>
      </c>
      <c r="AM1036" t="s">
        <v>63</v>
      </c>
      <c r="AN1036" t="s">
        <v>61</v>
      </c>
      <c r="AO1036" t="s">
        <v>61</v>
      </c>
      <c r="AP1036" t="s">
        <v>69</v>
      </c>
      <c r="AQ1036" t="s">
        <v>65</v>
      </c>
      <c r="AR1036" t="s">
        <v>70</v>
      </c>
      <c r="AS1036" t="s">
        <v>73</v>
      </c>
      <c r="AT1036" t="s">
        <v>71</v>
      </c>
      <c r="AU1036">
        <v>0</v>
      </c>
      <c r="AV1036">
        <v>0</v>
      </c>
    </row>
    <row r="1037" spans="1:48" x14ac:dyDescent="0.25">
      <c r="A1037" t="s">
        <v>3675</v>
      </c>
      <c r="B1037" t="s">
        <v>73</v>
      </c>
      <c r="C1037" t="s">
        <v>50</v>
      </c>
      <c r="D1037">
        <v>440585.72509999998</v>
      </c>
      <c r="E1037">
        <v>1827518.2394999999</v>
      </c>
      <c r="F1037">
        <v>29.177</v>
      </c>
      <c r="G1037" t="s">
        <v>3676</v>
      </c>
      <c r="H1037" t="s">
        <v>52</v>
      </c>
      <c r="I1037">
        <v>29.177</v>
      </c>
      <c r="J1037" t="s">
        <v>53</v>
      </c>
      <c r="K1037">
        <v>0</v>
      </c>
      <c r="L1037" t="s">
        <v>357</v>
      </c>
      <c r="M1037" t="s">
        <v>420</v>
      </c>
      <c r="N1037">
        <v>-0.13469999999999999</v>
      </c>
      <c r="O1037" t="s">
        <v>56</v>
      </c>
      <c r="P1037" t="s">
        <v>57</v>
      </c>
      <c r="Q1037" t="s">
        <v>59</v>
      </c>
      <c r="R1037" t="s">
        <v>58</v>
      </c>
      <c r="S1037" t="s">
        <v>3677</v>
      </c>
      <c r="T1037" t="s">
        <v>61</v>
      </c>
      <c r="U1037">
        <v>1.5138</v>
      </c>
      <c r="V1037" t="s">
        <v>62</v>
      </c>
      <c r="W1037">
        <v>0</v>
      </c>
      <c r="X1037">
        <v>27.663</v>
      </c>
      <c r="Y1037" t="s">
        <v>63</v>
      </c>
      <c r="Z1037" t="s">
        <v>64</v>
      </c>
      <c r="AC1037" t="s">
        <v>65</v>
      </c>
      <c r="AD1037" t="s">
        <v>61</v>
      </c>
      <c r="AE1037" t="s">
        <v>64</v>
      </c>
      <c r="AF1037" t="s">
        <v>68</v>
      </c>
      <c r="AG1037" t="s">
        <v>65</v>
      </c>
      <c r="AH1037" t="s">
        <v>65</v>
      </c>
      <c r="AI1037" t="s">
        <v>67</v>
      </c>
      <c r="AK1037" t="s">
        <v>66</v>
      </c>
      <c r="AL1037" t="s">
        <v>63</v>
      </c>
      <c r="AM1037" t="s">
        <v>63</v>
      </c>
      <c r="AN1037" t="s">
        <v>61</v>
      </c>
      <c r="AO1037" t="s">
        <v>61</v>
      </c>
      <c r="AP1037" t="s">
        <v>69</v>
      </c>
      <c r="AQ1037" t="s">
        <v>65</v>
      </c>
      <c r="AR1037" t="s">
        <v>70</v>
      </c>
      <c r="AS1037" t="s">
        <v>73</v>
      </c>
      <c r="AT1037" t="s">
        <v>71</v>
      </c>
      <c r="AU1037">
        <v>0</v>
      </c>
      <c r="AV1037">
        <v>0</v>
      </c>
    </row>
    <row r="1038" spans="1:48" x14ac:dyDescent="0.25">
      <c r="A1038" t="s">
        <v>3678</v>
      </c>
      <c r="B1038" t="s">
        <v>125</v>
      </c>
      <c r="C1038" t="s">
        <v>50</v>
      </c>
      <c r="D1038">
        <v>440585.57510000002</v>
      </c>
      <c r="E1038">
        <v>1827531.6588000001</v>
      </c>
      <c r="F1038">
        <v>29.068000000000001</v>
      </c>
      <c r="G1038" t="s">
        <v>3679</v>
      </c>
      <c r="H1038" t="s">
        <v>52</v>
      </c>
      <c r="I1038">
        <v>29.068000000000001</v>
      </c>
      <c r="J1038" t="s">
        <v>53</v>
      </c>
      <c r="K1038">
        <v>0</v>
      </c>
      <c r="L1038" t="s">
        <v>141</v>
      </c>
      <c r="M1038" t="s">
        <v>3680</v>
      </c>
      <c r="N1038">
        <v>0.1084</v>
      </c>
      <c r="O1038" t="s">
        <v>56</v>
      </c>
      <c r="P1038" t="s">
        <v>57</v>
      </c>
      <c r="Q1038" t="s">
        <v>109</v>
      </c>
      <c r="R1038" t="s">
        <v>59</v>
      </c>
      <c r="S1038" t="s">
        <v>3681</v>
      </c>
      <c r="T1038" t="s">
        <v>61</v>
      </c>
      <c r="U1038">
        <v>2.9283000000000001</v>
      </c>
      <c r="V1038" t="s">
        <v>62</v>
      </c>
      <c r="W1038">
        <v>0</v>
      </c>
      <c r="X1038">
        <v>26.14</v>
      </c>
      <c r="Y1038" t="s">
        <v>63</v>
      </c>
      <c r="Z1038" t="s">
        <v>64</v>
      </c>
      <c r="AC1038" t="s">
        <v>65</v>
      </c>
      <c r="AD1038" t="s">
        <v>61</v>
      </c>
      <c r="AE1038" t="s">
        <v>64</v>
      </c>
      <c r="AF1038" t="s">
        <v>66</v>
      </c>
      <c r="AG1038" t="s">
        <v>65</v>
      </c>
      <c r="AH1038" t="s">
        <v>65</v>
      </c>
      <c r="AI1038" t="s">
        <v>67</v>
      </c>
      <c r="AK1038" t="s">
        <v>111</v>
      </c>
      <c r="AL1038" t="s">
        <v>63</v>
      </c>
      <c r="AM1038" t="s">
        <v>63</v>
      </c>
      <c r="AN1038" t="s">
        <v>61</v>
      </c>
      <c r="AO1038" t="s">
        <v>61</v>
      </c>
      <c r="AP1038" t="s">
        <v>69</v>
      </c>
      <c r="AQ1038" t="s">
        <v>65</v>
      </c>
      <c r="AR1038" t="s">
        <v>70</v>
      </c>
      <c r="AS1038" t="s">
        <v>125</v>
      </c>
      <c r="AT1038" t="s">
        <v>71</v>
      </c>
      <c r="AU1038">
        <v>0</v>
      </c>
      <c r="AV1038">
        <v>0</v>
      </c>
    </row>
    <row r="1039" spans="1:48" x14ac:dyDescent="0.25">
      <c r="A1039" t="s">
        <v>3682</v>
      </c>
      <c r="B1039" t="s">
        <v>73</v>
      </c>
      <c r="C1039" t="s">
        <v>50</v>
      </c>
      <c r="D1039">
        <v>440595.1251</v>
      </c>
      <c r="E1039">
        <v>1827418.2394999999</v>
      </c>
      <c r="F1039">
        <v>29.948</v>
      </c>
      <c r="G1039" t="s">
        <v>3683</v>
      </c>
      <c r="H1039" t="s">
        <v>52</v>
      </c>
      <c r="I1039">
        <v>29.948</v>
      </c>
      <c r="J1039" t="s">
        <v>53</v>
      </c>
      <c r="K1039">
        <v>0</v>
      </c>
      <c r="L1039" t="s">
        <v>797</v>
      </c>
      <c r="M1039" t="s">
        <v>1057</v>
      </c>
      <c r="N1039">
        <v>0.18310000000000001</v>
      </c>
      <c r="O1039" t="s">
        <v>56</v>
      </c>
      <c r="P1039" t="s">
        <v>57</v>
      </c>
      <c r="Q1039" t="s">
        <v>59</v>
      </c>
      <c r="R1039" t="s">
        <v>58</v>
      </c>
      <c r="S1039" t="s">
        <v>3684</v>
      </c>
      <c r="T1039" t="s">
        <v>61</v>
      </c>
      <c r="U1039">
        <v>1.5673999999999999</v>
      </c>
      <c r="V1039" t="s">
        <v>62</v>
      </c>
      <c r="W1039">
        <v>0</v>
      </c>
      <c r="X1039">
        <v>28.381</v>
      </c>
      <c r="Y1039" t="s">
        <v>63</v>
      </c>
      <c r="Z1039" t="s">
        <v>64</v>
      </c>
      <c r="AC1039" t="s">
        <v>65</v>
      </c>
      <c r="AD1039" t="s">
        <v>61</v>
      </c>
      <c r="AE1039" t="s">
        <v>64</v>
      </c>
      <c r="AF1039" t="s">
        <v>68</v>
      </c>
      <c r="AG1039" t="s">
        <v>65</v>
      </c>
      <c r="AH1039" t="s">
        <v>65</v>
      </c>
      <c r="AI1039" t="s">
        <v>67</v>
      </c>
      <c r="AK1039" t="s">
        <v>66</v>
      </c>
      <c r="AL1039" t="s">
        <v>63</v>
      </c>
      <c r="AM1039" t="s">
        <v>63</v>
      </c>
      <c r="AN1039" t="s">
        <v>61</v>
      </c>
      <c r="AO1039" t="s">
        <v>61</v>
      </c>
      <c r="AP1039" t="s">
        <v>69</v>
      </c>
      <c r="AQ1039" t="s">
        <v>65</v>
      </c>
      <c r="AR1039" t="s">
        <v>70</v>
      </c>
      <c r="AS1039" t="s">
        <v>73</v>
      </c>
      <c r="AT1039" t="s">
        <v>71</v>
      </c>
      <c r="AU1039">
        <v>0</v>
      </c>
      <c r="AV1039">
        <v>0</v>
      </c>
    </row>
    <row r="1040" spans="1:48" x14ac:dyDescent="0.25">
      <c r="A1040" t="s">
        <v>3685</v>
      </c>
      <c r="B1040" t="s">
        <v>73</v>
      </c>
      <c r="C1040" t="s">
        <v>50</v>
      </c>
      <c r="D1040">
        <v>440595.1251</v>
      </c>
      <c r="E1040">
        <v>1827438.2394999999</v>
      </c>
      <c r="F1040">
        <v>29.774999999999999</v>
      </c>
      <c r="G1040" t="s">
        <v>3686</v>
      </c>
      <c r="H1040" t="s">
        <v>52</v>
      </c>
      <c r="I1040">
        <v>29.774999999999999</v>
      </c>
      <c r="J1040" t="s">
        <v>53</v>
      </c>
      <c r="K1040">
        <v>0</v>
      </c>
      <c r="L1040" t="s">
        <v>797</v>
      </c>
      <c r="M1040" t="s">
        <v>1444</v>
      </c>
      <c r="N1040">
        <v>0.18310000000000001</v>
      </c>
      <c r="O1040" t="s">
        <v>56</v>
      </c>
      <c r="P1040" t="s">
        <v>57</v>
      </c>
      <c r="Q1040" t="s">
        <v>59</v>
      </c>
      <c r="R1040" t="s">
        <v>58</v>
      </c>
      <c r="S1040" t="s">
        <v>3665</v>
      </c>
      <c r="T1040" t="s">
        <v>61</v>
      </c>
      <c r="U1040">
        <v>1.5981000000000001</v>
      </c>
      <c r="V1040" t="s">
        <v>62</v>
      </c>
      <c r="W1040">
        <v>0</v>
      </c>
      <c r="X1040">
        <v>28.177</v>
      </c>
      <c r="Y1040" t="s">
        <v>63</v>
      </c>
      <c r="Z1040" t="s">
        <v>64</v>
      </c>
      <c r="AC1040" t="s">
        <v>65</v>
      </c>
      <c r="AD1040" t="s">
        <v>61</v>
      </c>
      <c r="AE1040" t="s">
        <v>64</v>
      </c>
      <c r="AF1040" t="s">
        <v>68</v>
      </c>
      <c r="AG1040" t="s">
        <v>65</v>
      </c>
      <c r="AH1040" t="s">
        <v>65</v>
      </c>
      <c r="AI1040" t="s">
        <v>67</v>
      </c>
      <c r="AK1040" t="s">
        <v>66</v>
      </c>
      <c r="AL1040" t="s">
        <v>63</v>
      </c>
      <c r="AM1040" t="s">
        <v>63</v>
      </c>
      <c r="AN1040" t="s">
        <v>61</v>
      </c>
      <c r="AO1040" t="s">
        <v>61</v>
      </c>
      <c r="AP1040" t="s">
        <v>69</v>
      </c>
      <c r="AQ1040" t="s">
        <v>65</v>
      </c>
      <c r="AR1040" t="s">
        <v>70</v>
      </c>
      <c r="AS1040" t="s">
        <v>73</v>
      </c>
      <c r="AT1040" t="s">
        <v>71</v>
      </c>
      <c r="AU1040">
        <v>0</v>
      </c>
      <c r="AV1040">
        <v>0</v>
      </c>
    </row>
    <row r="1041" spans="1:48" x14ac:dyDescent="0.25">
      <c r="A1041" t="s">
        <v>3687</v>
      </c>
      <c r="B1041" t="s">
        <v>73</v>
      </c>
      <c r="C1041" t="s">
        <v>50</v>
      </c>
      <c r="D1041">
        <v>440595.1251</v>
      </c>
      <c r="E1041">
        <v>1827458.2394999999</v>
      </c>
      <c r="F1041">
        <v>29.571000000000002</v>
      </c>
      <c r="G1041" t="s">
        <v>3688</v>
      </c>
      <c r="H1041" t="s">
        <v>52</v>
      </c>
      <c r="I1041">
        <v>29.571000000000002</v>
      </c>
      <c r="J1041" t="s">
        <v>53</v>
      </c>
      <c r="K1041">
        <v>0</v>
      </c>
      <c r="L1041" t="s">
        <v>797</v>
      </c>
      <c r="M1041" t="s">
        <v>525</v>
      </c>
      <c r="N1041">
        <v>0.18310000000000001</v>
      </c>
      <c r="O1041" t="s">
        <v>56</v>
      </c>
      <c r="P1041" t="s">
        <v>57</v>
      </c>
      <c r="Q1041" t="s">
        <v>59</v>
      </c>
      <c r="R1041" t="s">
        <v>58</v>
      </c>
      <c r="S1041" t="s">
        <v>3668</v>
      </c>
      <c r="T1041" t="s">
        <v>61</v>
      </c>
      <c r="U1041">
        <v>1.6032999999999999</v>
      </c>
      <c r="V1041" t="s">
        <v>62</v>
      </c>
      <c r="W1041">
        <v>0</v>
      </c>
      <c r="X1041">
        <v>27.968</v>
      </c>
      <c r="Y1041" t="s">
        <v>63</v>
      </c>
      <c r="Z1041" t="s">
        <v>64</v>
      </c>
      <c r="AC1041" t="s">
        <v>65</v>
      </c>
      <c r="AD1041" t="s">
        <v>61</v>
      </c>
      <c r="AE1041" t="s">
        <v>64</v>
      </c>
      <c r="AF1041" t="s">
        <v>68</v>
      </c>
      <c r="AG1041" t="s">
        <v>65</v>
      </c>
      <c r="AH1041" t="s">
        <v>65</v>
      </c>
      <c r="AI1041" t="s">
        <v>67</v>
      </c>
      <c r="AK1041" t="s">
        <v>66</v>
      </c>
      <c r="AL1041" t="s">
        <v>63</v>
      </c>
      <c r="AM1041" t="s">
        <v>63</v>
      </c>
      <c r="AN1041" t="s">
        <v>61</v>
      </c>
      <c r="AO1041" t="s">
        <v>61</v>
      </c>
      <c r="AP1041" t="s">
        <v>69</v>
      </c>
      <c r="AQ1041" t="s">
        <v>65</v>
      </c>
      <c r="AR1041" t="s">
        <v>70</v>
      </c>
      <c r="AS1041" t="s">
        <v>73</v>
      </c>
      <c r="AT1041" t="s">
        <v>71</v>
      </c>
      <c r="AU1041">
        <v>0</v>
      </c>
      <c r="AV1041">
        <v>0</v>
      </c>
    </row>
    <row r="1042" spans="1:48" x14ac:dyDescent="0.25">
      <c r="A1042" t="s">
        <v>3689</v>
      </c>
      <c r="B1042" t="s">
        <v>73</v>
      </c>
      <c r="C1042" t="s">
        <v>50</v>
      </c>
      <c r="D1042">
        <v>440595.1251</v>
      </c>
      <c r="E1042">
        <v>1827478.2394999999</v>
      </c>
      <c r="F1042">
        <v>29.361999999999998</v>
      </c>
      <c r="G1042" t="s">
        <v>3690</v>
      </c>
      <c r="H1042" t="s">
        <v>52</v>
      </c>
      <c r="I1042">
        <v>29.361999999999998</v>
      </c>
      <c r="J1042" t="s">
        <v>53</v>
      </c>
      <c r="K1042">
        <v>0</v>
      </c>
      <c r="L1042" t="s">
        <v>797</v>
      </c>
      <c r="M1042" t="s">
        <v>529</v>
      </c>
      <c r="N1042">
        <v>0.18310000000000001</v>
      </c>
      <c r="O1042" t="s">
        <v>56</v>
      </c>
      <c r="P1042" t="s">
        <v>57</v>
      </c>
      <c r="Q1042" t="s">
        <v>59</v>
      </c>
      <c r="R1042" t="s">
        <v>58</v>
      </c>
      <c r="S1042" t="s">
        <v>3691</v>
      </c>
      <c r="T1042" t="s">
        <v>61</v>
      </c>
      <c r="U1042">
        <v>1.5392999999999999</v>
      </c>
      <c r="V1042" t="s">
        <v>62</v>
      </c>
      <c r="W1042">
        <v>0</v>
      </c>
      <c r="X1042">
        <v>27.823</v>
      </c>
      <c r="Y1042" t="s">
        <v>63</v>
      </c>
      <c r="Z1042" t="s">
        <v>64</v>
      </c>
      <c r="AC1042" t="s">
        <v>65</v>
      </c>
      <c r="AD1042" t="s">
        <v>61</v>
      </c>
      <c r="AE1042" t="s">
        <v>64</v>
      </c>
      <c r="AF1042" t="s">
        <v>68</v>
      </c>
      <c r="AG1042" t="s">
        <v>65</v>
      </c>
      <c r="AH1042" t="s">
        <v>65</v>
      </c>
      <c r="AI1042" t="s">
        <v>67</v>
      </c>
      <c r="AK1042" t="s">
        <v>66</v>
      </c>
      <c r="AL1042" t="s">
        <v>63</v>
      </c>
      <c r="AM1042" t="s">
        <v>63</v>
      </c>
      <c r="AN1042" t="s">
        <v>61</v>
      </c>
      <c r="AO1042" t="s">
        <v>61</v>
      </c>
      <c r="AP1042" t="s">
        <v>69</v>
      </c>
      <c r="AQ1042" t="s">
        <v>65</v>
      </c>
      <c r="AR1042" t="s">
        <v>70</v>
      </c>
      <c r="AS1042" t="s">
        <v>73</v>
      </c>
      <c r="AT1042" t="s">
        <v>71</v>
      </c>
      <c r="AU1042">
        <v>0</v>
      </c>
      <c r="AV1042">
        <v>0</v>
      </c>
    </row>
    <row r="1043" spans="1:48" x14ac:dyDescent="0.25">
      <c r="A1043" t="s">
        <v>3692</v>
      </c>
      <c r="B1043" t="s">
        <v>73</v>
      </c>
      <c r="C1043" t="s">
        <v>50</v>
      </c>
      <c r="D1043">
        <v>440595.1251</v>
      </c>
      <c r="E1043">
        <v>1827498.2394999999</v>
      </c>
      <c r="F1043">
        <v>29.218</v>
      </c>
      <c r="G1043" t="s">
        <v>3693</v>
      </c>
      <c r="H1043" t="s">
        <v>52</v>
      </c>
      <c r="I1043">
        <v>29.218</v>
      </c>
      <c r="J1043" t="s">
        <v>53</v>
      </c>
      <c r="K1043">
        <v>0</v>
      </c>
      <c r="L1043" t="s">
        <v>797</v>
      </c>
      <c r="M1043" t="s">
        <v>416</v>
      </c>
      <c r="N1043">
        <v>0.18310000000000001</v>
      </c>
      <c r="O1043" t="s">
        <v>56</v>
      </c>
      <c r="P1043" t="s">
        <v>57</v>
      </c>
      <c r="Q1043" t="s">
        <v>59</v>
      </c>
      <c r="R1043" t="s">
        <v>58</v>
      </c>
      <c r="S1043" t="s">
        <v>421</v>
      </c>
      <c r="T1043" t="s">
        <v>61</v>
      </c>
      <c r="U1043">
        <v>1.4536</v>
      </c>
      <c r="V1043" t="s">
        <v>62</v>
      </c>
      <c r="W1043">
        <v>0</v>
      </c>
      <c r="X1043">
        <v>27.763999999999999</v>
      </c>
      <c r="Y1043" t="s">
        <v>63</v>
      </c>
      <c r="Z1043" t="s">
        <v>64</v>
      </c>
      <c r="AC1043" t="s">
        <v>65</v>
      </c>
      <c r="AD1043" t="s">
        <v>61</v>
      </c>
      <c r="AE1043" t="s">
        <v>64</v>
      </c>
      <c r="AF1043" t="s">
        <v>68</v>
      </c>
      <c r="AG1043" t="s">
        <v>65</v>
      </c>
      <c r="AH1043" t="s">
        <v>65</v>
      </c>
      <c r="AI1043" t="s">
        <v>67</v>
      </c>
      <c r="AK1043" t="s">
        <v>66</v>
      </c>
      <c r="AL1043" t="s">
        <v>63</v>
      </c>
      <c r="AM1043" t="s">
        <v>63</v>
      </c>
      <c r="AN1043" t="s">
        <v>61</v>
      </c>
      <c r="AO1043" t="s">
        <v>61</v>
      </c>
      <c r="AP1043" t="s">
        <v>69</v>
      </c>
      <c r="AQ1043" t="s">
        <v>65</v>
      </c>
      <c r="AR1043" t="s">
        <v>70</v>
      </c>
      <c r="AS1043" t="s">
        <v>73</v>
      </c>
      <c r="AT1043" t="s">
        <v>71</v>
      </c>
      <c r="AU1043">
        <v>0</v>
      </c>
      <c r="AV1043">
        <v>0</v>
      </c>
    </row>
    <row r="1044" spans="1:48" x14ac:dyDescent="0.25">
      <c r="A1044" t="s">
        <v>3694</v>
      </c>
      <c r="B1044" t="s">
        <v>73</v>
      </c>
      <c r="C1044" t="s">
        <v>50</v>
      </c>
      <c r="D1044">
        <v>440595.1251</v>
      </c>
      <c r="E1044">
        <v>1827518.2394999999</v>
      </c>
      <c r="F1044">
        <v>29.177</v>
      </c>
      <c r="G1044" t="s">
        <v>3695</v>
      </c>
      <c r="H1044" t="s">
        <v>52</v>
      </c>
      <c r="I1044">
        <v>29.177</v>
      </c>
      <c r="J1044" t="s">
        <v>53</v>
      </c>
      <c r="K1044">
        <v>0</v>
      </c>
      <c r="L1044" t="s">
        <v>797</v>
      </c>
      <c r="M1044" t="s">
        <v>420</v>
      </c>
      <c r="N1044">
        <v>0.18310000000000001</v>
      </c>
      <c r="O1044" t="s">
        <v>56</v>
      </c>
      <c r="P1044" t="s">
        <v>57</v>
      </c>
      <c r="Q1044" t="s">
        <v>59</v>
      </c>
      <c r="R1044" t="s">
        <v>58</v>
      </c>
      <c r="S1044" t="s">
        <v>3696</v>
      </c>
      <c r="T1044" t="s">
        <v>61</v>
      </c>
      <c r="U1044">
        <v>1.5338000000000001</v>
      </c>
      <c r="V1044" t="s">
        <v>62</v>
      </c>
      <c r="W1044">
        <v>0</v>
      </c>
      <c r="X1044">
        <v>27.643000000000001</v>
      </c>
      <c r="Y1044" t="s">
        <v>63</v>
      </c>
      <c r="Z1044" t="s">
        <v>64</v>
      </c>
      <c r="AC1044" t="s">
        <v>65</v>
      </c>
      <c r="AD1044" t="s">
        <v>61</v>
      </c>
      <c r="AE1044" t="s">
        <v>64</v>
      </c>
      <c r="AF1044" t="s">
        <v>68</v>
      </c>
      <c r="AG1044" t="s">
        <v>65</v>
      </c>
      <c r="AH1044" t="s">
        <v>65</v>
      </c>
      <c r="AI1044" t="s">
        <v>67</v>
      </c>
      <c r="AK1044" t="s">
        <v>66</v>
      </c>
      <c r="AL1044" t="s">
        <v>63</v>
      </c>
      <c r="AM1044" t="s">
        <v>63</v>
      </c>
      <c r="AN1044" t="s">
        <v>61</v>
      </c>
      <c r="AO1044" t="s">
        <v>61</v>
      </c>
      <c r="AP1044" t="s">
        <v>69</v>
      </c>
      <c r="AQ1044" t="s">
        <v>65</v>
      </c>
      <c r="AR1044" t="s">
        <v>70</v>
      </c>
      <c r="AS1044" t="s">
        <v>73</v>
      </c>
      <c r="AT1044" t="s">
        <v>71</v>
      </c>
      <c r="AU1044">
        <v>0</v>
      </c>
      <c r="AV1044">
        <v>0</v>
      </c>
    </row>
    <row r="1045" spans="1:48" x14ac:dyDescent="0.25">
      <c r="A1045" t="s">
        <v>3697</v>
      </c>
      <c r="B1045" t="s">
        <v>125</v>
      </c>
      <c r="C1045" t="s">
        <v>50</v>
      </c>
      <c r="D1045">
        <v>440595.27510000003</v>
      </c>
      <c r="E1045">
        <v>1827531.6588000001</v>
      </c>
      <c r="F1045">
        <v>29.048999999999999</v>
      </c>
      <c r="G1045" t="s">
        <v>3698</v>
      </c>
      <c r="H1045" t="s">
        <v>52</v>
      </c>
      <c r="I1045">
        <v>29.048999999999999</v>
      </c>
      <c r="J1045" t="s">
        <v>53</v>
      </c>
      <c r="K1045">
        <v>0</v>
      </c>
      <c r="L1045" t="s">
        <v>141</v>
      </c>
      <c r="M1045" t="s">
        <v>3699</v>
      </c>
      <c r="N1045">
        <v>0.1084</v>
      </c>
      <c r="O1045" t="s">
        <v>56</v>
      </c>
      <c r="P1045" t="s">
        <v>57</v>
      </c>
      <c r="Q1045" t="s">
        <v>109</v>
      </c>
      <c r="R1045" t="s">
        <v>59</v>
      </c>
      <c r="S1045" t="s">
        <v>3700</v>
      </c>
      <c r="T1045" t="s">
        <v>61</v>
      </c>
      <c r="U1045">
        <v>2.944</v>
      </c>
      <c r="V1045" t="s">
        <v>62</v>
      </c>
      <c r="W1045">
        <v>0</v>
      </c>
      <c r="X1045">
        <v>26.105</v>
      </c>
      <c r="Y1045" t="s">
        <v>63</v>
      </c>
      <c r="Z1045" t="s">
        <v>64</v>
      </c>
      <c r="AC1045" t="s">
        <v>65</v>
      </c>
      <c r="AD1045" t="s">
        <v>61</v>
      </c>
      <c r="AE1045" t="s">
        <v>64</v>
      </c>
      <c r="AF1045" t="s">
        <v>66</v>
      </c>
      <c r="AG1045" t="s">
        <v>65</v>
      </c>
      <c r="AH1045" t="s">
        <v>65</v>
      </c>
      <c r="AI1045" t="s">
        <v>67</v>
      </c>
      <c r="AK1045" t="s">
        <v>111</v>
      </c>
      <c r="AL1045" t="s">
        <v>63</v>
      </c>
      <c r="AM1045" t="s">
        <v>63</v>
      </c>
      <c r="AN1045" t="s">
        <v>61</v>
      </c>
      <c r="AO1045" t="s">
        <v>61</v>
      </c>
      <c r="AP1045" t="s">
        <v>69</v>
      </c>
      <c r="AQ1045" t="s">
        <v>65</v>
      </c>
      <c r="AR1045" t="s">
        <v>70</v>
      </c>
      <c r="AS1045" t="s">
        <v>125</v>
      </c>
      <c r="AT1045" t="s">
        <v>71</v>
      </c>
      <c r="AU1045">
        <v>0</v>
      </c>
      <c r="AV1045">
        <v>0</v>
      </c>
    </row>
    <row r="1046" spans="1:48" x14ac:dyDescent="0.25">
      <c r="A1046" t="s">
        <v>3701</v>
      </c>
      <c r="B1046" t="s">
        <v>73</v>
      </c>
      <c r="C1046" t="s">
        <v>50</v>
      </c>
      <c r="D1046">
        <v>440529.52510000003</v>
      </c>
      <c r="E1046">
        <v>1827618.2394999999</v>
      </c>
      <c r="F1046">
        <v>30.003</v>
      </c>
      <c r="G1046" t="s">
        <v>3702</v>
      </c>
      <c r="H1046" t="s">
        <v>52</v>
      </c>
      <c r="I1046">
        <v>30.003</v>
      </c>
      <c r="J1046" t="s">
        <v>53</v>
      </c>
      <c r="K1046">
        <v>0</v>
      </c>
      <c r="L1046" t="s">
        <v>186</v>
      </c>
      <c r="M1046" t="s">
        <v>440</v>
      </c>
      <c r="N1046">
        <v>0.15</v>
      </c>
      <c r="O1046" t="s">
        <v>56</v>
      </c>
      <c r="P1046" t="s">
        <v>57</v>
      </c>
      <c r="Q1046" t="s">
        <v>59</v>
      </c>
      <c r="R1046" t="s">
        <v>58</v>
      </c>
      <c r="S1046" t="s">
        <v>3703</v>
      </c>
      <c r="T1046" t="s">
        <v>61</v>
      </c>
      <c r="U1046">
        <v>1.5640000000000001</v>
      </c>
      <c r="V1046" t="s">
        <v>62</v>
      </c>
      <c r="W1046">
        <v>0</v>
      </c>
      <c r="X1046">
        <v>28.439</v>
      </c>
      <c r="Y1046" t="s">
        <v>63</v>
      </c>
      <c r="Z1046" t="s">
        <v>64</v>
      </c>
      <c r="AC1046" t="s">
        <v>65</v>
      </c>
      <c r="AD1046" t="s">
        <v>61</v>
      </c>
      <c r="AE1046" t="s">
        <v>64</v>
      </c>
      <c r="AF1046" t="s">
        <v>68</v>
      </c>
      <c r="AG1046" t="s">
        <v>65</v>
      </c>
      <c r="AH1046" t="s">
        <v>65</v>
      </c>
      <c r="AI1046" t="s">
        <v>67</v>
      </c>
      <c r="AK1046" t="s">
        <v>66</v>
      </c>
      <c r="AL1046" t="s">
        <v>63</v>
      </c>
      <c r="AM1046" t="s">
        <v>63</v>
      </c>
      <c r="AN1046" t="s">
        <v>61</v>
      </c>
      <c r="AO1046" t="s">
        <v>61</v>
      </c>
      <c r="AP1046" t="s">
        <v>69</v>
      </c>
      <c r="AQ1046" t="s">
        <v>65</v>
      </c>
      <c r="AR1046" t="s">
        <v>70</v>
      </c>
      <c r="AS1046" t="s">
        <v>73</v>
      </c>
      <c r="AT1046" t="s">
        <v>71</v>
      </c>
      <c r="AU1046">
        <v>0</v>
      </c>
      <c r="AV1046">
        <v>0</v>
      </c>
    </row>
    <row r="1047" spans="1:48" x14ac:dyDescent="0.25">
      <c r="A1047" t="s">
        <v>3704</v>
      </c>
      <c r="B1047" t="s">
        <v>73</v>
      </c>
      <c r="C1047" t="s">
        <v>50</v>
      </c>
      <c r="D1047">
        <v>440529.52510000003</v>
      </c>
      <c r="E1047">
        <v>1827598.2394999999</v>
      </c>
      <c r="F1047">
        <v>30.042999999999999</v>
      </c>
      <c r="G1047" t="s">
        <v>3705</v>
      </c>
      <c r="H1047" t="s">
        <v>52</v>
      </c>
      <c r="I1047">
        <v>30.042999999999999</v>
      </c>
      <c r="J1047" t="s">
        <v>53</v>
      </c>
      <c r="K1047">
        <v>0</v>
      </c>
      <c r="L1047" t="s">
        <v>186</v>
      </c>
      <c r="M1047" t="s">
        <v>597</v>
      </c>
      <c r="N1047">
        <v>0.15</v>
      </c>
      <c r="O1047" t="s">
        <v>56</v>
      </c>
      <c r="P1047" t="s">
        <v>57</v>
      </c>
      <c r="Q1047" t="s">
        <v>59</v>
      </c>
      <c r="R1047" t="s">
        <v>58</v>
      </c>
      <c r="S1047" t="s">
        <v>3706</v>
      </c>
      <c r="T1047" t="s">
        <v>61</v>
      </c>
      <c r="U1047">
        <v>1.462</v>
      </c>
      <c r="V1047" t="s">
        <v>62</v>
      </c>
      <c r="W1047">
        <v>0</v>
      </c>
      <c r="X1047">
        <v>28.581</v>
      </c>
      <c r="Y1047" t="s">
        <v>63</v>
      </c>
      <c r="Z1047" t="s">
        <v>64</v>
      </c>
      <c r="AC1047" t="s">
        <v>65</v>
      </c>
      <c r="AD1047" t="s">
        <v>61</v>
      </c>
      <c r="AE1047" t="s">
        <v>64</v>
      </c>
      <c r="AF1047" t="s">
        <v>68</v>
      </c>
      <c r="AG1047" t="s">
        <v>65</v>
      </c>
      <c r="AH1047" t="s">
        <v>65</v>
      </c>
      <c r="AI1047" t="s">
        <v>67</v>
      </c>
      <c r="AK1047" t="s">
        <v>66</v>
      </c>
      <c r="AL1047" t="s">
        <v>63</v>
      </c>
      <c r="AM1047" t="s">
        <v>63</v>
      </c>
      <c r="AN1047" t="s">
        <v>61</v>
      </c>
      <c r="AO1047" t="s">
        <v>61</v>
      </c>
      <c r="AP1047" t="s">
        <v>69</v>
      </c>
      <c r="AQ1047" t="s">
        <v>65</v>
      </c>
      <c r="AR1047" t="s">
        <v>70</v>
      </c>
      <c r="AS1047" t="s">
        <v>73</v>
      </c>
      <c r="AT1047" t="s">
        <v>71</v>
      </c>
      <c r="AU1047">
        <v>0</v>
      </c>
      <c r="AV1047">
        <v>0</v>
      </c>
    </row>
    <row r="1048" spans="1:48" x14ac:dyDescent="0.25">
      <c r="A1048" t="s">
        <v>3707</v>
      </c>
      <c r="B1048" t="s">
        <v>73</v>
      </c>
      <c r="C1048" t="s">
        <v>50</v>
      </c>
      <c r="D1048">
        <v>440529.52510000003</v>
      </c>
      <c r="E1048">
        <v>1827578.2394999999</v>
      </c>
      <c r="F1048">
        <v>30.082999999999998</v>
      </c>
      <c r="G1048" t="s">
        <v>3708</v>
      </c>
      <c r="H1048" t="s">
        <v>52</v>
      </c>
      <c r="I1048">
        <v>30.082999999999998</v>
      </c>
      <c r="J1048" t="s">
        <v>53</v>
      </c>
      <c r="K1048">
        <v>0</v>
      </c>
      <c r="L1048" t="s">
        <v>186</v>
      </c>
      <c r="M1048" t="s">
        <v>432</v>
      </c>
      <c r="N1048">
        <v>0.15</v>
      </c>
      <c r="O1048" t="s">
        <v>56</v>
      </c>
      <c r="P1048" t="s">
        <v>57</v>
      </c>
      <c r="Q1048" t="s">
        <v>59</v>
      </c>
      <c r="R1048" t="s">
        <v>58</v>
      </c>
      <c r="S1048" t="s">
        <v>3709</v>
      </c>
      <c r="T1048" t="s">
        <v>61</v>
      </c>
      <c r="U1048">
        <v>1.454</v>
      </c>
      <c r="V1048" t="s">
        <v>62</v>
      </c>
      <c r="W1048">
        <v>0</v>
      </c>
      <c r="X1048">
        <v>28.629000000000001</v>
      </c>
      <c r="Y1048" t="s">
        <v>63</v>
      </c>
      <c r="Z1048" t="s">
        <v>64</v>
      </c>
      <c r="AC1048" t="s">
        <v>65</v>
      </c>
      <c r="AD1048" t="s">
        <v>61</v>
      </c>
      <c r="AE1048" t="s">
        <v>64</v>
      </c>
      <c r="AF1048" t="s">
        <v>68</v>
      </c>
      <c r="AG1048" t="s">
        <v>65</v>
      </c>
      <c r="AH1048" t="s">
        <v>65</v>
      </c>
      <c r="AI1048" t="s">
        <v>67</v>
      </c>
      <c r="AK1048" t="s">
        <v>66</v>
      </c>
      <c r="AL1048" t="s">
        <v>63</v>
      </c>
      <c r="AM1048" t="s">
        <v>63</v>
      </c>
      <c r="AN1048" t="s">
        <v>61</v>
      </c>
      <c r="AO1048" t="s">
        <v>61</v>
      </c>
      <c r="AP1048" t="s">
        <v>69</v>
      </c>
      <c r="AQ1048" t="s">
        <v>65</v>
      </c>
      <c r="AR1048" t="s">
        <v>70</v>
      </c>
      <c r="AS1048" t="s">
        <v>73</v>
      </c>
      <c r="AT1048" t="s">
        <v>71</v>
      </c>
      <c r="AU1048">
        <v>0</v>
      </c>
      <c r="AV1048">
        <v>0</v>
      </c>
    </row>
    <row r="1049" spans="1:48" x14ac:dyDescent="0.25">
      <c r="A1049" t="s">
        <v>3710</v>
      </c>
      <c r="B1049" t="s">
        <v>105</v>
      </c>
      <c r="C1049" t="s">
        <v>50</v>
      </c>
      <c r="D1049">
        <v>440398.2501</v>
      </c>
      <c r="E1049">
        <v>1827609.7609000001</v>
      </c>
      <c r="F1049">
        <v>30.35</v>
      </c>
      <c r="G1049" t="s">
        <v>3711</v>
      </c>
      <c r="H1049" t="s">
        <v>52</v>
      </c>
      <c r="I1049">
        <v>30.35</v>
      </c>
      <c r="J1049" t="s">
        <v>53</v>
      </c>
      <c r="K1049">
        <v>0</v>
      </c>
      <c r="L1049" t="s">
        <v>107</v>
      </c>
      <c r="M1049" t="s">
        <v>1057</v>
      </c>
      <c r="N1049">
        <v>0.2248</v>
      </c>
      <c r="O1049" t="s">
        <v>56</v>
      </c>
      <c r="P1049" t="s">
        <v>57</v>
      </c>
      <c r="Q1049" t="s">
        <v>59</v>
      </c>
      <c r="R1049" t="s">
        <v>109</v>
      </c>
      <c r="S1049" t="s">
        <v>3712</v>
      </c>
      <c r="T1049" t="s">
        <v>61</v>
      </c>
      <c r="U1049">
        <v>1.5626</v>
      </c>
      <c r="V1049" t="s">
        <v>62</v>
      </c>
      <c r="W1049">
        <v>0</v>
      </c>
      <c r="X1049">
        <v>28.786999999999999</v>
      </c>
      <c r="Y1049" t="s">
        <v>63</v>
      </c>
      <c r="Z1049" t="s">
        <v>64</v>
      </c>
      <c r="AC1049" t="s">
        <v>65</v>
      </c>
      <c r="AD1049" t="s">
        <v>61</v>
      </c>
      <c r="AE1049" t="s">
        <v>64</v>
      </c>
      <c r="AF1049" t="s">
        <v>111</v>
      </c>
      <c r="AG1049" t="s">
        <v>65</v>
      </c>
      <c r="AH1049" t="s">
        <v>65</v>
      </c>
      <c r="AI1049" t="s">
        <v>67</v>
      </c>
      <c r="AK1049" t="s">
        <v>66</v>
      </c>
      <c r="AL1049" t="s">
        <v>63</v>
      </c>
      <c r="AM1049" t="s">
        <v>63</v>
      </c>
      <c r="AN1049" t="s">
        <v>61</v>
      </c>
      <c r="AO1049" t="s">
        <v>61</v>
      </c>
      <c r="AP1049" t="s">
        <v>69</v>
      </c>
      <c r="AQ1049" t="s">
        <v>65</v>
      </c>
      <c r="AR1049" t="s">
        <v>70</v>
      </c>
      <c r="AS1049" t="s">
        <v>105</v>
      </c>
      <c r="AT1049" t="s">
        <v>71</v>
      </c>
      <c r="AU1049">
        <v>0</v>
      </c>
      <c r="AV1049">
        <v>0</v>
      </c>
    </row>
    <row r="1050" spans="1:48" x14ac:dyDescent="0.25">
      <c r="A1050" t="s">
        <v>3713</v>
      </c>
      <c r="B1050" t="s">
        <v>105</v>
      </c>
      <c r="C1050" t="s">
        <v>50</v>
      </c>
      <c r="D1050">
        <v>440398.2501</v>
      </c>
      <c r="E1050">
        <v>1827589.7609000001</v>
      </c>
      <c r="F1050">
        <v>30.420999999999999</v>
      </c>
      <c r="G1050" t="s">
        <v>3714</v>
      </c>
      <c r="H1050" t="s">
        <v>52</v>
      </c>
      <c r="I1050">
        <v>30.420999999999999</v>
      </c>
      <c r="J1050" t="s">
        <v>53</v>
      </c>
      <c r="K1050">
        <v>0</v>
      </c>
      <c r="L1050" t="s">
        <v>107</v>
      </c>
      <c r="M1050" t="s">
        <v>1061</v>
      </c>
      <c r="N1050">
        <v>0.2248</v>
      </c>
      <c r="O1050" t="s">
        <v>56</v>
      </c>
      <c r="P1050" t="s">
        <v>57</v>
      </c>
      <c r="Q1050" t="s">
        <v>59</v>
      </c>
      <c r="R1050" t="s">
        <v>109</v>
      </c>
      <c r="S1050" t="s">
        <v>3715</v>
      </c>
      <c r="T1050" t="s">
        <v>61</v>
      </c>
      <c r="U1050">
        <v>1.4639</v>
      </c>
      <c r="V1050" t="s">
        <v>62</v>
      </c>
      <c r="W1050">
        <v>0</v>
      </c>
      <c r="X1050">
        <v>28.957000000000001</v>
      </c>
      <c r="Y1050" t="s">
        <v>63</v>
      </c>
      <c r="Z1050" t="s">
        <v>64</v>
      </c>
      <c r="AC1050" t="s">
        <v>65</v>
      </c>
      <c r="AD1050" t="s">
        <v>61</v>
      </c>
      <c r="AE1050" t="s">
        <v>64</v>
      </c>
      <c r="AF1050" t="s">
        <v>111</v>
      </c>
      <c r="AG1050" t="s">
        <v>65</v>
      </c>
      <c r="AH1050" t="s">
        <v>65</v>
      </c>
      <c r="AI1050" t="s">
        <v>67</v>
      </c>
      <c r="AK1050" t="s">
        <v>66</v>
      </c>
      <c r="AL1050" t="s">
        <v>63</v>
      </c>
      <c r="AM1050" t="s">
        <v>63</v>
      </c>
      <c r="AN1050" t="s">
        <v>61</v>
      </c>
      <c r="AO1050" t="s">
        <v>61</v>
      </c>
      <c r="AP1050" t="s">
        <v>69</v>
      </c>
      <c r="AQ1050" t="s">
        <v>65</v>
      </c>
      <c r="AR1050" t="s">
        <v>70</v>
      </c>
      <c r="AS1050" t="s">
        <v>105</v>
      </c>
      <c r="AT1050" t="s">
        <v>71</v>
      </c>
      <c r="AU1050">
        <v>0</v>
      </c>
      <c r="AV1050">
        <v>0</v>
      </c>
    </row>
    <row r="1051" spans="1:48" x14ac:dyDescent="0.25">
      <c r="A1051" t="s">
        <v>3716</v>
      </c>
      <c r="B1051" t="s">
        <v>105</v>
      </c>
      <c r="C1051" t="s">
        <v>50</v>
      </c>
      <c r="D1051">
        <v>440398.2501</v>
      </c>
      <c r="E1051">
        <v>1827570.1333999999</v>
      </c>
      <c r="F1051">
        <v>30.491</v>
      </c>
      <c r="G1051" t="s">
        <v>3717</v>
      </c>
      <c r="H1051" t="s">
        <v>52</v>
      </c>
      <c r="I1051">
        <v>30.491</v>
      </c>
      <c r="J1051" t="s">
        <v>53</v>
      </c>
      <c r="K1051">
        <v>0</v>
      </c>
      <c r="L1051" t="s">
        <v>107</v>
      </c>
      <c r="M1051" t="s">
        <v>3718</v>
      </c>
      <c r="N1051">
        <v>0.2248</v>
      </c>
      <c r="O1051" t="s">
        <v>56</v>
      </c>
      <c r="P1051" t="s">
        <v>57</v>
      </c>
      <c r="Q1051" t="s">
        <v>59</v>
      </c>
      <c r="R1051" t="s">
        <v>109</v>
      </c>
      <c r="S1051" t="s">
        <v>3719</v>
      </c>
      <c r="T1051" t="s">
        <v>61</v>
      </c>
      <c r="U1051">
        <v>1.4529000000000001</v>
      </c>
      <c r="V1051" t="s">
        <v>62</v>
      </c>
      <c r="W1051">
        <v>0</v>
      </c>
      <c r="X1051">
        <v>29.038</v>
      </c>
      <c r="Y1051" t="s">
        <v>63</v>
      </c>
      <c r="Z1051" t="s">
        <v>64</v>
      </c>
      <c r="AC1051" t="s">
        <v>65</v>
      </c>
      <c r="AD1051" t="s">
        <v>61</v>
      </c>
      <c r="AE1051" t="s">
        <v>64</v>
      </c>
      <c r="AF1051" t="s">
        <v>111</v>
      </c>
      <c r="AG1051" t="s">
        <v>65</v>
      </c>
      <c r="AH1051" t="s">
        <v>65</v>
      </c>
      <c r="AI1051" t="s">
        <v>67</v>
      </c>
      <c r="AK1051" t="s">
        <v>66</v>
      </c>
      <c r="AL1051" t="s">
        <v>63</v>
      </c>
      <c r="AM1051" t="s">
        <v>63</v>
      </c>
      <c r="AN1051" t="s">
        <v>61</v>
      </c>
      <c r="AO1051" t="s">
        <v>61</v>
      </c>
      <c r="AP1051" t="s">
        <v>69</v>
      </c>
      <c r="AQ1051" t="s">
        <v>65</v>
      </c>
      <c r="AR1051" t="s">
        <v>70</v>
      </c>
      <c r="AS1051" t="s">
        <v>105</v>
      </c>
      <c r="AT1051" t="s">
        <v>71</v>
      </c>
      <c r="AU1051">
        <v>0</v>
      </c>
      <c r="AV1051">
        <v>0</v>
      </c>
    </row>
    <row r="1052" spans="1:48" x14ac:dyDescent="0.25">
      <c r="A1052" t="s">
        <v>3720</v>
      </c>
      <c r="B1052" t="s">
        <v>105</v>
      </c>
      <c r="C1052" t="s">
        <v>50</v>
      </c>
      <c r="D1052">
        <v>440387.60009999998</v>
      </c>
      <c r="E1052">
        <v>1827609.7609000001</v>
      </c>
      <c r="F1052">
        <v>30.35</v>
      </c>
      <c r="G1052" t="s">
        <v>3721</v>
      </c>
      <c r="H1052" t="s">
        <v>52</v>
      </c>
      <c r="I1052">
        <v>30.35</v>
      </c>
      <c r="J1052" t="s">
        <v>53</v>
      </c>
      <c r="K1052">
        <v>0</v>
      </c>
      <c r="L1052" t="s">
        <v>117</v>
      </c>
      <c r="M1052" t="s">
        <v>1057</v>
      </c>
      <c r="N1052">
        <v>-0.18859999999999999</v>
      </c>
      <c r="O1052" t="s">
        <v>56</v>
      </c>
      <c r="P1052" t="s">
        <v>57</v>
      </c>
      <c r="Q1052" t="s">
        <v>59</v>
      </c>
      <c r="R1052" t="s">
        <v>109</v>
      </c>
      <c r="S1052" t="s">
        <v>3712</v>
      </c>
      <c r="T1052" t="s">
        <v>61</v>
      </c>
      <c r="U1052">
        <v>1.5626</v>
      </c>
      <c r="V1052" t="s">
        <v>62</v>
      </c>
      <c r="W1052">
        <v>0</v>
      </c>
      <c r="X1052">
        <v>28.786999999999999</v>
      </c>
      <c r="Y1052" t="s">
        <v>63</v>
      </c>
      <c r="Z1052" t="s">
        <v>64</v>
      </c>
      <c r="AC1052" t="s">
        <v>65</v>
      </c>
      <c r="AD1052" t="s">
        <v>61</v>
      </c>
      <c r="AE1052" t="s">
        <v>64</v>
      </c>
      <c r="AF1052" t="s">
        <v>111</v>
      </c>
      <c r="AG1052" t="s">
        <v>65</v>
      </c>
      <c r="AH1052" t="s">
        <v>65</v>
      </c>
      <c r="AI1052" t="s">
        <v>67</v>
      </c>
      <c r="AK1052" t="s">
        <v>66</v>
      </c>
      <c r="AL1052" t="s">
        <v>63</v>
      </c>
      <c r="AM1052" t="s">
        <v>63</v>
      </c>
      <c r="AN1052" t="s">
        <v>61</v>
      </c>
      <c r="AO1052" t="s">
        <v>61</v>
      </c>
      <c r="AP1052" t="s">
        <v>69</v>
      </c>
      <c r="AQ1052" t="s">
        <v>65</v>
      </c>
      <c r="AR1052" t="s">
        <v>70</v>
      </c>
      <c r="AS1052" t="s">
        <v>105</v>
      </c>
      <c r="AT1052" t="s">
        <v>71</v>
      </c>
      <c r="AU1052">
        <v>0</v>
      </c>
      <c r="AV1052">
        <v>0</v>
      </c>
    </row>
    <row r="1053" spans="1:48" x14ac:dyDescent="0.25">
      <c r="A1053" t="s">
        <v>3722</v>
      </c>
      <c r="B1053" t="s">
        <v>105</v>
      </c>
      <c r="C1053" t="s">
        <v>50</v>
      </c>
      <c r="D1053">
        <v>440387.60009999998</v>
      </c>
      <c r="E1053">
        <v>1827589.7609000001</v>
      </c>
      <c r="F1053">
        <v>30.420999999999999</v>
      </c>
      <c r="G1053" t="s">
        <v>3723</v>
      </c>
      <c r="H1053" t="s">
        <v>52</v>
      </c>
      <c r="I1053">
        <v>30.420999999999999</v>
      </c>
      <c r="J1053" t="s">
        <v>53</v>
      </c>
      <c r="K1053">
        <v>0</v>
      </c>
      <c r="L1053" t="s">
        <v>117</v>
      </c>
      <c r="M1053" t="s">
        <v>1061</v>
      </c>
      <c r="N1053">
        <v>-0.18859999999999999</v>
      </c>
      <c r="O1053" t="s">
        <v>56</v>
      </c>
      <c r="P1053" t="s">
        <v>57</v>
      </c>
      <c r="Q1053" t="s">
        <v>59</v>
      </c>
      <c r="R1053" t="s">
        <v>109</v>
      </c>
      <c r="S1053" t="s">
        <v>3715</v>
      </c>
      <c r="T1053" t="s">
        <v>61</v>
      </c>
      <c r="U1053">
        <v>1.4639</v>
      </c>
      <c r="V1053" t="s">
        <v>62</v>
      </c>
      <c r="W1053">
        <v>0</v>
      </c>
      <c r="X1053">
        <v>28.957000000000001</v>
      </c>
      <c r="Y1053" t="s">
        <v>63</v>
      </c>
      <c r="Z1053" t="s">
        <v>64</v>
      </c>
      <c r="AC1053" t="s">
        <v>65</v>
      </c>
      <c r="AD1053" t="s">
        <v>61</v>
      </c>
      <c r="AE1053" t="s">
        <v>64</v>
      </c>
      <c r="AF1053" t="s">
        <v>111</v>
      </c>
      <c r="AG1053" t="s">
        <v>65</v>
      </c>
      <c r="AH1053" t="s">
        <v>65</v>
      </c>
      <c r="AI1053" t="s">
        <v>67</v>
      </c>
      <c r="AK1053" t="s">
        <v>66</v>
      </c>
      <c r="AL1053" t="s">
        <v>63</v>
      </c>
      <c r="AM1053" t="s">
        <v>63</v>
      </c>
      <c r="AN1053" t="s">
        <v>61</v>
      </c>
      <c r="AO1053" t="s">
        <v>61</v>
      </c>
      <c r="AP1053" t="s">
        <v>69</v>
      </c>
      <c r="AQ1053" t="s">
        <v>65</v>
      </c>
      <c r="AR1053" t="s">
        <v>70</v>
      </c>
      <c r="AS1053" t="s">
        <v>105</v>
      </c>
      <c r="AT1053" t="s">
        <v>71</v>
      </c>
      <c r="AU1053">
        <v>0</v>
      </c>
      <c r="AV1053">
        <v>0</v>
      </c>
    </row>
    <row r="1054" spans="1:48" x14ac:dyDescent="0.25">
      <c r="A1054" t="s">
        <v>3724</v>
      </c>
      <c r="B1054" t="s">
        <v>105</v>
      </c>
      <c r="C1054" t="s">
        <v>50</v>
      </c>
      <c r="D1054">
        <v>440387.60009999998</v>
      </c>
      <c r="E1054">
        <v>1827569.7609000001</v>
      </c>
      <c r="F1054">
        <v>30.492000000000001</v>
      </c>
      <c r="G1054" t="s">
        <v>3725</v>
      </c>
      <c r="H1054" t="s">
        <v>52</v>
      </c>
      <c r="I1054">
        <v>30.492000000000001</v>
      </c>
      <c r="J1054" t="s">
        <v>53</v>
      </c>
      <c r="K1054">
        <v>0</v>
      </c>
      <c r="L1054" t="s">
        <v>117</v>
      </c>
      <c r="M1054" t="s">
        <v>1065</v>
      </c>
      <c r="N1054">
        <v>-0.18859999999999999</v>
      </c>
      <c r="O1054" t="s">
        <v>56</v>
      </c>
      <c r="P1054" t="s">
        <v>57</v>
      </c>
      <c r="Q1054" t="s">
        <v>59</v>
      </c>
      <c r="R1054" t="s">
        <v>109</v>
      </c>
      <c r="S1054" t="s">
        <v>3726</v>
      </c>
      <c r="T1054" t="s">
        <v>61</v>
      </c>
      <c r="U1054">
        <v>1.4641999999999999</v>
      </c>
      <c r="V1054" t="s">
        <v>62</v>
      </c>
      <c r="W1054">
        <v>0</v>
      </c>
      <c r="X1054">
        <v>29.027999999999999</v>
      </c>
      <c r="Y1054" t="s">
        <v>63</v>
      </c>
      <c r="Z1054" t="s">
        <v>64</v>
      </c>
      <c r="AC1054" t="s">
        <v>65</v>
      </c>
      <c r="AD1054" t="s">
        <v>61</v>
      </c>
      <c r="AE1054" t="s">
        <v>64</v>
      </c>
      <c r="AF1054" t="s">
        <v>111</v>
      </c>
      <c r="AG1054" t="s">
        <v>65</v>
      </c>
      <c r="AH1054" t="s">
        <v>65</v>
      </c>
      <c r="AI1054" t="s">
        <v>67</v>
      </c>
      <c r="AK1054" t="s">
        <v>66</v>
      </c>
      <c r="AL1054" t="s">
        <v>63</v>
      </c>
      <c r="AM1054" t="s">
        <v>63</v>
      </c>
      <c r="AN1054" t="s">
        <v>61</v>
      </c>
      <c r="AO1054" t="s">
        <v>61</v>
      </c>
      <c r="AP1054" t="s">
        <v>69</v>
      </c>
      <c r="AQ1054" t="s">
        <v>65</v>
      </c>
      <c r="AR1054" t="s">
        <v>70</v>
      </c>
      <c r="AS1054" t="s">
        <v>105</v>
      </c>
      <c r="AT1054" t="s">
        <v>71</v>
      </c>
      <c r="AU1054">
        <v>0</v>
      </c>
      <c r="AV1054">
        <v>0</v>
      </c>
    </row>
    <row r="1055" spans="1:48" x14ac:dyDescent="0.25">
      <c r="A1055" t="s">
        <v>3727</v>
      </c>
      <c r="B1055" t="s">
        <v>125</v>
      </c>
      <c r="C1055" t="s">
        <v>50</v>
      </c>
      <c r="D1055">
        <v>440342.80849999998</v>
      </c>
      <c r="E1055">
        <v>1827550.3088</v>
      </c>
      <c r="F1055">
        <v>30.777999999999999</v>
      </c>
      <c r="G1055" t="s">
        <v>3728</v>
      </c>
      <c r="H1055" t="s">
        <v>52</v>
      </c>
      <c r="I1055">
        <v>30.777999999999999</v>
      </c>
      <c r="J1055" t="s">
        <v>53</v>
      </c>
      <c r="K1055">
        <v>0</v>
      </c>
      <c r="L1055" t="s">
        <v>180</v>
      </c>
      <c r="M1055" t="s">
        <v>3729</v>
      </c>
      <c r="N1055">
        <v>-0.22500000000000001</v>
      </c>
      <c r="O1055" t="s">
        <v>56</v>
      </c>
      <c r="P1055" t="s">
        <v>57</v>
      </c>
      <c r="Q1055" t="s">
        <v>109</v>
      </c>
      <c r="R1055" t="s">
        <v>59</v>
      </c>
      <c r="S1055" t="s">
        <v>3730</v>
      </c>
      <c r="T1055" t="s">
        <v>61</v>
      </c>
      <c r="U1055">
        <v>3.5484</v>
      </c>
      <c r="V1055" t="s">
        <v>1033</v>
      </c>
      <c r="W1055">
        <v>0</v>
      </c>
      <c r="X1055">
        <v>27.23</v>
      </c>
      <c r="Y1055" t="s">
        <v>63</v>
      </c>
      <c r="Z1055" t="s">
        <v>64</v>
      </c>
      <c r="AC1055" t="s">
        <v>65</v>
      </c>
      <c r="AD1055" t="s">
        <v>61</v>
      </c>
      <c r="AE1055" t="s">
        <v>64</v>
      </c>
      <c r="AF1055" t="s">
        <v>66</v>
      </c>
      <c r="AG1055" t="s">
        <v>65</v>
      </c>
      <c r="AH1055" t="s">
        <v>65</v>
      </c>
      <c r="AI1055" t="s">
        <v>67</v>
      </c>
      <c r="AK1055" t="s">
        <v>111</v>
      </c>
      <c r="AL1055" t="s">
        <v>63</v>
      </c>
      <c r="AM1055" t="s">
        <v>63</v>
      </c>
      <c r="AN1055" t="s">
        <v>61</v>
      </c>
      <c r="AO1055" t="s">
        <v>61</v>
      </c>
      <c r="AP1055" t="s">
        <v>69</v>
      </c>
      <c r="AQ1055" t="s">
        <v>65</v>
      </c>
      <c r="AR1055" t="s">
        <v>70</v>
      </c>
      <c r="AS1055" t="s">
        <v>125</v>
      </c>
      <c r="AT1055" t="s">
        <v>71</v>
      </c>
      <c r="AU1055">
        <v>0</v>
      </c>
      <c r="AV1055">
        <v>0</v>
      </c>
    </row>
    <row r="1056" spans="1:48" x14ac:dyDescent="0.25">
      <c r="A1056" t="s">
        <v>3731</v>
      </c>
      <c r="B1056" t="s">
        <v>125</v>
      </c>
      <c r="C1056" t="s">
        <v>50</v>
      </c>
      <c r="D1056">
        <v>440366.30469999998</v>
      </c>
      <c r="E1056">
        <v>1827550.3088</v>
      </c>
      <c r="F1056">
        <v>30.648</v>
      </c>
      <c r="G1056" t="s">
        <v>3732</v>
      </c>
      <c r="H1056" t="s">
        <v>52</v>
      </c>
      <c r="I1056">
        <v>30.648</v>
      </c>
      <c r="J1056" t="s">
        <v>53</v>
      </c>
      <c r="K1056">
        <v>0</v>
      </c>
      <c r="L1056" t="s">
        <v>180</v>
      </c>
      <c r="M1056" t="s">
        <v>3733</v>
      </c>
      <c r="N1056">
        <v>-0.22500000000000001</v>
      </c>
      <c r="O1056" t="s">
        <v>56</v>
      </c>
      <c r="P1056" t="s">
        <v>57</v>
      </c>
      <c r="Q1056" t="s">
        <v>109</v>
      </c>
      <c r="R1056" t="s">
        <v>59</v>
      </c>
      <c r="S1056" t="s">
        <v>3734</v>
      </c>
      <c r="T1056" t="s">
        <v>61</v>
      </c>
      <c r="U1056">
        <v>3.4422000000000001</v>
      </c>
      <c r="V1056" t="s">
        <v>62</v>
      </c>
      <c r="W1056">
        <v>0</v>
      </c>
      <c r="X1056">
        <v>27.206</v>
      </c>
      <c r="Y1056" t="s">
        <v>63</v>
      </c>
      <c r="Z1056" t="s">
        <v>64</v>
      </c>
      <c r="AC1056" t="s">
        <v>65</v>
      </c>
      <c r="AD1056" t="s">
        <v>61</v>
      </c>
      <c r="AE1056" t="s">
        <v>64</v>
      </c>
      <c r="AF1056" t="s">
        <v>66</v>
      </c>
      <c r="AG1056" t="s">
        <v>65</v>
      </c>
      <c r="AH1056" t="s">
        <v>65</v>
      </c>
      <c r="AI1056" t="s">
        <v>67</v>
      </c>
      <c r="AK1056" t="s">
        <v>111</v>
      </c>
      <c r="AL1056" t="s">
        <v>63</v>
      </c>
      <c r="AM1056" t="s">
        <v>63</v>
      </c>
      <c r="AN1056" t="s">
        <v>61</v>
      </c>
      <c r="AO1056" t="s">
        <v>61</v>
      </c>
      <c r="AP1056" t="s">
        <v>69</v>
      </c>
      <c r="AQ1056" t="s">
        <v>65</v>
      </c>
      <c r="AR1056" t="s">
        <v>70</v>
      </c>
      <c r="AS1056" t="s">
        <v>125</v>
      </c>
      <c r="AT1056" t="s">
        <v>71</v>
      </c>
      <c r="AU1056">
        <v>0</v>
      </c>
      <c r="AV1056">
        <v>0</v>
      </c>
    </row>
    <row r="1057" spans="1:48" x14ac:dyDescent="0.25">
      <c r="A1057" t="s">
        <v>3735</v>
      </c>
      <c r="B1057" t="s">
        <v>125</v>
      </c>
      <c r="C1057" t="s">
        <v>50</v>
      </c>
      <c r="D1057">
        <v>440384.09499999997</v>
      </c>
      <c r="E1057">
        <v>1827550.3088</v>
      </c>
      <c r="F1057">
        <v>30.611999999999998</v>
      </c>
      <c r="G1057" t="s">
        <v>3736</v>
      </c>
      <c r="H1057" t="s">
        <v>52</v>
      </c>
      <c r="I1057">
        <v>30.611999999999998</v>
      </c>
      <c r="J1057" t="s">
        <v>53</v>
      </c>
      <c r="K1057">
        <v>0</v>
      </c>
      <c r="L1057" t="s">
        <v>180</v>
      </c>
      <c r="M1057" t="s">
        <v>3737</v>
      </c>
      <c r="N1057">
        <v>-0.22500000000000001</v>
      </c>
      <c r="O1057" t="s">
        <v>56</v>
      </c>
      <c r="P1057" t="s">
        <v>57</v>
      </c>
      <c r="Q1057" t="s">
        <v>109</v>
      </c>
      <c r="R1057" t="s">
        <v>59</v>
      </c>
      <c r="S1057" t="s">
        <v>3738</v>
      </c>
      <c r="T1057" t="s">
        <v>61</v>
      </c>
      <c r="U1057">
        <v>3.4241999999999999</v>
      </c>
      <c r="V1057" t="s">
        <v>62</v>
      </c>
      <c r="W1057">
        <v>0</v>
      </c>
      <c r="X1057">
        <v>27.187999999999999</v>
      </c>
      <c r="Y1057" t="s">
        <v>63</v>
      </c>
      <c r="Z1057" t="s">
        <v>64</v>
      </c>
      <c r="AC1057" t="s">
        <v>65</v>
      </c>
      <c r="AD1057" t="s">
        <v>61</v>
      </c>
      <c r="AE1057" t="s">
        <v>64</v>
      </c>
      <c r="AF1057" t="s">
        <v>66</v>
      </c>
      <c r="AG1057" t="s">
        <v>65</v>
      </c>
      <c r="AH1057" t="s">
        <v>65</v>
      </c>
      <c r="AI1057" t="s">
        <v>67</v>
      </c>
      <c r="AK1057" t="s">
        <v>111</v>
      </c>
      <c r="AL1057" t="s">
        <v>63</v>
      </c>
      <c r="AM1057" t="s">
        <v>63</v>
      </c>
      <c r="AN1057" t="s">
        <v>61</v>
      </c>
      <c r="AO1057" t="s">
        <v>61</v>
      </c>
      <c r="AP1057" t="s">
        <v>69</v>
      </c>
      <c r="AQ1057" t="s">
        <v>65</v>
      </c>
      <c r="AR1057" t="s">
        <v>70</v>
      </c>
      <c r="AS1057" t="s">
        <v>125</v>
      </c>
      <c r="AT1057" t="s">
        <v>71</v>
      </c>
      <c r="AU1057">
        <v>0</v>
      </c>
      <c r="AV1057">
        <v>0</v>
      </c>
    </row>
    <row r="1058" spans="1:48" x14ac:dyDescent="0.25">
      <c r="A1058" t="s">
        <v>3739</v>
      </c>
      <c r="B1058" t="s">
        <v>125</v>
      </c>
      <c r="C1058" t="s">
        <v>50</v>
      </c>
      <c r="D1058">
        <v>440405.98790000001</v>
      </c>
      <c r="E1058">
        <v>1827550.3088</v>
      </c>
      <c r="F1058">
        <v>30.428000000000001</v>
      </c>
      <c r="G1058" t="s">
        <v>3740</v>
      </c>
      <c r="H1058" t="s">
        <v>52</v>
      </c>
      <c r="I1058">
        <v>30.428000000000001</v>
      </c>
      <c r="J1058" t="s">
        <v>53</v>
      </c>
      <c r="K1058">
        <v>0</v>
      </c>
      <c r="L1058" t="s">
        <v>180</v>
      </c>
      <c r="M1058" t="s">
        <v>3741</v>
      </c>
      <c r="N1058">
        <v>-0.22500000000000001</v>
      </c>
      <c r="O1058" t="s">
        <v>56</v>
      </c>
      <c r="P1058" t="s">
        <v>57</v>
      </c>
      <c r="Q1058" t="s">
        <v>109</v>
      </c>
      <c r="R1058" t="s">
        <v>59</v>
      </c>
      <c r="S1058" t="s">
        <v>3742</v>
      </c>
      <c r="T1058" t="s">
        <v>61</v>
      </c>
      <c r="U1058">
        <v>3.2622</v>
      </c>
      <c r="V1058" t="s">
        <v>62</v>
      </c>
      <c r="W1058">
        <v>0</v>
      </c>
      <c r="X1058">
        <v>27.166</v>
      </c>
      <c r="Y1058" t="s">
        <v>63</v>
      </c>
      <c r="Z1058" t="s">
        <v>64</v>
      </c>
      <c r="AC1058" t="s">
        <v>65</v>
      </c>
      <c r="AD1058" t="s">
        <v>61</v>
      </c>
      <c r="AE1058" t="s">
        <v>64</v>
      </c>
      <c r="AF1058" t="s">
        <v>66</v>
      </c>
      <c r="AG1058" t="s">
        <v>65</v>
      </c>
      <c r="AH1058" t="s">
        <v>65</v>
      </c>
      <c r="AI1058" t="s">
        <v>67</v>
      </c>
      <c r="AK1058" t="s">
        <v>111</v>
      </c>
      <c r="AL1058" t="s">
        <v>63</v>
      </c>
      <c r="AM1058" t="s">
        <v>63</v>
      </c>
      <c r="AN1058" t="s">
        <v>61</v>
      </c>
      <c r="AO1058" t="s">
        <v>61</v>
      </c>
      <c r="AP1058" t="s">
        <v>69</v>
      </c>
      <c r="AQ1058" t="s">
        <v>65</v>
      </c>
      <c r="AR1058" t="s">
        <v>70</v>
      </c>
      <c r="AS1058" t="s">
        <v>125</v>
      </c>
      <c r="AT1058" t="s">
        <v>71</v>
      </c>
      <c r="AU1058">
        <v>0</v>
      </c>
      <c r="AV1058">
        <v>0</v>
      </c>
    </row>
    <row r="1059" spans="1:48" x14ac:dyDescent="0.25">
      <c r="A1059" t="s">
        <v>3743</v>
      </c>
      <c r="B1059" t="s">
        <v>125</v>
      </c>
      <c r="C1059" t="s">
        <v>50</v>
      </c>
      <c r="D1059">
        <v>440427.72869999998</v>
      </c>
      <c r="E1059">
        <v>1827550.3088</v>
      </c>
      <c r="F1059">
        <v>30.308</v>
      </c>
      <c r="G1059" t="s">
        <v>3744</v>
      </c>
      <c r="H1059" t="s">
        <v>52</v>
      </c>
      <c r="I1059">
        <v>30.308</v>
      </c>
      <c r="J1059" t="s">
        <v>53</v>
      </c>
      <c r="K1059">
        <v>0</v>
      </c>
      <c r="L1059" t="s">
        <v>180</v>
      </c>
      <c r="M1059" t="s">
        <v>3745</v>
      </c>
      <c r="N1059">
        <v>-0.22500000000000001</v>
      </c>
      <c r="O1059" t="s">
        <v>56</v>
      </c>
      <c r="P1059" t="s">
        <v>57</v>
      </c>
      <c r="Q1059" t="s">
        <v>109</v>
      </c>
      <c r="R1059" t="s">
        <v>59</v>
      </c>
      <c r="S1059" t="s">
        <v>3746</v>
      </c>
      <c r="T1059" t="s">
        <v>61</v>
      </c>
      <c r="U1059">
        <v>3.1625999999999999</v>
      </c>
      <c r="V1059" t="s">
        <v>62</v>
      </c>
      <c r="W1059">
        <v>0</v>
      </c>
      <c r="X1059">
        <v>27.145</v>
      </c>
      <c r="Y1059" t="s">
        <v>63</v>
      </c>
      <c r="Z1059" t="s">
        <v>64</v>
      </c>
      <c r="AC1059" t="s">
        <v>65</v>
      </c>
      <c r="AD1059" t="s">
        <v>61</v>
      </c>
      <c r="AE1059" t="s">
        <v>64</v>
      </c>
      <c r="AF1059" t="s">
        <v>66</v>
      </c>
      <c r="AG1059" t="s">
        <v>65</v>
      </c>
      <c r="AH1059" t="s">
        <v>65</v>
      </c>
      <c r="AI1059" t="s">
        <v>67</v>
      </c>
      <c r="AK1059" t="s">
        <v>111</v>
      </c>
      <c r="AL1059" t="s">
        <v>63</v>
      </c>
      <c r="AM1059" t="s">
        <v>63</v>
      </c>
      <c r="AN1059" t="s">
        <v>61</v>
      </c>
      <c r="AO1059" t="s">
        <v>61</v>
      </c>
      <c r="AP1059" t="s">
        <v>69</v>
      </c>
      <c r="AQ1059" t="s">
        <v>65</v>
      </c>
      <c r="AR1059" t="s">
        <v>70</v>
      </c>
      <c r="AS1059" t="s">
        <v>125</v>
      </c>
      <c r="AT1059" t="s">
        <v>71</v>
      </c>
      <c r="AU1059">
        <v>0</v>
      </c>
      <c r="AV1059">
        <v>0</v>
      </c>
    </row>
    <row r="1060" spans="1:48" x14ac:dyDescent="0.25">
      <c r="A1060" t="s">
        <v>3747</v>
      </c>
      <c r="B1060" t="s">
        <v>73</v>
      </c>
      <c r="C1060" t="s">
        <v>50</v>
      </c>
      <c r="D1060">
        <v>440454.52510000003</v>
      </c>
      <c r="E1060">
        <v>1827618.2394999999</v>
      </c>
      <c r="F1060">
        <v>30.158999999999999</v>
      </c>
      <c r="G1060" t="s">
        <v>3748</v>
      </c>
      <c r="H1060" t="s">
        <v>52</v>
      </c>
      <c r="I1060">
        <v>30.158999999999999</v>
      </c>
      <c r="J1060" t="s">
        <v>53</v>
      </c>
      <c r="K1060">
        <v>0</v>
      </c>
      <c r="L1060" t="s">
        <v>166</v>
      </c>
      <c r="M1060" t="s">
        <v>440</v>
      </c>
      <c r="N1060">
        <v>-0.28489999999999999</v>
      </c>
      <c r="O1060" t="s">
        <v>56</v>
      </c>
      <c r="P1060" t="s">
        <v>57</v>
      </c>
      <c r="Q1060" t="s">
        <v>59</v>
      </c>
      <c r="R1060" t="s">
        <v>58</v>
      </c>
      <c r="S1060" t="s">
        <v>3749</v>
      </c>
      <c r="T1060" t="s">
        <v>61</v>
      </c>
      <c r="U1060">
        <v>1.5644</v>
      </c>
      <c r="V1060" t="s">
        <v>62</v>
      </c>
      <c r="W1060">
        <v>0</v>
      </c>
      <c r="X1060">
        <v>28.594999999999999</v>
      </c>
      <c r="Y1060" t="s">
        <v>63</v>
      </c>
      <c r="Z1060" t="s">
        <v>64</v>
      </c>
      <c r="AC1060" t="s">
        <v>65</v>
      </c>
      <c r="AD1060" t="s">
        <v>61</v>
      </c>
      <c r="AE1060" t="s">
        <v>64</v>
      </c>
      <c r="AF1060" t="s">
        <v>68</v>
      </c>
      <c r="AG1060" t="s">
        <v>65</v>
      </c>
      <c r="AH1060" t="s">
        <v>65</v>
      </c>
      <c r="AI1060" t="s">
        <v>67</v>
      </c>
      <c r="AK1060" t="s">
        <v>66</v>
      </c>
      <c r="AL1060" t="s">
        <v>63</v>
      </c>
      <c r="AM1060" t="s">
        <v>63</v>
      </c>
      <c r="AN1060" t="s">
        <v>61</v>
      </c>
      <c r="AO1060" t="s">
        <v>61</v>
      </c>
      <c r="AP1060" t="s">
        <v>69</v>
      </c>
      <c r="AQ1060" t="s">
        <v>65</v>
      </c>
      <c r="AR1060" t="s">
        <v>70</v>
      </c>
      <c r="AS1060" t="s">
        <v>73</v>
      </c>
      <c r="AT1060" t="s">
        <v>71</v>
      </c>
      <c r="AU1060">
        <v>0</v>
      </c>
      <c r="AV1060">
        <v>0</v>
      </c>
    </row>
    <row r="1061" spans="1:48" x14ac:dyDescent="0.25">
      <c r="A1061" t="s">
        <v>3750</v>
      </c>
      <c r="B1061" t="s">
        <v>73</v>
      </c>
      <c r="C1061" t="s">
        <v>50</v>
      </c>
      <c r="D1061">
        <v>440454.52510000003</v>
      </c>
      <c r="E1061">
        <v>1827598.2394999999</v>
      </c>
      <c r="F1061">
        <v>30.204000000000001</v>
      </c>
      <c r="G1061" t="s">
        <v>3751</v>
      </c>
      <c r="H1061" t="s">
        <v>52</v>
      </c>
      <c r="I1061">
        <v>30.204000000000001</v>
      </c>
      <c r="J1061" t="s">
        <v>53</v>
      </c>
      <c r="K1061">
        <v>0</v>
      </c>
      <c r="L1061" t="s">
        <v>166</v>
      </c>
      <c r="M1061" t="s">
        <v>597</v>
      </c>
      <c r="N1061">
        <v>-0.28489999999999999</v>
      </c>
      <c r="O1061" t="s">
        <v>56</v>
      </c>
      <c r="P1061" t="s">
        <v>57</v>
      </c>
      <c r="Q1061" t="s">
        <v>59</v>
      </c>
      <c r="R1061" t="s">
        <v>58</v>
      </c>
      <c r="S1061" t="s">
        <v>3752</v>
      </c>
      <c r="T1061" t="s">
        <v>61</v>
      </c>
      <c r="U1061">
        <v>1.4568000000000001</v>
      </c>
      <c r="V1061" t="s">
        <v>62</v>
      </c>
      <c r="W1061">
        <v>0</v>
      </c>
      <c r="X1061">
        <v>28.747</v>
      </c>
      <c r="Y1061" t="s">
        <v>63</v>
      </c>
      <c r="Z1061" t="s">
        <v>64</v>
      </c>
      <c r="AC1061" t="s">
        <v>65</v>
      </c>
      <c r="AD1061" t="s">
        <v>61</v>
      </c>
      <c r="AE1061" t="s">
        <v>64</v>
      </c>
      <c r="AF1061" t="s">
        <v>68</v>
      </c>
      <c r="AG1061" t="s">
        <v>65</v>
      </c>
      <c r="AH1061" t="s">
        <v>65</v>
      </c>
      <c r="AI1061" t="s">
        <v>67</v>
      </c>
      <c r="AK1061" t="s">
        <v>66</v>
      </c>
      <c r="AL1061" t="s">
        <v>63</v>
      </c>
      <c r="AM1061" t="s">
        <v>63</v>
      </c>
      <c r="AN1061" t="s">
        <v>61</v>
      </c>
      <c r="AO1061" t="s">
        <v>61</v>
      </c>
      <c r="AP1061" t="s">
        <v>69</v>
      </c>
      <c r="AQ1061" t="s">
        <v>65</v>
      </c>
      <c r="AR1061" t="s">
        <v>70</v>
      </c>
      <c r="AS1061" t="s">
        <v>73</v>
      </c>
      <c r="AT1061" t="s">
        <v>71</v>
      </c>
      <c r="AU1061">
        <v>0</v>
      </c>
      <c r="AV1061">
        <v>0</v>
      </c>
    </row>
    <row r="1062" spans="1:48" x14ac:dyDescent="0.25">
      <c r="A1062" t="s">
        <v>3753</v>
      </c>
      <c r="B1062" t="s">
        <v>73</v>
      </c>
      <c r="C1062" t="s">
        <v>50</v>
      </c>
      <c r="D1062">
        <v>440454.52510000003</v>
      </c>
      <c r="E1062">
        <v>1827578.2394999999</v>
      </c>
      <c r="F1062">
        <v>30.248000000000001</v>
      </c>
      <c r="G1062" t="s">
        <v>3754</v>
      </c>
      <c r="H1062" t="s">
        <v>52</v>
      </c>
      <c r="I1062">
        <v>30.248000000000001</v>
      </c>
      <c r="J1062" t="s">
        <v>53</v>
      </c>
      <c r="K1062">
        <v>0</v>
      </c>
      <c r="L1062" t="s">
        <v>166</v>
      </c>
      <c r="M1062" t="s">
        <v>432</v>
      </c>
      <c r="N1062">
        <v>-0.28489999999999999</v>
      </c>
      <c r="O1062" t="s">
        <v>56</v>
      </c>
      <c r="P1062" t="s">
        <v>57</v>
      </c>
      <c r="Q1062" t="s">
        <v>59</v>
      </c>
      <c r="R1062" t="s">
        <v>58</v>
      </c>
      <c r="S1062" t="s">
        <v>3755</v>
      </c>
      <c r="T1062" t="s">
        <v>61</v>
      </c>
      <c r="U1062">
        <v>1.4540999999999999</v>
      </c>
      <c r="V1062" t="s">
        <v>62</v>
      </c>
      <c r="W1062">
        <v>0</v>
      </c>
      <c r="X1062">
        <v>28.794</v>
      </c>
      <c r="Y1062" t="s">
        <v>63</v>
      </c>
      <c r="Z1062" t="s">
        <v>64</v>
      </c>
      <c r="AC1062" t="s">
        <v>65</v>
      </c>
      <c r="AD1062" t="s">
        <v>61</v>
      </c>
      <c r="AE1062" t="s">
        <v>64</v>
      </c>
      <c r="AF1062" t="s">
        <v>68</v>
      </c>
      <c r="AG1062" t="s">
        <v>65</v>
      </c>
      <c r="AH1062" t="s">
        <v>65</v>
      </c>
      <c r="AI1062" t="s">
        <v>67</v>
      </c>
      <c r="AK1062" t="s">
        <v>66</v>
      </c>
      <c r="AL1062" t="s">
        <v>63</v>
      </c>
      <c r="AM1062" t="s">
        <v>63</v>
      </c>
      <c r="AN1062" t="s">
        <v>61</v>
      </c>
      <c r="AO1062" t="s">
        <v>61</v>
      </c>
      <c r="AP1062" t="s">
        <v>69</v>
      </c>
      <c r="AQ1062" t="s">
        <v>65</v>
      </c>
      <c r="AR1062" t="s">
        <v>70</v>
      </c>
      <c r="AS1062" t="s">
        <v>73</v>
      </c>
      <c r="AT1062" t="s">
        <v>71</v>
      </c>
      <c r="AU1062">
        <v>0</v>
      </c>
      <c r="AV1062">
        <v>0</v>
      </c>
    </row>
    <row r="1063" spans="1:48" x14ac:dyDescent="0.25">
      <c r="A1063" t="s">
        <v>3756</v>
      </c>
      <c r="B1063" t="s">
        <v>125</v>
      </c>
      <c r="C1063" t="s">
        <v>50</v>
      </c>
      <c r="D1063">
        <v>440448.24910000002</v>
      </c>
      <c r="E1063">
        <v>1827550.3088</v>
      </c>
      <c r="F1063">
        <v>30.193999999999999</v>
      </c>
      <c r="G1063" t="s">
        <v>3757</v>
      </c>
      <c r="H1063" t="s">
        <v>52</v>
      </c>
      <c r="I1063">
        <v>30.193999999999999</v>
      </c>
      <c r="J1063" t="s">
        <v>53</v>
      </c>
      <c r="K1063">
        <v>0</v>
      </c>
      <c r="L1063" t="s">
        <v>180</v>
      </c>
      <c r="M1063" t="s">
        <v>3758</v>
      </c>
      <c r="N1063">
        <v>-0.22500000000000001</v>
      </c>
      <c r="O1063" t="s">
        <v>56</v>
      </c>
      <c r="P1063" t="s">
        <v>57</v>
      </c>
      <c r="Q1063" t="s">
        <v>109</v>
      </c>
      <c r="R1063" t="s">
        <v>59</v>
      </c>
      <c r="S1063" t="s">
        <v>3759</v>
      </c>
      <c r="T1063" t="s">
        <v>61</v>
      </c>
      <c r="U1063">
        <v>3.0699000000000001</v>
      </c>
      <c r="V1063" t="s">
        <v>62</v>
      </c>
      <c r="W1063">
        <v>0</v>
      </c>
      <c r="X1063">
        <v>27.123999999999999</v>
      </c>
      <c r="Y1063" t="s">
        <v>63</v>
      </c>
      <c r="Z1063" t="s">
        <v>64</v>
      </c>
      <c r="AC1063" t="s">
        <v>65</v>
      </c>
      <c r="AD1063" t="s">
        <v>61</v>
      </c>
      <c r="AE1063" t="s">
        <v>64</v>
      </c>
      <c r="AF1063" t="s">
        <v>66</v>
      </c>
      <c r="AG1063" t="s">
        <v>65</v>
      </c>
      <c r="AH1063" t="s">
        <v>65</v>
      </c>
      <c r="AI1063" t="s">
        <v>67</v>
      </c>
      <c r="AK1063" t="s">
        <v>111</v>
      </c>
      <c r="AL1063" t="s">
        <v>63</v>
      </c>
      <c r="AM1063" t="s">
        <v>63</v>
      </c>
      <c r="AN1063" t="s">
        <v>61</v>
      </c>
      <c r="AO1063" t="s">
        <v>61</v>
      </c>
      <c r="AP1063" t="s">
        <v>69</v>
      </c>
      <c r="AQ1063" t="s">
        <v>65</v>
      </c>
      <c r="AR1063" t="s">
        <v>70</v>
      </c>
      <c r="AS1063" t="s">
        <v>125</v>
      </c>
      <c r="AT1063" t="s">
        <v>71</v>
      </c>
      <c r="AU1063">
        <v>0</v>
      </c>
      <c r="AV1063">
        <v>0</v>
      </c>
    </row>
    <row r="1064" spans="1:48" x14ac:dyDescent="0.25">
      <c r="A1064" t="s">
        <v>3760</v>
      </c>
      <c r="B1064" t="s">
        <v>73</v>
      </c>
      <c r="C1064" t="s">
        <v>50</v>
      </c>
      <c r="D1064">
        <v>440463.92509999999</v>
      </c>
      <c r="E1064">
        <v>1827618.2394999999</v>
      </c>
      <c r="F1064">
        <v>30.158999999999999</v>
      </c>
      <c r="G1064" t="s">
        <v>3761</v>
      </c>
      <c r="H1064" t="s">
        <v>52</v>
      </c>
      <c r="I1064">
        <v>30.158999999999999</v>
      </c>
      <c r="J1064" t="s">
        <v>53</v>
      </c>
      <c r="K1064">
        <v>0</v>
      </c>
      <c r="L1064" t="s">
        <v>171</v>
      </c>
      <c r="M1064" t="s">
        <v>440</v>
      </c>
      <c r="N1064">
        <v>0.15</v>
      </c>
      <c r="O1064" t="s">
        <v>56</v>
      </c>
      <c r="P1064" t="s">
        <v>57</v>
      </c>
      <c r="Q1064" t="s">
        <v>59</v>
      </c>
      <c r="R1064" t="s">
        <v>58</v>
      </c>
      <c r="S1064" t="s">
        <v>3749</v>
      </c>
      <c r="T1064" t="s">
        <v>61</v>
      </c>
      <c r="U1064">
        <v>1.5644</v>
      </c>
      <c r="V1064" t="s">
        <v>62</v>
      </c>
      <c r="W1064">
        <v>0</v>
      </c>
      <c r="X1064">
        <v>28.594999999999999</v>
      </c>
      <c r="Y1064" t="s">
        <v>63</v>
      </c>
      <c r="Z1064" t="s">
        <v>64</v>
      </c>
      <c r="AC1064" t="s">
        <v>65</v>
      </c>
      <c r="AD1064" t="s">
        <v>61</v>
      </c>
      <c r="AE1064" t="s">
        <v>64</v>
      </c>
      <c r="AF1064" t="s">
        <v>68</v>
      </c>
      <c r="AG1064" t="s">
        <v>65</v>
      </c>
      <c r="AH1064" t="s">
        <v>65</v>
      </c>
      <c r="AI1064" t="s">
        <v>67</v>
      </c>
      <c r="AK1064" t="s">
        <v>66</v>
      </c>
      <c r="AL1064" t="s">
        <v>63</v>
      </c>
      <c r="AM1064" t="s">
        <v>63</v>
      </c>
      <c r="AN1064" t="s">
        <v>61</v>
      </c>
      <c r="AO1064" t="s">
        <v>61</v>
      </c>
      <c r="AP1064" t="s">
        <v>69</v>
      </c>
      <c r="AQ1064" t="s">
        <v>65</v>
      </c>
      <c r="AR1064" t="s">
        <v>70</v>
      </c>
      <c r="AS1064" t="s">
        <v>73</v>
      </c>
      <c r="AT1064" t="s">
        <v>71</v>
      </c>
      <c r="AU1064">
        <v>0</v>
      </c>
      <c r="AV1064">
        <v>0</v>
      </c>
    </row>
    <row r="1065" spans="1:48" x14ac:dyDescent="0.25">
      <c r="A1065" t="s">
        <v>3762</v>
      </c>
      <c r="B1065" t="s">
        <v>73</v>
      </c>
      <c r="C1065" t="s">
        <v>50</v>
      </c>
      <c r="D1065">
        <v>440463.92509999999</v>
      </c>
      <c r="E1065">
        <v>1827598.2394999999</v>
      </c>
      <c r="F1065">
        <v>30.204000000000001</v>
      </c>
      <c r="G1065" t="s">
        <v>3763</v>
      </c>
      <c r="H1065" t="s">
        <v>52</v>
      </c>
      <c r="I1065">
        <v>30.204000000000001</v>
      </c>
      <c r="J1065" t="s">
        <v>53</v>
      </c>
      <c r="K1065">
        <v>0</v>
      </c>
      <c r="L1065" t="s">
        <v>171</v>
      </c>
      <c r="M1065" t="s">
        <v>597</v>
      </c>
      <c r="N1065">
        <v>0.15</v>
      </c>
      <c r="O1065" t="s">
        <v>56</v>
      </c>
      <c r="P1065" t="s">
        <v>57</v>
      </c>
      <c r="Q1065" t="s">
        <v>59</v>
      </c>
      <c r="R1065" t="s">
        <v>58</v>
      </c>
      <c r="S1065" t="s">
        <v>3752</v>
      </c>
      <c r="T1065" t="s">
        <v>61</v>
      </c>
      <c r="U1065">
        <v>1.4568000000000001</v>
      </c>
      <c r="V1065" t="s">
        <v>62</v>
      </c>
      <c r="W1065">
        <v>0</v>
      </c>
      <c r="X1065">
        <v>28.747</v>
      </c>
      <c r="Y1065" t="s">
        <v>63</v>
      </c>
      <c r="Z1065" t="s">
        <v>64</v>
      </c>
      <c r="AC1065" t="s">
        <v>65</v>
      </c>
      <c r="AD1065" t="s">
        <v>61</v>
      </c>
      <c r="AE1065" t="s">
        <v>64</v>
      </c>
      <c r="AF1065" t="s">
        <v>68</v>
      </c>
      <c r="AG1065" t="s">
        <v>65</v>
      </c>
      <c r="AH1065" t="s">
        <v>65</v>
      </c>
      <c r="AI1065" t="s">
        <v>67</v>
      </c>
      <c r="AK1065" t="s">
        <v>66</v>
      </c>
      <c r="AL1065" t="s">
        <v>63</v>
      </c>
      <c r="AM1065" t="s">
        <v>63</v>
      </c>
      <c r="AN1065" t="s">
        <v>61</v>
      </c>
      <c r="AO1065" t="s">
        <v>61</v>
      </c>
      <c r="AP1065" t="s">
        <v>69</v>
      </c>
      <c r="AQ1065" t="s">
        <v>65</v>
      </c>
      <c r="AR1065" t="s">
        <v>70</v>
      </c>
      <c r="AS1065" t="s">
        <v>73</v>
      </c>
      <c r="AT1065" t="s">
        <v>71</v>
      </c>
      <c r="AU1065">
        <v>0</v>
      </c>
      <c r="AV1065">
        <v>0</v>
      </c>
    </row>
    <row r="1066" spans="1:48" x14ac:dyDescent="0.25">
      <c r="A1066" t="s">
        <v>3764</v>
      </c>
      <c r="B1066" t="s">
        <v>73</v>
      </c>
      <c r="C1066" t="s">
        <v>50</v>
      </c>
      <c r="D1066">
        <v>440463.92509999999</v>
      </c>
      <c r="E1066">
        <v>1827578.2394999999</v>
      </c>
      <c r="F1066">
        <v>30.248000000000001</v>
      </c>
      <c r="G1066" t="s">
        <v>3765</v>
      </c>
      <c r="H1066" t="s">
        <v>52</v>
      </c>
      <c r="I1066">
        <v>30.248000000000001</v>
      </c>
      <c r="J1066" t="s">
        <v>53</v>
      </c>
      <c r="K1066">
        <v>0</v>
      </c>
      <c r="L1066" t="s">
        <v>171</v>
      </c>
      <c r="M1066" t="s">
        <v>432</v>
      </c>
      <c r="N1066">
        <v>0.15</v>
      </c>
      <c r="O1066" t="s">
        <v>56</v>
      </c>
      <c r="P1066" t="s">
        <v>57</v>
      </c>
      <c r="Q1066" t="s">
        <v>59</v>
      </c>
      <c r="R1066" t="s">
        <v>58</v>
      </c>
      <c r="S1066" t="s">
        <v>3755</v>
      </c>
      <c r="T1066" t="s">
        <v>61</v>
      </c>
      <c r="U1066">
        <v>1.4540999999999999</v>
      </c>
      <c r="V1066" t="s">
        <v>62</v>
      </c>
      <c r="W1066">
        <v>0</v>
      </c>
      <c r="X1066">
        <v>28.794</v>
      </c>
      <c r="Y1066" t="s">
        <v>63</v>
      </c>
      <c r="Z1066" t="s">
        <v>64</v>
      </c>
      <c r="AC1066" t="s">
        <v>65</v>
      </c>
      <c r="AD1066" t="s">
        <v>61</v>
      </c>
      <c r="AE1066" t="s">
        <v>64</v>
      </c>
      <c r="AF1066" t="s">
        <v>68</v>
      </c>
      <c r="AG1066" t="s">
        <v>65</v>
      </c>
      <c r="AH1066" t="s">
        <v>65</v>
      </c>
      <c r="AI1066" t="s">
        <v>67</v>
      </c>
      <c r="AK1066" t="s">
        <v>66</v>
      </c>
      <c r="AL1066" t="s">
        <v>63</v>
      </c>
      <c r="AM1066" t="s">
        <v>63</v>
      </c>
      <c r="AN1066" t="s">
        <v>61</v>
      </c>
      <c r="AO1066" t="s">
        <v>61</v>
      </c>
      <c r="AP1066" t="s">
        <v>69</v>
      </c>
      <c r="AQ1066" t="s">
        <v>65</v>
      </c>
      <c r="AR1066" t="s">
        <v>70</v>
      </c>
      <c r="AS1066" t="s">
        <v>73</v>
      </c>
      <c r="AT1066" t="s">
        <v>71</v>
      </c>
      <c r="AU1066">
        <v>0</v>
      </c>
      <c r="AV1066">
        <v>0</v>
      </c>
    </row>
    <row r="1067" spans="1:48" x14ac:dyDescent="0.25">
      <c r="A1067" t="s">
        <v>3766</v>
      </c>
      <c r="B1067" t="s">
        <v>125</v>
      </c>
      <c r="C1067" t="s">
        <v>50</v>
      </c>
      <c r="D1067">
        <v>440467.82770000002</v>
      </c>
      <c r="E1067">
        <v>1827550.3088</v>
      </c>
      <c r="F1067">
        <v>30.085000000000001</v>
      </c>
      <c r="G1067" t="s">
        <v>3767</v>
      </c>
      <c r="H1067" t="s">
        <v>52</v>
      </c>
      <c r="I1067">
        <v>30.085000000000001</v>
      </c>
      <c r="J1067" t="s">
        <v>53</v>
      </c>
      <c r="K1067">
        <v>0</v>
      </c>
      <c r="L1067" t="s">
        <v>180</v>
      </c>
      <c r="M1067" t="s">
        <v>3768</v>
      </c>
      <c r="N1067">
        <v>-0.22500000000000001</v>
      </c>
      <c r="O1067" t="s">
        <v>56</v>
      </c>
      <c r="P1067" t="s">
        <v>57</v>
      </c>
      <c r="Q1067" t="s">
        <v>109</v>
      </c>
      <c r="R1067" t="s">
        <v>59</v>
      </c>
      <c r="S1067" t="s">
        <v>3769</v>
      </c>
      <c r="T1067" t="s">
        <v>61</v>
      </c>
      <c r="U1067">
        <v>2.9803000000000002</v>
      </c>
      <c r="V1067" t="s">
        <v>62</v>
      </c>
      <c r="W1067">
        <v>0</v>
      </c>
      <c r="X1067">
        <v>27.105</v>
      </c>
      <c r="Y1067" t="s">
        <v>63</v>
      </c>
      <c r="Z1067" t="s">
        <v>64</v>
      </c>
      <c r="AC1067" t="s">
        <v>65</v>
      </c>
      <c r="AD1067" t="s">
        <v>61</v>
      </c>
      <c r="AE1067" t="s">
        <v>64</v>
      </c>
      <c r="AF1067" t="s">
        <v>66</v>
      </c>
      <c r="AG1067" t="s">
        <v>65</v>
      </c>
      <c r="AH1067" t="s">
        <v>65</v>
      </c>
      <c r="AI1067" t="s">
        <v>67</v>
      </c>
      <c r="AK1067" t="s">
        <v>111</v>
      </c>
      <c r="AL1067" t="s">
        <v>63</v>
      </c>
      <c r="AM1067" t="s">
        <v>63</v>
      </c>
      <c r="AN1067" t="s">
        <v>61</v>
      </c>
      <c r="AO1067" t="s">
        <v>61</v>
      </c>
      <c r="AP1067" t="s">
        <v>69</v>
      </c>
      <c r="AQ1067" t="s">
        <v>65</v>
      </c>
      <c r="AR1067" t="s">
        <v>70</v>
      </c>
      <c r="AS1067" t="s">
        <v>125</v>
      </c>
      <c r="AT1067" t="s">
        <v>71</v>
      </c>
      <c r="AU1067">
        <v>0</v>
      </c>
      <c r="AV1067">
        <v>0</v>
      </c>
    </row>
    <row r="1068" spans="1:48" x14ac:dyDescent="0.25">
      <c r="A1068" t="s">
        <v>3770</v>
      </c>
      <c r="B1068" t="s">
        <v>125</v>
      </c>
      <c r="C1068" t="s">
        <v>50</v>
      </c>
      <c r="D1068">
        <v>440488.03009999997</v>
      </c>
      <c r="E1068">
        <v>1827550.3088</v>
      </c>
      <c r="F1068">
        <v>29.972999999999999</v>
      </c>
      <c r="G1068" t="s">
        <v>3771</v>
      </c>
      <c r="H1068" t="s">
        <v>52</v>
      </c>
      <c r="I1068">
        <v>29.972999999999999</v>
      </c>
      <c r="J1068" t="s">
        <v>53</v>
      </c>
      <c r="K1068">
        <v>0</v>
      </c>
      <c r="L1068" t="s">
        <v>180</v>
      </c>
      <c r="M1068" t="s">
        <v>3772</v>
      </c>
      <c r="N1068">
        <v>-0.22500000000000001</v>
      </c>
      <c r="O1068" t="s">
        <v>56</v>
      </c>
      <c r="P1068" t="s">
        <v>57</v>
      </c>
      <c r="Q1068" t="s">
        <v>109</v>
      </c>
      <c r="R1068" t="s">
        <v>59</v>
      </c>
      <c r="S1068" t="s">
        <v>3773</v>
      </c>
      <c r="T1068" t="s">
        <v>61</v>
      </c>
      <c r="U1068">
        <v>2.8893</v>
      </c>
      <c r="V1068" t="s">
        <v>62</v>
      </c>
      <c r="W1068">
        <v>0</v>
      </c>
      <c r="X1068">
        <v>27.084</v>
      </c>
      <c r="Y1068" t="s">
        <v>63</v>
      </c>
      <c r="Z1068" t="s">
        <v>64</v>
      </c>
      <c r="AC1068" t="s">
        <v>65</v>
      </c>
      <c r="AD1068" t="s">
        <v>61</v>
      </c>
      <c r="AE1068" t="s">
        <v>64</v>
      </c>
      <c r="AF1068" t="s">
        <v>66</v>
      </c>
      <c r="AG1068" t="s">
        <v>65</v>
      </c>
      <c r="AH1068" t="s">
        <v>65</v>
      </c>
      <c r="AI1068" t="s">
        <v>67</v>
      </c>
      <c r="AK1068" t="s">
        <v>111</v>
      </c>
      <c r="AL1068" t="s">
        <v>63</v>
      </c>
      <c r="AM1068" t="s">
        <v>63</v>
      </c>
      <c r="AN1068" t="s">
        <v>61</v>
      </c>
      <c r="AO1068" t="s">
        <v>61</v>
      </c>
      <c r="AP1068" t="s">
        <v>69</v>
      </c>
      <c r="AQ1068" t="s">
        <v>65</v>
      </c>
      <c r="AR1068" t="s">
        <v>70</v>
      </c>
      <c r="AS1068" t="s">
        <v>125</v>
      </c>
      <c r="AT1068" t="s">
        <v>71</v>
      </c>
      <c r="AU1068">
        <v>0</v>
      </c>
      <c r="AV1068">
        <v>0</v>
      </c>
    </row>
    <row r="1069" spans="1:48" x14ac:dyDescent="0.25">
      <c r="A1069" t="s">
        <v>3774</v>
      </c>
      <c r="B1069" t="s">
        <v>73</v>
      </c>
      <c r="C1069" t="s">
        <v>50</v>
      </c>
      <c r="D1069">
        <v>440520.1251</v>
      </c>
      <c r="E1069">
        <v>1827618.2394999999</v>
      </c>
      <c r="F1069">
        <v>30.003</v>
      </c>
      <c r="G1069" t="s">
        <v>3775</v>
      </c>
      <c r="H1069" t="s">
        <v>52</v>
      </c>
      <c r="I1069">
        <v>30.003</v>
      </c>
      <c r="J1069" t="s">
        <v>53</v>
      </c>
      <c r="K1069">
        <v>0</v>
      </c>
      <c r="L1069" t="s">
        <v>191</v>
      </c>
      <c r="M1069" t="s">
        <v>440</v>
      </c>
      <c r="N1069">
        <v>-0.22600000000000001</v>
      </c>
      <c r="O1069" t="s">
        <v>56</v>
      </c>
      <c r="P1069" t="s">
        <v>57</v>
      </c>
      <c r="Q1069" t="s">
        <v>59</v>
      </c>
      <c r="R1069" t="s">
        <v>58</v>
      </c>
      <c r="S1069" t="s">
        <v>3703</v>
      </c>
      <c r="T1069" t="s">
        <v>61</v>
      </c>
      <c r="U1069">
        <v>1.5640000000000001</v>
      </c>
      <c r="V1069" t="s">
        <v>62</v>
      </c>
      <c r="W1069">
        <v>0</v>
      </c>
      <c r="X1069">
        <v>28.439</v>
      </c>
      <c r="Y1069" t="s">
        <v>63</v>
      </c>
      <c r="Z1069" t="s">
        <v>64</v>
      </c>
      <c r="AC1069" t="s">
        <v>65</v>
      </c>
      <c r="AD1069" t="s">
        <v>61</v>
      </c>
      <c r="AE1069" t="s">
        <v>64</v>
      </c>
      <c r="AF1069" t="s">
        <v>68</v>
      </c>
      <c r="AG1069" t="s">
        <v>65</v>
      </c>
      <c r="AH1069" t="s">
        <v>65</v>
      </c>
      <c r="AI1069" t="s">
        <v>67</v>
      </c>
      <c r="AK1069" t="s">
        <v>66</v>
      </c>
      <c r="AL1069" t="s">
        <v>63</v>
      </c>
      <c r="AM1069" t="s">
        <v>63</v>
      </c>
      <c r="AN1069" t="s">
        <v>61</v>
      </c>
      <c r="AO1069" t="s">
        <v>61</v>
      </c>
      <c r="AP1069" t="s">
        <v>69</v>
      </c>
      <c r="AQ1069" t="s">
        <v>65</v>
      </c>
      <c r="AR1069" t="s">
        <v>70</v>
      </c>
      <c r="AS1069" t="s">
        <v>73</v>
      </c>
      <c r="AT1069" t="s">
        <v>71</v>
      </c>
      <c r="AU1069">
        <v>0</v>
      </c>
      <c r="AV1069">
        <v>0</v>
      </c>
    </row>
    <row r="1070" spans="1:48" x14ac:dyDescent="0.25">
      <c r="A1070" t="s">
        <v>3776</v>
      </c>
      <c r="B1070" t="s">
        <v>73</v>
      </c>
      <c r="C1070" t="s">
        <v>50</v>
      </c>
      <c r="D1070">
        <v>440520.1251</v>
      </c>
      <c r="E1070">
        <v>1827598.2394999999</v>
      </c>
      <c r="F1070">
        <v>30.042999999999999</v>
      </c>
      <c r="G1070" t="s">
        <v>3777</v>
      </c>
      <c r="H1070" t="s">
        <v>52</v>
      </c>
      <c r="I1070">
        <v>30.042999999999999</v>
      </c>
      <c r="J1070" t="s">
        <v>53</v>
      </c>
      <c r="K1070">
        <v>0</v>
      </c>
      <c r="L1070" t="s">
        <v>191</v>
      </c>
      <c r="M1070" t="s">
        <v>597</v>
      </c>
      <c r="N1070">
        <v>-0.22600000000000001</v>
      </c>
      <c r="O1070" t="s">
        <v>56</v>
      </c>
      <c r="P1070" t="s">
        <v>57</v>
      </c>
      <c r="Q1070" t="s">
        <v>59</v>
      </c>
      <c r="R1070" t="s">
        <v>58</v>
      </c>
      <c r="S1070" t="s">
        <v>3706</v>
      </c>
      <c r="T1070" t="s">
        <v>61</v>
      </c>
      <c r="U1070">
        <v>1.462</v>
      </c>
      <c r="V1070" t="s">
        <v>62</v>
      </c>
      <c r="W1070">
        <v>0</v>
      </c>
      <c r="X1070">
        <v>28.581</v>
      </c>
      <c r="Y1070" t="s">
        <v>63</v>
      </c>
      <c r="Z1070" t="s">
        <v>64</v>
      </c>
      <c r="AC1070" t="s">
        <v>65</v>
      </c>
      <c r="AD1070" t="s">
        <v>61</v>
      </c>
      <c r="AE1070" t="s">
        <v>64</v>
      </c>
      <c r="AF1070" t="s">
        <v>68</v>
      </c>
      <c r="AG1070" t="s">
        <v>65</v>
      </c>
      <c r="AH1070" t="s">
        <v>65</v>
      </c>
      <c r="AI1070" t="s">
        <v>67</v>
      </c>
      <c r="AK1070" t="s">
        <v>66</v>
      </c>
      <c r="AL1070" t="s">
        <v>63</v>
      </c>
      <c r="AM1070" t="s">
        <v>63</v>
      </c>
      <c r="AN1070" t="s">
        <v>61</v>
      </c>
      <c r="AO1070" t="s">
        <v>61</v>
      </c>
      <c r="AP1070" t="s">
        <v>69</v>
      </c>
      <c r="AQ1070" t="s">
        <v>65</v>
      </c>
      <c r="AR1070" t="s">
        <v>70</v>
      </c>
      <c r="AS1070" t="s">
        <v>73</v>
      </c>
      <c r="AT1070" t="s">
        <v>71</v>
      </c>
      <c r="AU1070">
        <v>0</v>
      </c>
      <c r="AV1070">
        <v>0</v>
      </c>
    </row>
    <row r="1071" spans="1:48" x14ac:dyDescent="0.25">
      <c r="A1071" t="s">
        <v>3778</v>
      </c>
      <c r="B1071" t="s">
        <v>73</v>
      </c>
      <c r="C1071" t="s">
        <v>50</v>
      </c>
      <c r="D1071">
        <v>440520.1251</v>
      </c>
      <c r="E1071">
        <v>1827578.2394999999</v>
      </c>
      <c r="F1071">
        <v>30.082999999999998</v>
      </c>
      <c r="G1071" t="s">
        <v>3779</v>
      </c>
      <c r="H1071" t="s">
        <v>52</v>
      </c>
      <c r="I1071">
        <v>30.082999999999998</v>
      </c>
      <c r="J1071" t="s">
        <v>53</v>
      </c>
      <c r="K1071">
        <v>0</v>
      </c>
      <c r="L1071" t="s">
        <v>191</v>
      </c>
      <c r="M1071" t="s">
        <v>432</v>
      </c>
      <c r="N1071">
        <v>-0.22600000000000001</v>
      </c>
      <c r="O1071" t="s">
        <v>56</v>
      </c>
      <c r="P1071" t="s">
        <v>57</v>
      </c>
      <c r="Q1071" t="s">
        <v>59</v>
      </c>
      <c r="R1071" t="s">
        <v>58</v>
      </c>
      <c r="S1071" t="s">
        <v>3709</v>
      </c>
      <c r="T1071" t="s">
        <v>61</v>
      </c>
      <c r="U1071">
        <v>1.454</v>
      </c>
      <c r="V1071" t="s">
        <v>62</v>
      </c>
      <c r="W1071">
        <v>0</v>
      </c>
      <c r="X1071">
        <v>28.629000000000001</v>
      </c>
      <c r="Y1071" t="s">
        <v>63</v>
      </c>
      <c r="Z1071" t="s">
        <v>64</v>
      </c>
      <c r="AC1071" t="s">
        <v>65</v>
      </c>
      <c r="AD1071" t="s">
        <v>61</v>
      </c>
      <c r="AE1071" t="s">
        <v>64</v>
      </c>
      <c r="AF1071" t="s">
        <v>68</v>
      </c>
      <c r="AG1071" t="s">
        <v>65</v>
      </c>
      <c r="AH1071" t="s">
        <v>65</v>
      </c>
      <c r="AI1071" t="s">
        <v>67</v>
      </c>
      <c r="AK1071" t="s">
        <v>66</v>
      </c>
      <c r="AL1071" t="s">
        <v>63</v>
      </c>
      <c r="AM1071" t="s">
        <v>63</v>
      </c>
      <c r="AN1071" t="s">
        <v>61</v>
      </c>
      <c r="AO1071" t="s">
        <v>61</v>
      </c>
      <c r="AP1071" t="s">
        <v>69</v>
      </c>
      <c r="AQ1071" t="s">
        <v>65</v>
      </c>
      <c r="AR1071" t="s">
        <v>70</v>
      </c>
      <c r="AS1071" t="s">
        <v>73</v>
      </c>
      <c r="AT1071" t="s">
        <v>71</v>
      </c>
      <c r="AU1071">
        <v>0</v>
      </c>
      <c r="AV1071">
        <v>0</v>
      </c>
    </row>
    <row r="1072" spans="1:48" x14ac:dyDescent="0.25">
      <c r="A1072" t="s">
        <v>3780</v>
      </c>
      <c r="B1072" t="s">
        <v>125</v>
      </c>
      <c r="C1072" t="s">
        <v>50</v>
      </c>
      <c r="D1072">
        <v>440509.22450000001</v>
      </c>
      <c r="E1072">
        <v>1827550.3088</v>
      </c>
      <c r="F1072">
        <v>29.853000000000002</v>
      </c>
      <c r="G1072" t="s">
        <v>3781</v>
      </c>
      <c r="H1072" t="s">
        <v>52</v>
      </c>
      <c r="I1072">
        <v>29.853000000000002</v>
      </c>
      <c r="J1072" t="s">
        <v>53</v>
      </c>
      <c r="K1072">
        <v>0</v>
      </c>
      <c r="L1072" t="s">
        <v>180</v>
      </c>
      <c r="M1072" t="s">
        <v>3782</v>
      </c>
      <c r="N1072">
        <v>-0.22500000000000001</v>
      </c>
      <c r="O1072" t="s">
        <v>56</v>
      </c>
      <c r="P1072" t="s">
        <v>57</v>
      </c>
      <c r="Q1072" t="s">
        <v>109</v>
      </c>
      <c r="R1072" t="s">
        <v>59</v>
      </c>
      <c r="S1072" t="s">
        <v>3783</v>
      </c>
      <c r="T1072" t="s">
        <v>61</v>
      </c>
      <c r="U1072">
        <v>2.847</v>
      </c>
      <c r="V1072" t="s">
        <v>62</v>
      </c>
      <c r="W1072">
        <v>0</v>
      </c>
      <c r="X1072">
        <v>27.006</v>
      </c>
      <c r="Y1072" t="s">
        <v>63</v>
      </c>
      <c r="Z1072" t="s">
        <v>64</v>
      </c>
      <c r="AC1072" t="s">
        <v>65</v>
      </c>
      <c r="AD1072" t="s">
        <v>61</v>
      </c>
      <c r="AE1072" t="s">
        <v>64</v>
      </c>
      <c r="AF1072" t="s">
        <v>66</v>
      </c>
      <c r="AG1072" t="s">
        <v>65</v>
      </c>
      <c r="AH1072" t="s">
        <v>65</v>
      </c>
      <c r="AI1072" t="s">
        <v>67</v>
      </c>
      <c r="AK1072" t="s">
        <v>111</v>
      </c>
      <c r="AL1072" t="s">
        <v>63</v>
      </c>
      <c r="AM1072" t="s">
        <v>63</v>
      </c>
      <c r="AN1072" t="s">
        <v>61</v>
      </c>
      <c r="AO1072" t="s">
        <v>61</v>
      </c>
      <c r="AP1072" t="s">
        <v>69</v>
      </c>
      <c r="AQ1072" t="s">
        <v>65</v>
      </c>
      <c r="AR1072" t="s">
        <v>70</v>
      </c>
      <c r="AS1072" t="s">
        <v>125</v>
      </c>
      <c r="AT1072" t="s">
        <v>71</v>
      </c>
      <c r="AU1072">
        <v>0</v>
      </c>
      <c r="AV1072">
        <v>0</v>
      </c>
    </row>
    <row r="1073" spans="1:48" x14ac:dyDescent="0.25">
      <c r="A1073" t="s">
        <v>3784</v>
      </c>
      <c r="B1073" t="s">
        <v>125</v>
      </c>
      <c r="C1073" t="s">
        <v>50</v>
      </c>
      <c r="D1073">
        <v>440530.30209999997</v>
      </c>
      <c r="E1073">
        <v>1827550.3088</v>
      </c>
      <c r="F1073">
        <v>29.689</v>
      </c>
      <c r="G1073" t="s">
        <v>3785</v>
      </c>
      <c r="H1073" t="s">
        <v>52</v>
      </c>
      <c r="I1073">
        <v>29.689</v>
      </c>
      <c r="J1073" t="s">
        <v>53</v>
      </c>
      <c r="K1073">
        <v>0</v>
      </c>
      <c r="L1073" t="s">
        <v>180</v>
      </c>
      <c r="M1073" t="s">
        <v>3001</v>
      </c>
      <c r="N1073">
        <v>-0.22500000000000001</v>
      </c>
      <c r="O1073" t="s">
        <v>56</v>
      </c>
      <c r="P1073" t="s">
        <v>57</v>
      </c>
      <c r="Q1073" t="s">
        <v>109</v>
      </c>
      <c r="R1073" t="s">
        <v>59</v>
      </c>
      <c r="S1073" t="s">
        <v>3786</v>
      </c>
      <c r="T1073" t="s">
        <v>61</v>
      </c>
      <c r="U1073">
        <v>2.8860000000000001</v>
      </c>
      <c r="V1073" t="s">
        <v>62</v>
      </c>
      <c r="W1073">
        <v>0</v>
      </c>
      <c r="X1073">
        <v>26.803000000000001</v>
      </c>
      <c r="Y1073" t="s">
        <v>63</v>
      </c>
      <c r="Z1073" t="s">
        <v>64</v>
      </c>
      <c r="AC1073" t="s">
        <v>65</v>
      </c>
      <c r="AD1073" t="s">
        <v>61</v>
      </c>
      <c r="AE1073" t="s">
        <v>64</v>
      </c>
      <c r="AF1073" t="s">
        <v>66</v>
      </c>
      <c r="AG1073" t="s">
        <v>65</v>
      </c>
      <c r="AH1073" t="s">
        <v>65</v>
      </c>
      <c r="AI1073" t="s">
        <v>67</v>
      </c>
      <c r="AK1073" t="s">
        <v>111</v>
      </c>
      <c r="AL1073" t="s">
        <v>63</v>
      </c>
      <c r="AM1073" t="s">
        <v>63</v>
      </c>
      <c r="AN1073" t="s">
        <v>61</v>
      </c>
      <c r="AO1073" t="s">
        <v>61</v>
      </c>
      <c r="AP1073" t="s">
        <v>69</v>
      </c>
      <c r="AQ1073" t="s">
        <v>65</v>
      </c>
      <c r="AR1073" t="s">
        <v>70</v>
      </c>
      <c r="AS1073" t="s">
        <v>125</v>
      </c>
      <c r="AT1073" t="s">
        <v>71</v>
      </c>
      <c r="AU1073">
        <v>0</v>
      </c>
      <c r="AV1073">
        <v>0</v>
      </c>
    </row>
    <row r="1074" spans="1:48" x14ac:dyDescent="0.25">
      <c r="A1074" t="s">
        <v>3787</v>
      </c>
      <c r="B1074" t="s">
        <v>125</v>
      </c>
      <c r="C1074" t="s">
        <v>50</v>
      </c>
      <c r="D1074">
        <v>440549.49670000002</v>
      </c>
      <c r="E1074">
        <v>1827550.3088</v>
      </c>
      <c r="F1074">
        <v>29.489000000000001</v>
      </c>
      <c r="G1074" t="s">
        <v>3788</v>
      </c>
      <c r="H1074" t="s">
        <v>52</v>
      </c>
      <c r="I1074">
        <v>29.489000000000001</v>
      </c>
      <c r="J1074" t="s">
        <v>53</v>
      </c>
      <c r="K1074">
        <v>0</v>
      </c>
      <c r="L1074" t="s">
        <v>180</v>
      </c>
      <c r="M1074" t="s">
        <v>3789</v>
      </c>
      <c r="N1074">
        <v>-0.22500000000000001</v>
      </c>
      <c r="O1074" t="s">
        <v>56</v>
      </c>
      <c r="P1074" t="s">
        <v>57</v>
      </c>
      <c r="Q1074" t="s">
        <v>109</v>
      </c>
      <c r="R1074" t="s">
        <v>59</v>
      </c>
      <c r="S1074" t="s">
        <v>3790</v>
      </c>
      <c r="T1074" t="s">
        <v>61</v>
      </c>
      <c r="U1074">
        <v>2.9073000000000002</v>
      </c>
      <c r="V1074" t="s">
        <v>62</v>
      </c>
      <c r="W1074">
        <v>0</v>
      </c>
      <c r="X1074">
        <v>26.582000000000001</v>
      </c>
      <c r="Y1074" t="s">
        <v>63</v>
      </c>
      <c r="Z1074" t="s">
        <v>64</v>
      </c>
      <c r="AC1074" t="s">
        <v>65</v>
      </c>
      <c r="AD1074" t="s">
        <v>61</v>
      </c>
      <c r="AE1074" t="s">
        <v>64</v>
      </c>
      <c r="AF1074" t="s">
        <v>66</v>
      </c>
      <c r="AG1074" t="s">
        <v>65</v>
      </c>
      <c r="AH1074" t="s">
        <v>65</v>
      </c>
      <c r="AI1074" t="s">
        <v>67</v>
      </c>
      <c r="AK1074" t="s">
        <v>111</v>
      </c>
      <c r="AL1074" t="s">
        <v>63</v>
      </c>
      <c r="AM1074" t="s">
        <v>63</v>
      </c>
      <c r="AN1074" t="s">
        <v>61</v>
      </c>
      <c r="AO1074" t="s">
        <v>61</v>
      </c>
      <c r="AP1074" t="s">
        <v>69</v>
      </c>
      <c r="AQ1074" t="s">
        <v>65</v>
      </c>
      <c r="AR1074" t="s">
        <v>70</v>
      </c>
      <c r="AS1074" t="s">
        <v>125</v>
      </c>
      <c r="AT1074" t="s">
        <v>71</v>
      </c>
      <c r="AU1074">
        <v>0</v>
      </c>
      <c r="AV1074">
        <v>0</v>
      </c>
    </row>
    <row r="1075" spans="1:48" x14ac:dyDescent="0.25">
      <c r="A1075" t="s">
        <v>3791</v>
      </c>
      <c r="B1075" t="s">
        <v>73</v>
      </c>
      <c r="C1075" t="s">
        <v>50</v>
      </c>
      <c r="D1075">
        <v>440585.72509999998</v>
      </c>
      <c r="E1075">
        <v>1827618.2394999999</v>
      </c>
      <c r="F1075">
        <v>29.419</v>
      </c>
      <c r="G1075" t="s">
        <v>3792</v>
      </c>
      <c r="H1075" t="s">
        <v>52</v>
      </c>
      <c r="I1075">
        <v>29.419</v>
      </c>
      <c r="J1075" t="s">
        <v>53</v>
      </c>
      <c r="K1075">
        <v>0</v>
      </c>
      <c r="L1075" t="s">
        <v>357</v>
      </c>
      <c r="M1075" t="s">
        <v>440</v>
      </c>
      <c r="N1075">
        <v>-0.18990000000000001</v>
      </c>
      <c r="O1075" t="s">
        <v>56</v>
      </c>
      <c r="P1075" t="s">
        <v>57</v>
      </c>
      <c r="Q1075" t="s">
        <v>59</v>
      </c>
      <c r="R1075" t="s">
        <v>58</v>
      </c>
      <c r="S1075" t="s">
        <v>3793</v>
      </c>
      <c r="T1075" t="s">
        <v>61</v>
      </c>
      <c r="U1075">
        <v>1.5644</v>
      </c>
      <c r="V1075" t="s">
        <v>62</v>
      </c>
      <c r="W1075">
        <v>0</v>
      </c>
      <c r="X1075">
        <v>27.855</v>
      </c>
      <c r="Y1075" t="s">
        <v>63</v>
      </c>
      <c r="Z1075" t="s">
        <v>64</v>
      </c>
      <c r="AC1075" t="s">
        <v>65</v>
      </c>
      <c r="AD1075" t="s">
        <v>61</v>
      </c>
      <c r="AE1075" t="s">
        <v>64</v>
      </c>
      <c r="AF1075" t="s">
        <v>68</v>
      </c>
      <c r="AG1075" t="s">
        <v>65</v>
      </c>
      <c r="AH1075" t="s">
        <v>65</v>
      </c>
      <c r="AI1075" t="s">
        <v>67</v>
      </c>
      <c r="AK1075" t="s">
        <v>66</v>
      </c>
      <c r="AL1075" t="s">
        <v>63</v>
      </c>
      <c r="AM1075" t="s">
        <v>63</v>
      </c>
      <c r="AN1075" t="s">
        <v>61</v>
      </c>
      <c r="AO1075" t="s">
        <v>61</v>
      </c>
      <c r="AP1075" t="s">
        <v>69</v>
      </c>
      <c r="AQ1075" t="s">
        <v>65</v>
      </c>
      <c r="AR1075" t="s">
        <v>70</v>
      </c>
      <c r="AS1075" t="s">
        <v>73</v>
      </c>
      <c r="AT1075" t="s">
        <v>71</v>
      </c>
      <c r="AU1075">
        <v>0</v>
      </c>
      <c r="AV1075">
        <v>0</v>
      </c>
    </row>
    <row r="1076" spans="1:48" x14ac:dyDescent="0.25">
      <c r="A1076" t="s">
        <v>3794</v>
      </c>
      <c r="B1076" t="s">
        <v>73</v>
      </c>
      <c r="C1076" t="s">
        <v>50</v>
      </c>
      <c r="D1076">
        <v>440585.72509999998</v>
      </c>
      <c r="E1076">
        <v>1827598.2394999999</v>
      </c>
      <c r="F1076">
        <v>29.369</v>
      </c>
      <c r="G1076" t="s">
        <v>3795</v>
      </c>
      <c r="H1076" t="s">
        <v>52</v>
      </c>
      <c r="I1076">
        <v>29.369</v>
      </c>
      <c r="J1076" t="s">
        <v>53</v>
      </c>
      <c r="K1076">
        <v>0</v>
      </c>
      <c r="L1076" t="s">
        <v>357</v>
      </c>
      <c r="M1076" t="s">
        <v>597</v>
      </c>
      <c r="N1076">
        <v>-0.1789</v>
      </c>
      <c r="O1076" t="s">
        <v>56</v>
      </c>
      <c r="P1076" t="s">
        <v>57</v>
      </c>
      <c r="Q1076" t="s">
        <v>59</v>
      </c>
      <c r="R1076" t="s">
        <v>58</v>
      </c>
      <c r="S1076" t="s">
        <v>3796</v>
      </c>
      <c r="T1076" t="s">
        <v>61</v>
      </c>
      <c r="U1076">
        <v>1.5344</v>
      </c>
      <c r="V1076" t="s">
        <v>62</v>
      </c>
      <c r="W1076">
        <v>0</v>
      </c>
      <c r="X1076">
        <v>27.835000000000001</v>
      </c>
      <c r="Y1076" t="s">
        <v>63</v>
      </c>
      <c r="Z1076" t="s">
        <v>64</v>
      </c>
      <c r="AC1076" t="s">
        <v>65</v>
      </c>
      <c r="AD1076" t="s">
        <v>61</v>
      </c>
      <c r="AE1076" t="s">
        <v>64</v>
      </c>
      <c r="AF1076" t="s">
        <v>68</v>
      </c>
      <c r="AG1076" t="s">
        <v>65</v>
      </c>
      <c r="AH1076" t="s">
        <v>65</v>
      </c>
      <c r="AI1076" t="s">
        <v>67</v>
      </c>
      <c r="AK1076" t="s">
        <v>66</v>
      </c>
      <c r="AL1076" t="s">
        <v>63</v>
      </c>
      <c r="AM1076" t="s">
        <v>63</v>
      </c>
      <c r="AN1076" t="s">
        <v>61</v>
      </c>
      <c r="AO1076" t="s">
        <v>61</v>
      </c>
      <c r="AP1076" t="s">
        <v>69</v>
      </c>
      <c r="AQ1076" t="s">
        <v>65</v>
      </c>
      <c r="AR1076" t="s">
        <v>70</v>
      </c>
      <c r="AS1076" t="s">
        <v>73</v>
      </c>
      <c r="AT1076" t="s">
        <v>71</v>
      </c>
      <c r="AU1076">
        <v>0</v>
      </c>
      <c r="AV1076">
        <v>0</v>
      </c>
    </row>
    <row r="1077" spans="1:48" x14ac:dyDescent="0.25">
      <c r="A1077" t="s">
        <v>3797</v>
      </c>
      <c r="B1077" t="s">
        <v>73</v>
      </c>
      <c r="C1077" t="s">
        <v>50</v>
      </c>
      <c r="D1077">
        <v>440585.72509999998</v>
      </c>
      <c r="E1077">
        <v>1827578.2394999999</v>
      </c>
      <c r="F1077">
        <v>29.318999999999999</v>
      </c>
      <c r="G1077" t="s">
        <v>3798</v>
      </c>
      <c r="H1077" t="s">
        <v>52</v>
      </c>
      <c r="I1077">
        <v>29.318999999999999</v>
      </c>
      <c r="J1077" t="s">
        <v>53</v>
      </c>
      <c r="K1077">
        <v>0</v>
      </c>
      <c r="L1077" t="s">
        <v>357</v>
      </c>
      <c r="M1077" t="s">
        <v>432</v>
      </c>
      <c r="N1077">
        <v>-0.1678</v>
      </c>
      <c r="O1077" t="s">
        <v>56</v>
      </c>
      <c r="P1077" t="s">
        <v>57</v>
      </c>
      <c r="Q1077" t="s">
        <v>59</v>
      </c>
      <c r="R1077" t="s">
        <v>58</v>
      </c>
      <c r="S1077" t="s">
        <v>3799</v>
      </c>
      <c r="T1077" t="s">
        <v>61</v>
      </c>
      <c r="U1077">
        <v>1.5044999999999999</v>
      </c>
      <c r="V1077" t="s">
        <v>62</v>
      </c>
      <c r="W1077">
        <v>0</v>
      </c>
      <c r="X1077">
        <v>27.815000000000001</v>
      </c>
      <c r="Y1077" t="s">
        <v>63</v>
      </c>
      <c r="Z1077" t="s">
        <v>64</v>
      </c>
      <c r="AC1077" t="s">
        <v>65</v>
      </c>
      <c r="AD1077" t="s">
        <v>61</v>
      </c>
      <c r="AE1077" t="s">
        <v>64</v>
      </c>
      <c r="AF1077" t="s">
        <v>68</v>
      </c>
      <c r="AG1077" t="s">
        <v>65</v>
      </c>
      <c r="AH1077" t="s">
        <v>65</v>
      </c>
      <c r="AI1077" t="s">
        <v>67</v>
      </c>
      <c r="AK1077" t="s">
        <v>66</v>
      </c>
      <c r="AL1077" t="s">
        <v>63</v>
      </c>
      <c r="AM1077" t="s">
        <v>63</v>
      </c>
      <c r="AN1077" t="s">
        <v>61</v>
      </c>
      <c r="AO1077" t="s">
        <v>61</v>
      </c>
      <c r="AP1077" t="s">
        <v>69</v>
      </c>
      <c r="AQ1077" t="s">
        <v>65</v>
      </c>
      <c r="AR1077" t="s">
        <v>70</v>
      </c>
      <c r="AS1077" t="s">
        <v>73</v>
      </c>
      <c r="AT1077" t="s">
        <v>71</v>
      </c>
      <c r="AU1077">
        <v>0</v>
      </c>
      <c r="AV1077">
        <v>0</v>
      </c>
    </row>
    <row r="1078" spans="1:48" x14ac:dyDescent="0.25">
      <c r="A1078" t="s">
        <v>3800</v>
      </c>
      <c r="B1078" t="s">
        <v>73</v>
      </c>
      <c r="C1078" t="s">
        <v>50</v>
      </c>
      <c r="D1078">
        <v>440585.72509999998</v>
      </c>
      <c r="E1078">
        <v>1827558.2394999999</v>
      </c>
      <c r="F1078">
        <v>29.27</v>
      </c>
      <c r="G1078" t="s">
        <v>3801</v>
      </c>
      <c r="H1078" t="s">
        <v>52</v>
      </c>
      <c r="I1078">
        <v>29.27</v>
      </c>
      <c r="J1078" t="s">
        <v>53</v>
      </c>
      <c r="K1078">
        <v>0</v>
      </c>
      <c r="L1078" t="s">
        <v>357</v>
      </c>
      <c r="M1078" t="s">
        <v>428</v>
      </c>
      <c r="N1078">
        <v>-0.15679999999999999</v>
      </c>
      <c r="O1078" t="s">
        <v>56</v>
      </c>
      <c r="P1078" t="s">
        <v>57</v>
      </c>
      <c r="Q1078" t="s">
        <v>59</v>
      </c>
      <c r="R1078" t="s">
        <v>58</v>
      </c>
      <c r="S1078" t="s">
        <v>3802</v>
      </c>
      <c r="T1078" t="s">
        <v>61</v>
      </c>
      <c r="U1078">
        <v>1.5805</v>
      </c>
      <c r="V1078" t="s">
        <v>62</v>
      </c>
      <c r="W1078">
        <v>0</v>
      </c>
      <c r="X1078">
        <v>27.689</v>
      </c>
      <c r="Y1078" t="s">
        <v>63</v>
      </c>
      <c r="Z1078" t="s">
        <v>64</v>
      </c>
      <c r="AC1078" t="s">
        <v>65</v>
      </c>
      <c r="AD1078" t="s">
        <v>61</v>
      </c>
      <c r="AE1078" t="s">
        <v>64</v>
      </c>
      <c r="AF1078" t="s">
        <v>68</v>
      </c>
      <c r="AG1078" t="s">
        <v>65</v>
      </c>
      <c r="AH1078" t="s">
        <v>65</v>
      </c>
      <c r="AI1078" t="s">
        <v>67</v>
      </c>
      <c r="AK1078" t="s">
        <v>66</v>
      </c>
      <c r="AL1078" t="s">
        <v>63</v>
      </c>
      <c r="AM1078" t="s">
        <v>63</v>
      </c>
      <c r="AN1078" t="s">
        <v>61</v>
      </c>
      <c r="AO1078" t="s">
        <v>61</v>
      </c>
      <c r="AP1078" t="s">
        <v>69</v>
      </c>
      <c r="AQ1078" t="s">
        <v>65</v>
      </c>
      <c r="AR1078" t="s">
        <v>70</v>
      </c>
      <c r="AS1078" t="s">
        <v>73</v>
      </c>
      <c r="AT1078" t="s">
        <v>71</v>
      </c>
      <c r="AU1078">
        <v>0</v>
      </c>
      <c r="AV1078">
        <v>0</v>
      </c>
    </row>
    <row r="1079" spans="1:48" x14ac:dyDescent="0.25">
      <c r="A1079" t="s">
        <v>3803</v>
      </c>
      <c r="B1079" t="s">
        <v>125</v>
      </c>
      <c r="C1079" t="s">
        <v>50</v>
      </c>
      <c r="D1079">
        <v>440585.57510000002</v>
      </c>
      <c r="E1079">
        <v>1827550.3088</v>
      </c>
      <c r="F1079">
        <v>29.108000000000001</v>
      </c>
      <c r="G1079" t="s">
        <v>3804</v>
      </c>
      <c r="H1079" t="s">
        <v>52</v>
      </c>
      <c r="I1079">
        <v>29.108000000000001</v>
      </c>
      <c r="J1079" t="s">
        <v>53</v>
      </c>
      <c r="K1079">
        <v>0</v>
      </c>
      <c r="L1079" t="s">
        <v>180</v>
      </c>
      <c r="M1079" t="s">
        <v>3680</v>
      </c>
      <c r="N1079">
        <v>-0.22500000000000001</v>
      </c>
      <c r="O1079" t="s">
        <v>56</v>
      </c>
      <c r="P1079" t="s">
        <v>57</v>
      </c>
      <c r="Q1079" t="s">
        <v>109</v>
      </c>
      <c r="R1079" t="s">
        <v>59</v>
      </c>
      <c r="S1079" t="s">
        <v>3805</v>
      </c>
      <c r="T1079" t="s">
        <v>61</v>
      </c>
      <c r="U1079">
        <v>3.8033999999999999</v>
      </c>
      <c r="V1079" t="s">
        <v>62</v>
      </c>
      <c r="W1079">
        <v>0</v>
      </c>
      <c r="X1079">
        <v>25.305</v>
      </c>
      <c r="Y1079" t="s">
        <v>63</v>
      </c>
      <c r="Z1079" t="s">
        <v>64</v>
      </c>
      <c r="AC1079" t="s">
        <v>65</v>
      </c>
      <c r="AD1079" t="s">
        <v>61</v>
      </c>
      <c r="AE1079" t="s">
        <v>64</v>
      </c>
      <c r="AF1079" t="s">
        <v>66</v>
      </c>
      <c r="AG1079" t="s">
        <v>65</v>
      </c>
      <c r="AH1079" t="s">
        <v>65</v>
      </c>
      <c r="AI1079" t="s">
        <v>67</v>
      </c>
      <c r="AK1079" t="s">
        <v>111</v>
      </c>
      <c r="AL1079" t="s">
        <v>63</v>
      </c>
      <c r="AM1079" t="s">
        <v>63</v>
      </c>
      <c r="AN1079" t="s">
        <v>61</v>
      </c>
      <c r="AO1079" t="s">
        <v>61</v>
      </c>
      <c r="AP1079" t="s">
        <v>69</v>
      </c>
      <c r="AQ1079" t="s">
        <v>65</v>
      </c>
      <c r="AR1079" t="s">
        <v>70</v>
      </c>
      <c r="AS1079" t="s">
        <v>125</v>
      </c>
      <c r="AT1079" t="s">
        <v>71</v>
      </c>
      <c r="AU1079">
        <v>0</v>
      </c>
      <c r="AV1079">
        <v>0</v>
      </c>
    </row>
    <row r="1080" spans="1:48" x14ac:dyDescent="0.25">
      <c r="A1080" t="s">
        <v>3806</v>
      </c>
      <c r="B1080" t="s">
        <v>73</v>
      </c>
      <c r="C1080" t="s">
        <v>50</v>
      </c>
      <c r="D1080">
        <v>440595.1251</v>
      </c>
      <c r="E1080">
        <v>1827618.2394999999</v>
      </c>
      <c r="F1080">
        <v>29.419</v>
      </c>
      <c r="G1080" t="s">
        <v>3807</v>
      </c>
      <c r="H1080" t="s">
        <v>52</v>
      </c>
      <c r="I1080">
        <v>29.419</v>
      </c>
      <c r="J1080" t="s">
        <v>53</v>
      </c>
      <c r="K1080">
        <v>0</v>
      </c>
      <c r="L1080" t="s">
        <v>797</v>
      </c>
      <c r="M1080" t="s">
        <v>440</v>
      </c>
      <c r="N1080">
        <v>0.18310000000000001</v>
      </c>
      <c r="O1080" t="s">
        <v>56</v>
      </c>
      <c r="P1080" t="s">
        <v>57</v>
      </c>
      <c r="Q1080" t="s">
        <v>59</v>
      </c>
      <c r="R1080" t="s">
        <v>58</v>
      </c>
      <c r="S1080" t="s">
        <v>3808</v>
      </c>
      <c r="T1080" t="s">
        <v>61</v>
      </c>
      <c r="U1080">
        <v>1.5713999999999999</v>
      </c>
      <c r="V1080" t="s">
        <v>62</v>
      </c>
      <c r="W1080">
        <v>0</v>
      </c>
      <c r="X1080">
        <v>27.847999999999999</v>
      </c>
      <c r="Y1080" t="s">
        <v>63</v>
      </c>
      <c r="Z1080" t="s">
        <v>64</v>
      </c>
      <c r="AC1080" t="s">
        <v>65</v>
      </c>
      <c r="AD1080" t="s">
        <v>61</v>
      </c>
      <c r="AE1080" t="s">
        <v>64</v>
      </c>
      <c r="AF1080" t="s">
        <v>68</v>
      </c>
      <c r="AG1080" t="s">
        <v>65</v>
      </c>
      <c r="AH1080" t="s">
        <v>65</v>
      </c>
      <c r="AI1080" t="s">
        <v>67</v>
      </c>
      <c r="AK1080" t="s">
        <v>66</v>
      </c>
      <c r="AL1080" t="s">
        <v>63</v>
      </c>
      <c r="AM1080" t="s">
        <v>63</v>
      </c>
      <c r="AN1080" t="s">
        <v>61</v>
      </c>
      <c r="AO1080" t="s">
        <v>61</v>
      </c>
      <c r="AP1080" t="s">
        <v>69</v>
      </c>
      <c r="AQ1080" t="s">
        <v>65</v>
      </c>
      <c r="AR1080" t="s">
        <v>70</v>
      </c>
      <c r="AS1080" t="s">
        <v>73</v>
      </c>
      <c r="AT1080" t="s">
        <v>71</v>
      </c>
      <c r="AU1080">
        <v>0</v>
      </c>
      <c r="AV1080">
        <v>0</v>
      </c>
    </row>
    <row r="1081" spans="1:48" x14ac:dyDescent="0.25">
      <c r="A1081" t="s">
        <v>3809</v>
      </c>
      <c r="B1081" t="s">
        <v>73</v>
      </c>
      <c r="C1081" t="s">
        <v>50</v>
      </c>
      <c r="D1081">
        <v>440595.1251</v>
      </c>
      <c r="E1081">
        <v>1827598.2394999999</v>
      </c>
      <c r="F1081">
        <v>29.369</v>
      </c>
      <c r="G1081" t="s">
        <v>3810</v>
      </c>
      <c r="H1081" t="s">
        <v>52</v>
      </c>
      <c r="I1081">
        <v>29.369</v>
      </c>
      <c r="J1081" t="s">
        <v>53</v>
      </c>
      <c r="K1081">
        <v>0</v>
      </c>
      <c r="L1081" t="s">
        <v>797</v>
      </c>
      <c r="M1081" t="s">
        <v>597</v>
      </c>
      <c r="N1081">
        <v>0.18310000000000001</v>
      </c>
      <c r="O1081" t="s">
        <v>56</v>
      </c>
      <c r="P1081" t="s">
        <v>57</v>
      </c>
      <c r="Q1081" t="s">
        <v>59</v>
      </c>
      <c r="R1081" t="s">
        <v>58</v>
      </c>
      <c r="S1081" t="s">
        <v>3811</v>
      </c>
      <c r="T1081" t="s">
        <v>61</v>
      </c>
      <c r="U1081">
        <v>1.5664</v>
      </c>
      <c r="V1081" t="s">
        <v>62</v>
      </c>
      <c r="W1081">
        <v>0</v>
      </c>
      <c r="X1081">
        <v>27.803000000000001</v>
      </c>
      <c r="Y1081" t="s">
        <v>63</v>
      </c>
      <c r="Z1081" t="s">
        <v>64</v>
      </c>
      <c r="AC1081" t="s">
        <v>65</v>
      </c>
      <c r="AD1081" t="s">
        <v>61</v>
      </c>
      <c r="AE1081" t="s">
        <v>64</v>
      </c>
      <c r="AF1081" t="s">
        <v>68</v>
      </c>
      <c r="AG1081" t="s">
        <v>65</v>
      </c>
      <c r="AH1081" t="s">
        <v>65</v>
      </c>
      <c r="AI1081" t="s">
        <v>67</v>
      </c>
      <c r="AK1081" t="s">
        <v>66</v>
      </c>
      <c r="AL1081" t="s">
        <v>63</v>
      </c>
      <c r="AM1081" t="s">
        <v>63</v>
      </c>
      <c r="AN1081" t="s">
        <v>61</v>
      </c>
      <c r="AO1081" t="s">
        <v>61</v>
      </c>
      <c r="AP1081" t="s">
        <v>69</v>
      </c>
      <c r="AQ1081" t="s">
        <v>65</v>
      </c>
      <c r="AR1081" t="s">
        <v>70</v>
      </c>
      <c r="AS1081" t="s">
        <v>73</v>
      </c>
      <c r="AT1081" t="s">
        <v>71</v>
      </c>
      <c r="AU1081">
        <v>0</v>
      </c>
      <c r="AV1081">
        <v>0</v>
      </c>
    </row>
    <row r="1082" spans="1:48" x14ac:dyDescent="0.25">
      <c r="A1082" t="s">
        <v>3812</v>
      </c>
      <c r="B1082" t="s">
        <v>73</v>
      </c>
      <c r="C1082" t="s">
        <v>50</v>
      </c>
      <c r="D1082">
        <v>440595.1251</v>
      </c>
      <c r="E1082">
        <v>1827578.2394999999</v>
      </c>
      <c r="F1082">
        <v>29.318999999999999</v>
      </c>
      <c r="G1082" t="s">
        <v>3813</v>
      </c>
      <c r="H1082" t="s">
        <v>52</v>
      </c>
      <c r="I1082">
        <v>29.318999999999999</v>
      </c>
      <c r="J1082" t="s">
        <v>53</v>
      </c>
      <c r="K1082">
        <v>0</v>
      </c>
      <c r="L1082" t="s">
        <v>797</v>
      </c>
      <c r="M1082" t="s">
        <v>432</v>
      </c>
      <c r="N1082">
        <v>0.18310000000000001</v>
      </c>
      <c r="O1082" t="s">
        <v>56</v>
      </c>
      <c r="P1082" t="s">
        <v>57</v>
      </c>
      <c r="Q1082" t="s">
        <v>59</v>
      </c>
      <c r="R1082" t="s">
        <v>58</v>
      </c>
      <c r="S1082" t="s">
        <v>3814</v>
      </c>
      <c r="T1082" t="s">
        <v>61</v>
      </c>
      <c r="U1082">
        <v>1.5555000000000001</v>
      </c>
      <c r="V1082" t="s">
        <v>62</v>
      </c>
      <c r="W1082">
        <v>0</v>
      </c>
      <c r="X1082">
        <v>27.763999999999999</v>
      </c>
      <c r="Y1082" t="s">
        <v>63</v>
      </c>
      <c r="Z1082" t="s">
        <v>64</v>
      </c>
      <c r="AC1082" t="s">
        <v>65</v>
      </c>
      <c r="AD1082" t="s">
        <v>61</v>
      </c>
      <c r="AE1082" t="s">
        <v>64</v>
      </c>
      <c r="AF1082" t="s">
        <v>68</v>
      </c>
      <c r="AG1082" t="s">
        <v>65</v>
      </c>
      <c r="AH1082" t="s">
        <v>65</v>
      </c>
      <c r="AI1082" t="s">
        <v>67</v>
      </c>
      <c r="AK1082" t="s">
        <v>66</v>
      </c>
      <c r="AL1082" t="s">
        <v>63</v>
      </c>
      <c r="AM1082" t="s">
        <v>63</v>
      </c>
      <c r="AN1082" t="s">
        <v>61</v>
      </c>
      <c r="AO1082" t="s">
        <v>61</v>
      </c>
      <c r="AP1082" t="s">
        <v>69</v>
      </c>
      <c r="AQ1082" t="s">
        <v>65</v>
      </c>
      <c r="AR1082" t="s">
        <v>70</v>
      </c>
      <c r="AS1082" t="s">
        <v>73</v>
      </c>
      <c r="AT1082" t="s">
        <v>71</v>
      </c>
      <c r="AU1082">
        <v>0</v>
      </c>
      <c r="AV1082">
        <v>0</v>
      </c>
    </row>
    <row r="1083" spans="1:48" x14ac:dyDescent="0.25">
      <c r="A1083" t="s">
        <v>3815</v>
      </c>
      <c r="B1083" t="s">
        <v>73</v>
      </c>
      <c r="C1083" t="s">
        <v>50</v>
      </c>
      <c r="D1083">
        <v>440595.1251</v>
      </c>
      <c r="E1083">
        <v>1827558.2394999999</v>
      </c>
      <c r="F1083">
        <v>29.27</v>
      </c>
      <c r="G1083" t="s">
        <v>3816</v>
      </c>
      <c r="H1083" t="s">
        <v>52</v>
      </c>
      <c r="I1083">
        <v>29.27</v>
      </c>
      <c r="J1083" t="s">
        <v>53</v>
      </c>
      <c r="K1083">
        <v>0</v>
      </c>
      <c r="L1083" t="s">
        <v>797</v>
      </c>
      <c r="M1083" t="s">
        <v>428</v>
      </c>
      <c r="N1083">
        <v>0.18310000000000001</v>
      </c>
      <c r="O1083" t="s">
        <v>56</v>
      </c>
      <c r="P1083" t="s">
        <v>57</v>
      </c>
      <c r="Q1083" t="s">
        <v>59</v>
      </c>
      <c r="R1083" t="s">
        <v>58</v>
      </c>
      <c r="S1083" t="s">
        <v>3817</v>
      </c>
      <c r="T1083" t="s">
        <v>61</v>
      </c>
      <c r="U1083">
        <v>1.5994999999999999</v>
      </c>
      <c r="V1083" t="s">
        <v>62</v>
      </c>
      <c r="W1083">
        <v>0</v>
      </c>
      <c r="X1083">
        <v>27.67</v>
      </c>
      <c r="Y1083" t="s">
        <v>63</v>
      </c>
      <c r="Z1083" t="s">
        <v>64</v>
      </c>
      <c r="AC1083" t="s">
        <v>65</v>
      </c>
      <c r="AD1083" t="s">
        <v>61</v>
      </c>
      <c r="AE1083" t="s">
        <v>64</v>
      </c>
      <c r="AF1083" t="s">
        <v>68</v>
      </c>
      <c r="AG1083" t="s">
        <v>65</v>
      </c>
      <c r="AH1083" t="s">
        <v>65</v>
      </c>
      <c r="AI1083" t="s">
        <v>67</v>
      </c>
      <c r="AK1083" t="s">
        <v>66</v>
      </c>
      <c r="AL1083" t="s">
        <v>63</v>
      </c>
      <c r="AM1083" t="s">
        <v>63</v>
      </c>
      <c r="AN1083" t="s">
        <v>61</v>
      </c>
      <c r="AO1083" t="s">
        <v>61</v>
      </c>
      <c r="AP1083" t="s">
        <v>69</v>
      </c>
      <c r="AQ1083" t="s">
        <v>65</v>
      </c>
      <c r="AR1083" t="s">
        <v>70</v>
      </c>
      <c r="AS1083" t="s">
        <v>73</v>
      </c>
      <c r="AT1083" t="s">
        <v>71</v>
      </c>
      <c r="AU1083">
        <v>0</v>
      </c>
      <c r="AV1083">
        <v>0</v>
      </c>
    </row>
    <row r="1084" spans="1:48" x14ac:dyDescent="0.25">
      <c r="A1084" t="s">
        <v>3818</v>
      </c>
      <c r="B1084" t="s">
        <v>125</v>
      </c>
      <c r="C1084" t="s">
        <v>50</v>
      </c>
      <c r="D1084">
        <v>440595.27510000003</v>
      </c>
      <c r="E1084">
        <v>1827550.3088</v>
      </c>
      <c r="F1084">
        <v>29.085999999999999</v>
      </c>
      <c r="G1084" t="s">
        <v>3819</v>
      </c>
      <c r="H1084" t="s">
        <v>52</v>
      </c>
      <c r="I1084">
        <v>29.085999999999999</v>
      </c>
      <c r="J1084" t="s">
        <v>53</v>
      </c>
      <c r="K1084">
        <v>0</v>
      </c>
      <c r="L1084" t="s">
        <v>180</v>
      </c>
      <c r="M1084" t="s">
        <v>3699</v>
      </c>
      <c r="N1084">
        <v>-0.22500000000000001</v>
      </c>
      <c r="O1084" t="s">
        <v>56</v>
      </c>
      <c r="P1084" t="s">
        <v>57</v>
      </c>
      <c r="Q1084" t="s">
        <v>109</v>
      </c>
      <c r="R1084" t="s">
        <v>59</v>
      </c>
      <c r="S1084" t="s">
        <v>3820</v>
      </c>
      <c r="T1084" t="s">
        <v>61</v>
      </c>
      <c r="U1084">
        <v>3.7904</v>
      </c>
      <c r="V1084" t="s">
        <v>62</v>
      </c>
      <c r="W1084">
        <v>0</v>
      </c>
      <c r="X1084">
        <v>25.295999999999999</v>
      </c>
      <c r="Y1084" t="s">
        <v>63</v>
      </c>
      <c r="Z1084" t="s">
        <v>64</v>
      </c>
      <c r="AC1084" t="s">
        <v>65</v>
      </c>
      <c r="AD1084" t="s">
        <v>61</v>
      </c>
      <c r="AE1084" t="s">
        <v>64</v>
      </c>
      <c r="AF1084" t="s">
        <v>66</v>
      </c>
      <c r="AG1084" t="s">
        <v>65</v>
      </c>
      <c r="AH1084" t="s">
        <v>65</v>
      </c>
      <c r="AI1084" t="s">
        <v>67</v>
      </c>
      <c r="AK1084" t="s">
        <v>111</v>
      </c>
      <c r="AL1084" t="s">
        <v>63</v>
      </c>
      <c r="AM1084" t="s">
        <v>63</v>
      </c>
      <c r="AN1084" t="s">
        <v>61</v>
      </c>
      <c r="AO1084" t="s">
        <v>61</v>
      </c>
      <c r="AP1084" t="s">
        <v>69</v>
      </c>
      <c r="AQ1084" t="s">
        <v>65</v>
      </c>
      <c r="AR1084" t="s">
        <v>70</v>
      </c>
      <c r="AS1084" t="s">
        <v>125</v>
      </c>
      <c r="AT1084" t="s">
        <v>71</v>
      </c>
      <c r="AU1084">
        <v>0</v>
      </c>
      <c r="AV1084">
        <v>0</v>
      </c>
    </row>
    <row r="1085" spans="1:48" x14ac:dyDescent="0.25">
      <c r="A1085" t="s">
        <v>3821</v>
      </c>
      <c r="B1085" t="s">
        <v>105</v>
      </c>
      <c r="C1085" t="s">
        <v>50</v>
      </c>
      <c r="D1085">
        <v>440398.2501</v>
      </c>
      <c r="E1085">
        <v>1827849.7461000001</v>
      </c>
      <c r="F1085">
        <v>31.207000000000001</v>
      </c>
      <c r="G1085" t="s">
        <v>3822</v>
      </c>
      <c r="H1085" t="s">
        <v>52</v>
      </c>
      <c r="I1085">
        <v>31.207000000000001</v>
      </c>
      <c r="J1085" t="s">
        <v>53</v>
      </c>
      <c r="K1085">
        <v>0</v>
      </c>
      <c r="L1085" t="s">
        <v>107</v>
      </c>
      <c r="M1085" t="s">
        <v>3823</v>
      </c>
      <c r="N1085">
        <v>0.2248</v>
      </c>
      <c r="O1085" t="s">
        <v>56</v>
      </c>
      <c r="P1085" t="s">
        <v>57</v>
      </c>
      <c r="Q1085" t="s">
        <v>59</v>
      </c>
      <c r="R1085" t="s">
        <v>109</v>
      </c>
      <c r="S1085" t="s">
        <v>3824</v>
      </c>
      <c r="T1085" t="s">
        <v>61</v>
      </c>
      <c r="U1085">
        <v>1.8466</v>
      </c>
      <c r="V1085" t="s">
        <v>1033</v>
      </c>
      <c r="W1085">
        <v>0</v>
      </c>
      <c r="X1085">
        <v>29.36</v>
      </c>
      <c r="Y1085" t="s">
        <v>63</v>
      </c>
      <c r="Z1085" t="s">
        <v>64</v>
      </c>
      <c r="AC1085" t="s">
        <v>65</v>
      </c>
      <c r="AD1085" t="s">
        <v>61</v>
      </c>
      <c r="AE1085" t="s">
        <v>64</v>
      </c>
      <c r="AF1085" t="s">
        <v>111</v>
      </c>
      <c r="AG1085" t="s">
        <v>65</v>
      </c>
      <c r="AH1085" t="s">
        <v>65</v>
      </c>
      <c r="AI1085" t="s">
        <v>67</v>
      </c>
      <c r="AK1085" t="s">
        <v>66</v>
      </c>
      <c r="AL1085" t="s">
        <v>63</v>
      </c>
      <c r="AM1085" t="s">
        <v>63</v>
      </c>
      <c r="AN1085" t="s">
        <v>61</v>
      </c>
      <c r="AO1085" t="s">
        <v>61</v>
      </c>
      <c r="AP1085" t="s">
        <v>69</v>
      </c>
      <c r="AQ1085" t="s">
        <v>65</v>
      </c>
      <c r="AR1085" t="s">
        <v>70</v>
      </c>
      <c r="AS1085" t="s">
        <v>105</v>
      </c>
      <c r="AT1085" t="s">
        <v>71</v>
      </c>
      <c r="AU1085">
        <v>0</v>
      </c>
      <c r="AV1085">
        <v>0</v>
      </c>
    </row>
    <row r="1086" spans="1:48" x14ac:dyDescent="0.25">
      <c r="A1086" t="s">
        <v>3825</v>
      </c>
      <c r="B1086" t="s">
        <v>105</v>
      </c>
      <c r="C1086" t="s">
        <v>50</v>
      </c>
      <c r="D1086">
        <v>440398.2501</v>
      </c>
      <c r="E1086">
        <v>1827829.6232</v>
      </c>
      <c r="F1086">
        <v>31.381</v>
      </c>
      <c r="G1086" t="s">
        <v>3826</v>
      </c>
      <c r="H1086" t="s">
        <v>52</v>
      </c>
      <c r="I1086">
        <v>31.381</v>
      </c>
      <c r="J1086" t="s">
        <v>53</v>
      </c>
      <c r="K1086">
        <v>0</v>
      </c>
      <c r="L1086" t="s">
        <v>107</v>
      </c>
      <c r="M1086" t="s">
        <v>3827</v>
      </c>
      <c r="N1086">
        <v>0.2248</v>
      </c>
      <c r="O1086" t="s">
        <v>56</v>
      </c>
      <c r="P1086" t="s">
        <v>57</v>
      </c>
      <c r="Q1086" t="s">
        <v>59</v>
      </c>
      <c r="R1086" t="s">
        <v>109</v>
      </c>
      <c r="S1086" t="s">
        <v>3828</v>
      </c>
      <c r="T1086" t="s">
        <v>61</v>
      </c>
      <c r="U1086">
        <v>2.0459000000000001</v>
      </c>
      <c r="V1086" t="s">
        <v>1033</v>
      </c>
      <c r="W1086">
        <v>0</v>
      </c>
      <c r="X1086">
        <v>29.335000000000001</v>
      </c>
      <c r="Y1086" t="s">
        <v>63</v>
      </c>
      <c r="Z1086" t="s">
        <v>64</v>
      </c>
      <c r="AC1086" t="s">
        <v>65</v>
      </c>
      <c r="AD1086" t="s">
        <v>61</v>
      </c>
      <c r="AE1086" t="s">
        <v>64</v>
      </c>
      <c r="AF1086" t="s">
        <v>111</v>
      </c>
      <c r="AG1086" t="s">
        <v>65</v>
      </c>
      <c r="AH1086" t="s">
        <v>65</v>
      </c>
      <c r="AI1086" t="s">
        <v>67</v>
      </c>
      <c r="AK1086" t="s">
        <v>66</v>
      </c>
      <c r="AL1086" t="s">
        <v>63</v>
      </c>
      <c r="AM1086" t="s">
        <v>63</v>
      </c>
      <c r="AN1086" t="s">
        <v>61</v>
      </c>
      <c r="AO1086" t="s">
        <v>61</v>
      </c>
      <c r="AP1086" t="s">
        <v>69</v>
      </c>
      <c r="AQ1086" t="s">
        <v>65</v>
      </c>
      <c r="AR1086" t="s">
        <v>70</v>
      </c>
      <c r="AS1086" t="s">
        <v>105</v>
      </c>
      <c r="AT1086" t="s">
        <v>71</v>
      </c>
      <c r="AU1086">
        <v>0</v>
      </c>
      <c r="AV1086">
        <v>0</v>
      </c>
    </row>
    <row r="1087" spans="1:48" x14ac:dyDescent="0.25">
      <c r="A1087" t="s">
        <v>3829</v>
      </c>
      <c r="B1087" t="s">
        <v>105</v>
      </c>
      <c r="C1087" t="s">
        <v>50</v>
      </c>
      <c r="D1087">
        <v>440398.2501</v>
      </c>
      <c r="E1087">
        <v>1827809.7609000001</v>
      </c>
      <c r="F1087">
        <v>31.411999999999999</v>
      </c>
      <c r="G1087" t="s">
        <v>3830</v>
      </c>
      <c r="H1087" t="s">
        <v>52</v>
      </c>
      <c r="I1087">
        <v>31.411999999999999</v>
      </c>
      <c r="J1087" t="s">
        <v>53</v>
      </c>
      <c r="K1087">
        <v>0</v>
      </c>
      <c r="L1087" t="s">
        <v>107</v>
      </c>
      <c r="M1087" t="s">
        <v>440</v>
      </c>
      <c r="N1087">
        <v>0.2248</v>
      </c>
      <c r="O1087" t="s">
        <v>56</v>
      </c>
      <c r="P1087" t="s">
        <v>57</v>
      </c>
      <c r="Q1087" t="s">
        <v>59</v>
      </c>
      <c r="R1087" t="s">
        <v>109</v>
      </c>
      <c r="S1087" t="s">
        <v>3831</v>
      </c>
      <c r="T1087" t="s">
        <v>61</v>
      </c>
      <c r="U1087">
        <v>2.0966999999999998</v>
      </c>
      <c r="V1087" t="s">
        <v>1033</v>
      </c>
      <c r="W1087">
        <v>0</v>
      </c>
      <c r="X1087">
        <v>29.315000000000001</v>
      </c>
      <c r="Y1087" t="s">
        <v>63</v>
      </c>
      <c r="Z1087" t="s">
        <v>64</v>
      </c>
      <c r="AC1087" t="s">
        <v>65</v>
      </c>
      <c r="AD1087" t="s">
        <v>61</v>
      </c>
      <c r="AE1087" t="s">
        <v>64</v>
      </c>
      <c r="AF1087" t="s">
        <v>111</v>
      </c>
      <c r="AG1087" t="s">
        <v>65</v>
      </c>
      <c r="AH1087" t="s">
        <v>65</v>
      </c>
      <c r="AI1087" t="s">
        <v>67</v>
      </c>
      <c r="AK1087" t="s">
        <v>66</v>
      </c>
      <c r="AL1087" t="s">
        <v>63</v>
      </c>
      <c r="AM1087" t="s">
        <v>63</v>
      </c>
      <c r="AN1087" t="s">
        <v>61</v>
      </c>
      <c r="AO1087" t="s">
        <v>61</v>
      </c>
      <c r="AP1087" t="s">
        <v>69</v>
      </c>
      <c r="AQ1087" t="s">
        <v>65</v>
      </c>
      <c r="AR1087" t="s">
        <v>70</v>
      </c>
      <c r="AS1087" t="s">
        <v>105</v>
      </c>
      <c r="AT1087" t="s">
        <v>71</v>
      </c>
      <c r="AU1087">
        <v>0</v>
      </c>
      <c r="AV1087">
        <v>0</v>
      </c>
    </row>
    <row r="1088" spans="1:48" x14ac:dyDescent="0.25">
      <c r="A1088" t="s">
        <v>3832</v>
      </c>
      <c r="B1088" t="s">
        <v>105</v>
      </c>
      <c r="C1088" t="s">
        <v>50</v>
      </c>
      <c r="D1088">
        <v>440398.2501</v>
      </c>
      <c r="E1088">
        <v>1827789.7609000001</v>
      </c>
      <c r="F1088">
        <v>31.28</v>
      </c>
      <c r="G1088" t="s">
        <v>3833</v>
      </c>
      <c r="H1088" t="s">
        <v>52</v>
      </c>
      <c r="I1088">
        <v>31.28</v>
      </c>
      <c r="J1088" t="s">
        <v>53</v>
      </c>
      <c r="K1088">
        <v>0</v>
      </c>
      <c r="L1088" t="s">
        <v>107</v>
      </c>
      <c r="M1088" t="s">
        <v>597</v>
      </c>
      <c r="N1088">
        <v>0.2248</v>
      </c>
      <c r="O1088" t="s">
        <v>56</v>
      </c>
      <c r="P1088" t="s">
        <v>57</v>
      </c>
      <c r="Q1088" t="s">
        <v>59</v>
      </c>
      <c r="R1088" t="s">
        <v>109</v>
      </c>
      <c r="S1088" t="s">
        <v>3834</v>
      </c>
      <c r="T1088" t="s">
        <v>61</v>
      </c>
      <c r="U1088">
        <v>1.9846999999999999</v>
      </c>
      <c r="V1088" t="s">
        <v>1033</v>
      </c>
      <c r="W1088">
        <v>0</v>
      </c>
      <c r="X1088">
        <v>29.295000000000002</v>
      </c>
      <c r="Y1088" t="s">
        <v>63</v>
      </c>
      <c r="Z1088" t="s">
        <v>64</v>
      </c>
      <c r="AC1088" t="s">
        <v>65</v>
      </c>
      <c r="AD1088" t="s">
        <v>61</v>
      </c>
      <c r="AE1088" t="s">
        <v>64</v>
      </c>
      <c r="AF1088" t="s">
        <v>111</v>
      </c>
      <c r="AG1088" t="s">
        <v>65</v>
      </c>
      <c r="AH1088" t="s">
        <v>65</v>
      </c>
      <c r="AI1088" t="s">
        <v>67</v>
      </c>
      <c r="AK1088" t="s">
        <v>66</v>
      </c>
      <c r="AL1088" t="s">
        <v>63</v>
      </c>
      <c r="AM1088" t="s">
        <v>63</v>
      </c>
      <c r="AN1088" t="s">
        <v>61</v>
      </c>
      <c r="AO1088" t="s">
        <v>61</v>
      </c>
      <c r="AP1088" t="s">
        <v>69</v>
      </c>
      <c r="AQ1088" t="s">
        <v>65</v>
      </c>
      <c r="AR1088" t="s">
        <v>70</v>
      </c>
      <c r="AS1088" t="s">
        <v>105</v>
      </c>
      <c r="AT1088" t="s">
        <v>71</v>
      </c>
      <c r="AU1088">
        <v>0</v>
      </c>
      <c r="AV1088">
        <v>0</v>
      </c>
    </row>
    <row r="1089" spans="1:48" x14ac:dyDescent="0.25">
      <c r="A1089" t="s">
        <v>3835</v>
      </c>
      <c r="B1089" t="s">
        <v>105</v>
      </c>
      <c r="C1089" t="s">
        <v>50</v>
      </c>
      <c r="D1089">
        <v>440398.2501</v>
      </c>
      <c r="E1089">
        <v>1827769.3256999999</v>
      </c>
      <c r="F1089">
        <v>30.843</v>
      </c>
      <c r="G1089" t="s">
        <v>3836</v>
      </c>
      <c r="H1089" t="s">
        <v>52</v>
      </c>
      <c r="I1089">
        <v>30.843</v>
      </c>
      <c r="J1089" t="s">
        <v>53</v>
      </c>
      <c r="K1089">
        <v>0</v>
      </c>
      <c r="L1089" t="s">
        <v>107</v>
      </c>
      <c r="M1089" t="s">
        <v>3837</v>
      </c>
      <c r="N1089">
        <v>0.2248</v>
      </c>
      <c r="O1089" t="s">
        <v>56</v>
      </c>
      <c r="P1089" t="s">
        <v>57</v>
      </c>
      <c r="Q1089" t="s">
        <v>59</v>
      </c>
      <c r="R1089" t="s">
        <v>109</v>
      </c>
      <c r="S1089" t="s">
        <v>3838</v>
      </c>
      <c r="T1089" t="s">
        <v>61</v>
      </c>
      <c r="U1089">
        <v>1.5688</v>
      </c>
      <c r="V1089" t="s">
        <v>1033</v>
      </c>
      <c r="W1089">
        <v>0</v>
      </c>
      <c r="X1089">
        <v>29.274000000000001</v>
      </c>
      <c r="Y1089" t="s">
        <v>63</v>
      </c>
      <c r="Z1089" t="s">
        <v>64</v>
      </c>
      <c r="AC1089" t="s">
        <v>65</v>
      </c>
      <c r="AD1089" t="s">
        <v>61</v>
      </c>
      <c r="AE1089" t="s">
        <v>64</v>
      </c>
      <c r="AF1089" t="s">
        <v>111</v>
      </c>
      <c r="AG1089" t="s">
        <v>65</v>
      </c>
      <c r="AH1089" t="s">
        <v>65</v>
      </c>
      <c r="AI1089" t="s">
        <v>67</v>
      </c>
      <c r="AK1089" t="s">
        <v>66</v>
      </c>
      <c r="AL1089" t="s">
        <v>63</v>
      </c>
      <c r="AM1089" t="s">
        <v>63</v>
      </c>
      <c r="AN1089" t="s">
        <v>61</v>
      </c>
      <c r="AO1089" t="s">
        <v>61</v>
      </c>
      <c r="AP1089" t="s">
        <v>69</v>
      </c>
      <c r="AQ1089" t="s">
        <v>65</v>
      </c>
      <c r="AR1089" t="s">
        <v>70</v>
      </c>
      <c r="AS1089" t="s">
        <v>105</v>
      </c>
      <c r="AT1089" t="s">
        <v>71</v>
      </c>
      <c r="AU1089">
        <v>0</v>
      </c>
      <c r="AV1089">
        <v>0</v>
      </c>
    </row>
    <row r="1090" spans="1:48" x14ac:dyDescent="0.25">
      <c r="A1090" t="s">
        <v>3839</v>
      </c>
      <c r="B1090" t="s">
        <v>105</v>
      </c>
      <c r="C1090" t="s">
        <v>50</v>
      </c>
      <c r="D1090">
        <v>440398.2501</v>
      </c>
      <c r="E1090">
        <v>1827749.7609000001</v>
      </c>
      <c r="F1090">
        <v>30.849</v>
      </c>
      <c r="G1090" t="s">
        <v>3840</v>
      </c>
      <c r="H1090" t="s">
        <v>52</v>
      </c>
      <c r="I1090">
        <v>30.849</v>
      </c>
      <c r="J1090" t="s">
        <v>53</v>
      </c>
      <c r="K1090">
        <v>0</v>
      </c>
      <c r="L1090" t="s">
        <v>107</v>
      </c>
      <c r="M1090" t="s">
        <v>428</v>
      </c>
      <c r="N1090">
        <v>0.2248</v>
      </c>
      <c r="O1090" t="s">
        <v>56</v>
      </c>
      <c r="P1090" t="s">
        <v>57</v>
      </c>
      <c r="Q1090" t="s">
        <v>59</v>
      </c>
      <c r="R1090" t="s">
        <v>109</v>
      </c>
      <c r="S1090" t="s">
        <v>3841</v>
      </c>
      <c r="T1090" t="s">
        <v>61</v>
      </c>
      <c r="U1090">
        <v>1.6073999999999999</v>
      </c>
      <c r="V1090" t="s">
        <v>1033</v>
      </c>
      <c r="W1090">
        <v>0</v>
      </c>
      <c r="X1090">
        <v>29.242000000000001</v>
      </c>
      <c r="Y1090" t="s">
        <v>63</v>
      </c>
      <c r="Z1090" t="s">
        <v>64</v>
      </c>
      <c r="AC1090" t="s">
        <v>65</v>
      </c>
      <c r="AD1090" t="s">
        <v>61</v>
      </c>
      <c r="AE1090" t="s">
        <v>64</v>
      </c>
      <c r="AF1090" t="s">
        <v>111</v>
      </c>
      <c r="AG1090" t="s">
        <v>65</v>
      </c>
      <c r="AH1090" t="s">
        <v>65</v>
      </c>
      <c r="AI1090" t="s">
        <v>67</v>
      </c>
      <c r="AK1090" t="s">
        <v>66</v>
      </c>
      <c r="AL1090" t="s">
        <v>63</v>
      </c>
      <c r="AM1090" t="s">
        <v>63</v>
      </c>
      <c r="AN1090" t="s">
        <v>61</v>
      </c>
      <c r="AO1090" t="s">
        <v>61</v>
      </c>
      <c r="AP1090" t="s">
        <v>69</v>
      </c>
      <c r="AQ1090" t="s">
        <v>65</v>
      </c>
      <c r="AR1090" t="s">
        <v>70</v>
      </c>
      <c r="AS1090" t="s">
        <v>105</v>
      </c>
      <c r="AT1090" t="s">
        <v>71</v>
      </c>
      <c r="AU1090">
        <v>0</v>
      </c>
      <c r="AV1090">
        <v>0</v>
      </c>
    </row>
    <row r="1091" spans="1:48" x14ac:dyDescent="0.25">
      <c r="A1091" t="s">
        <v>3842</v>
      </c>
      <c r="B1091" t="s">
        <v>105</v>
      </c>
      <c r="C1091" t="s">
        <v>50</v>
      </c>
      <c r="D1091">
        <v>440398.2501</v>
      </c>
      <c r="E1091">
        <v>1827729.7609000001</v>
      </c>
      <c r="F1091">
        <v>30.634</v>
      </c>
      <c r="G1091" t="s">
        <v>3843</v>
      </c>
      <c r="H1091" t="s">
        <v>52</v>
      </c>
      <c r="I1091">
        <v>30.634</v>
      </c>
      <c r="J1091" t="s">
        <v>53</v>
      </c>
      <c r="K1091">
        <v>0</v>
      </c>
      <c r="L1091" t="s">
        <v>107</v>
      </c>
      <c r="M1091" t="s">
        <v>424</v>
      </c>
      <c r="N1091">
        <v>0.2248</v>
      </c>
      <c r="O1091" t="s">
        <v>56</v>
      </c>
      <c r="P1091" t="s">
        <v>57</v>
      </c>
      <c r="Q1091" t="s">
        <v>59</v>
      </c>
      <c r="R1091" t="s">
        <v>109</v>
      </c>
      <c r="S1091" t="s">
        <v>3844</v>
      </c>
      <c r="T1091" t="s">
        <v>61</v>
      </c>
      <c r="U1091">
        <v>1.6242000000000001</v>
      </c>
      <c r="V1091" t="s">
        <v>1033</v>
      </c>
      <c r="W1091">
        <v>0</v>
      </c>
      <c r="X1091">
        <v>29.01</v>
      </c>
      <c r="Y1091" t="s">
        <v>63</v>
      </c>
      <c r="Z1091" t="s">
        <v>64</v>
      </c>
      <c r="AC1091" t="s">
        <v>65</v>
      </c>
      <c r="AD1091" t="s">
        <v>61</v>
      </c>
      <c r="AE1091" t="s">
        <v>64</v>
      </c>
      <c r="AF1091" t="s">
        <v>111</v>
      </c>
      <c r="AG1091" t="s">
        <v>65</v>
      </c>
      <c r="AH1091" t="s">
        <v>65</v>
      </c>
      <c r="AI1091" t="s">
        <v>67</v>
      </c>
      <c r="AK1091" t="s">
        <v>66</v>
      </c>
      <c r="AL1091" t="s">
        <v>63</v>
      </c>
      <c r="AM1091" t="s">
        <v>63</v>
      </c>
      <c r="AN1091" t="s">
        <v>61</v>
      </c>
      <c r="AO1091" t="s">
        <v>61</v>
      </c>
      <c r="AP1091" t="s">
        <v>69</v>
      </c>
      <c r="AQ1091" t="s">
        <v>65</v>
      </c>
      <c r="AR1091" t="s">
        <v>70</v>
      </c>
      <c r="AS1091" t="s">
        <v>105</v>
      </c>
      <c r="AT1091" t="s">
        <v>71</v>
      </c>
      <c r="AU1091">
        <v>0</v>
      </c>
      <c r="AV1091">
        <v>0</v>
      </c>
    </row>
    <row r="1092" spans="1:48" x14ac:dyDescent="0.25">
      <c r="A1092" t="s">
        <v>3845</v>
      </c>
      <c r="B1092" t="s">
        <v>105</v>
      </c>
      <c r="C1092" t="s">
        <v>50</v>
      </c>
      <c r="D1092">
        <v>440398.2501</v>
      </c>
      <c r="E1092">
        <v>1827709.7609000001</v>
      </c>
      <c r="F1092">
        <v>30.402999999999999</v>
      </c>
      <c r="G1092" t="s">
        <v>3846</v>
      </c>
      <c r="H1092" t="s">
        <v>52</v>
      </c>
      <c r="I1092">
        <v>30.402999999999999</v>
      </c>
      <c r="J1092" t="s">
        <v>53</v>
      </c>
      <c r="K1092">
        <v>0</v>
      </c>
      <c r="L1092" t="s">
        <v>107</v>
      </c>
      <c r="M1092" t="s">
        <v>420</v>
      </c>
      <c r="N1092">
        <v>0.2248</v>
      </c>
      <c r="O1092" t="s">
        <v>56</v>
      </c>
      <c r="P1092" t="s">
        <v>57</v>
      </c>
      <c r="Q1092" t="s">
        <v>59</v>
      </c>
      <c r="R1092" t="s">
        <v>109</v>
      </c>
      <c r="S1092" t="s">
        <v>3847</v>
      </c>
      <c r="T1092" t="s">
        <v>61</v>
      </c>
      <c r="U1092">
        <v>1.643</v>
      </c>
      <c r="V1092" t="s">
        <v>1033</v>
      </c>
      <c r="W1092">
        <v>0</v>
      </c>
      <c r="X1092">
        <v>28.76</v>
      </c>
      <c r="Y1092" t="s">
        <v>63</v>
      </c>
      <c r="Z1092" t="s">
        <v>64</v>
      </c>
      <c r="AC1092" t="s">
        <v>65</v>
      </c>
      <c r="AD1092" t="s">
        <v>61</v>
      </c>
      <c r="AE1092" t="s">
        <v>64</v>
      </c>
      <c r="AF1092" t="s">
        <v>111</v>
      </c>
      <c r="AG1092" t="s">
        <v>65</v>
      </c>
      <c r="AH1092" t="s">
        <v>65</v>
      </c>
      <c r="AI1092" t="s">
        <v>67</v>
      </c>
      <c r="AK1092" t="s">
        <v>66</v>
      </c>
      <c r="AL1092" t="s">
        <v>63</v>
      </c>
      <c r="AM1092" t="s">
        <v>63</v>
      </c>
      <c r="AN1092" t="s">
        <v>61</v>
      </c>
      <c r="AO1092" t="s">
        <v>61</v>
      </c>
      <c r="AP1092" t="s">
        <v>69</v>
      </c>
      <c r="AQ1092" t="s">
        <v>65</v>
      </c>
      <c r="AR1092" t="s">
        <v>70</v>
      </c>
      <c r="AS1092" t="s">
        <v>105</v>
      </c>
      <c r="AT1092" t="s">
        <v>71</v>
      </c>
      <c r="AU1092">
        <v>0</v>
      </c>
      <c r="AV1092">
        <v>0</v>
      </c>
    </row>
    <row r="1093" spans="1:48" x14ac:dyDescent="0.25">
      <c r="A1093" t="s">
        <v>3848</v>
      </c>
      <c r="B1093" t="s">
        <v>125</v>
      </c>
      <c r="C1093" t="s">
        <v>50</v>
      </c>
      <c r="D1093">
        <v>440398.13890000002</v>
      </c>
      <c r="E1093">
        <v>1827703.5645000001</v>
      </c>
      <c r="F1093">
        <v>30.206</v>
      </c>
      <c r="G1093" t="s">
        <v>3849</v>
      </c>
      <c r="H1093" t="s">
        <v>52</v>
      </c>
      <c r="I1093">
        <v>30.206</v>
      </c>
      <c r="J1093" t="s">
        <v>53</v>
      </c>
      <c r="K1093">
        <v>0</v>
      </c>
      <c r="L1093" t="s">
        <v>1056</v>
      </c>
      <c r="M1093" t="s">
        <v>3850</v>
      </c>
      <c r="N1093">
        <v>-0.15</v>
      </c>
      <c r="O1093" t="s">
        <v>56</v>
      </c>
      <c r="P1093" t="s">
        <v>57</v>
      </c>
      <c r="Q1093" t="s">
        <v>109</v>
      </c>
      <c r="R1093" t="s">
        <v>59</v>
      </c>
      <c r="S1093" t="s">
        <v>3851</v>
      </c>
      <c r="T1093" t="s">
        <v>61</v>
      </c>
      <c r="U1093">
        <v>1.6262000000000001</v>
      </c>
      <c r="V1093" t="s">
        <v>1033</v>
      </c>
      <c r="W1093">
        <v>0</v>
      </c>
      <c r="X1093">
        <v>28.58</v>
      </c>
      <c r="Y1093" t="s">
        <v>63</v>
      </c>
      <c r="Z1093" t="s">
        <v>64</v>
      </c>
      <c r="AC1093" t="s">
        <v>65</v>
      </c>
      <c r="AD1093" t="s">
        <v>61</v>
      </c>
      <c r="AE1093" t="s">
        <v>64</v>
      </c>
      <c r="AF1093" t="s">
        <v>66</v>
      </c>
      <c r="AG1093" t="s">
        <v>65</v>
      </c>
      <c r="AH1093" t="s">
        <v>65</v>
      </c>
      <c r="AI1093" t="s">
        <v>67</v>
      </c>
      <c r="AK1093" t="s">
        <v>111</v>
      </c>
      <c r="AL1093" t="s">
        <v>63</v>
      </c>
      <c r="AM1093" t="s">
        <v>63</v>
      </c>
      <c r="AN1093" t="s">
        <v>61</v>
      </c>
      <c r="AO1093" t="s">
        <v>61</v>
      </c>
      <c r="AP1093" t="s">
        <v>69</v>
      </c>
      <c r="AQ1093" t="s">
        <v>65</v>
      </c>
      <c r="AR1093" t="s">
        <v>70</v>
      </c>
      <c r="AS1093" t="s">
        <v>125</v>
      </c>
      <c r="AT1093" t="s">
        <v>71</v>
      </c>
      <c r="AU1093">
        <v>0</v>
      </c>
      <c r="AV10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1433-0646-4AB8-A92D-198D4AB9C3A2}">
  <dimension ref="A1:AX1093"/>
  <sheetViews>
    <sheetView tabSelected="1" workbookViewId="0">
      <selection activeCell="C5" sqref="C5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3852</v>
      </c>
      <c r="B1" t="s">
        <v>1</v>
      </c>
      <c r="C1" t="s">
        <v>3853</v>
      </c>
      <c r="D1" t="s">
        <v>3854</v>
      </c>
      <c r="E1" t="s">
        <v>3855</v>
      </c>
      <c r="F1" t="s">
        <v>3856</v>
      </c>
      <c r="G1" t="s">
        <v>3857</v>
      </c>
      <c r="H1" t="s">
        <v>3858</v>
      </c>
      <c r="I1" t="s">
        <v>3859</v>
      </c>
      <c r="J1" t="s">
        <v>3860</v>
      </c>
      <c r="K1" t="s">
        <v>3861</v>
      </c>
      <c r="L1" t="s">
        <v>3862</v>
      </c>
      <c r="M1" t="s">
        <v>14</v>
      </c>
      <c r="N1" t="s">
        <v>15</v>
      </c>
      <c r="O1" t="s">
        <v>16</v>
      </c>
      <c r="P1" t="s">
        <v>3863</v>
      </c>
      <c r="Q1" t="s">
        <v>25</v>
      </c>
      <c r="R1" t="s">
        <v>11</v>
      </c>
      <c r="S1" t="s">
        <v>3864</v>
      </c>
      <c r="T1" t="s">
        <v>3865</v>
      </c>
      <c r="U1" t="s">
        <v>3866</v>
      </c>
      <c r="V1" t="s">
        <v>3867</v>
      </c>
      <c r="W1" t="s">
        <v>7</v>
      </c>
      <c r="X1" t="s">
        <v>3868</v>
      </c>
      <c r="Y1" t="s">
        <v>3869</v>
      </c>
      <c r="Z1" t="s">
        <v>3870</v>
      </c>
      <c r="AA1" t="s">
        <v>3871</v>
      </c>
      <c r="AB1" t="s">
        <v>3872</v>
      </c>
      <c r="AC1" t="s">
        <v>3873</v>
      </c>
      <c r="AD1" t="s">
        <v>3874</v>
      </c>
      <c r="AE1" t="s">
        <v>3875</v>
      </c>
      <c r="AF1" t="s">
        <v>3876</v>
      </c>
      <c r="AG1" t="s">
        <v>3877</v>
      </c>
      <c r="AH1" t="s">
        <v>3878</v>
      </c>
      <c r="AI1" t="s">
        <v>3879</v>
      </c>
      <c r="AJ1" t="s">
        <v>3880</v>
      </c>
      <c r="AK1" t="s">
        <v>3881</v>
      </c>
      <c r="AL1" t="s">
        <v>3882</v>
      </c>
      <c r="AM1" t="s">
        <v>3883</v>
      </c>
      <c r="AN1" t="s">
        <v>3884</v>
      </c>
      <c r="AO1" t="s">
        <v>3885</v>
      </c>
      <c r="AP1" t="s">
        <v>3886</v>
      </c>
      <c r="AQ1" t="s">
        <v>3887</v>
      </c>
      <c r="AR1" t="s">
        <v>3888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843</v>
      </c>
      <c r="B2" t="s">
        <v>3889</v>
      </c>
      <c r="C2" t="s">
        <v>3890</v>
      </c>
      <c r="D2">
        <v>29.33</v>
      </c>
      <c r="E2">
        <v>29.308</v>
      </c>
      <c r="F2" s="2">
        <v>1E-3</v>
      </c>
      <c r="G2" t="s">
        <v>842</v>
      </c>
      <c r="H2" t="s">
        <v>2601</v>
      </c>
      <c r="I2">
        <v>440387.91149999999</v>
      </c>
      <c r="J2">
        <v>1827884.9109</v>
      </c>
      <c r="K2">
        <v>440410.42509999999</v>
      </c>
      <c r="L2">
        <v>1827884.9109</v>
      </c>
      <c r="M2" t="s">
        <v>56</v>
      </c>
      <c r="N2" t="s">
        <v>57</v>
      </c>
      <c r="O2">
        <v>450</v>
      </c>
      <c r="P2" t="s">
        <v>3891</v>
      </c>
      <c r="Q2" t="s">
        <v>3892</v>
      </c>
      <c r="R2" t="s">
        <v>844</v>
      </c>
      <c r="S2" t="s">
        <v>845</v>
      </c>
      <c r="T2" t="s">
        <v>420</v>
      </c>
      <c r="U2">
        <v>-7.4999999999999997E-2</v>
      </c>
      <c r="V2">
        <v>-7.4999999999999997E-2</v>
      </c>
      <c r="W2" t="s">
        <v>52</v>
      </c>
      <c r="X2">
        <v>0.69969999999999999</v>
      </c>
      <c r="Y2">
        <v>0.99639999999999995</v>
      </c>
      <c r="Z2">
        <v>0.85050000000000003</v>
      </c>
      <c r="AA2">
        <v>0.99639999999999995</v>
      </c>
      <c r="AB2">
        <v>22.5136</v>
      </c>
      <c r="AC2">
        <v>22.5136</v>
      </c>
      <c r="AD2">
        <v>21.3142</v>
      </c>
      <c r="AE2">
        <v>21.3142</v>
      </c>
      <c r="AF2" t="s">
        <v>3893</v>
      </c>
      <c r="AG2" t="s">
        <v>3893</v>
      </c>
      <c r="AH2" t="s">
        <v>3894</v>
      </c>
      <c r="AI2" t="s">
        <v>3894</v>
      </c>
      <c r="AJ2" t="s">
        <v>3895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3896</v>
      </c>
      <c r="AT2" t="s">
        <v>3890</v>
      </c>
      <c r="AU2" t="s">
        <v>3897</v>
      </c>
      <c r="AV2" t="s">
        <v>3898</v>
      </c>
      <c r="AW2">
        <v>2</v>
      </c>
      <c r="AX2">
        <v>0</v>
      </c>
    </row>
    <row r="3" spans="1:50" x14ac:dyDescent="0.25">
      <c r="A3" t="s">
        <v>835</v>
      </c>
      <c r="B3" t="s">
        <v>3889</v>
      </c>
      <c r="C3" t="s">
        <v>3890</v>
      </c>
      <c r="D3">
        <v>29.33</v>
      </c>
      <c r="E3">
        <v>29.134</v>
      </c>
      <c r="F3" s="2">
        <v>8.9999999999999993E-3</v>
      </c>
      <c r="G3" t="s">
        <v>834</v>
      </c>
      <c r="H3" t="s">
        <v>2658</v>
      </c>
      <c r="I3">
        <v>440388.57520000002</v>
      </c>
      <c r="J3">
        <v>1827894.6109</v>
      </c>
      <c r="K3">
        <v>440410.42509999999</v>
      </c>
      <c r="L3">
        <v>1827894.6109</v>
      </c>
      <c r="M3" t="s">
        <v>56</v>
      </c>
      <c r="N3" t="s">
        <v>57</v>
      </c>
      <c r="O3">
        <v>450</v>
      </c>
      <c r="P3" t="s">
        <v>3891</v>
      </c>
      <c r="Q3" t="s">
        <v>3892</v>
      </c>
      <c r="R3" t="s">
        <v>260</v>
      </c>
      <c r="S3" t="s">
        <v>836</v>
      </c>
      <c r="T3" s="1" t="s">
        <v>420</v>
      </c>
      <c r="U3">
        <v>0.14940000000000001</v>
      </c>
      <c r="V3">
        <v>0.13600000000000001</v>
      </c>
      <c r="W3" t="s">
        <v>52</v>
      </c>
      <c r="X3">
        <v>0.90680000000000005</v>
      </c>
      <c r="Y3">
        <v>1.1704000000000001</v>
      </c>
      <c r="Z3">
        <v>0.91059999999999997</v>
      </c>
      <c r="AA3">
        <v>1.1704000000000001</v>
      </c>
      <c r="AB3">
        <v>21.849900000000002</v>
      </c>
      <c r="AC3">
        <v>21.8508</v>
      </c>
      <c r="AD3">
        <v>20.656199999999998</v>
      </c>
      <c r="AE3">
        <v>20.657</v>
      </c>
      <c r="AF3" t="s">
        <v>3899</v>
      </c>
      <c r="AG3" t="s">
        <v>3899</v>
      </c>
      <c r="AH3" t="s">
        <v>3894</v>
      </c>
      <c r="AI3" t="s">
        <v>3894</v>
      </c>
      <c r="AJ3" t="s">
        <v>3895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3896</v>
      </c>
      <c r="AT3" t="s">
        <v>3890</v>
      </c>
      <c r="AU3" t="s">
        <v>3897</v>
      </c>
      <c r="AV3" t="s">
        <v>3898</v>
      </c>
      <c r="AW3">
        <v>2</v>
      </c>
      <c r="AX3">
        <v>0</v>
      </c>
    </row>
    <row r="4" spans="1:50" x14ac:dyDescent="0.25">
      <c r="A4" t="s">
        <v>3900</v>
      </c>
      <c r="B4" t="s">
        <v>3889</v>
      </c>
      <c r="C4" t="s">
        <v>3890</v>
      </c>
      <c r="D4">
        <v>28.524000000000001</v>
      </c>
      <c r="E4">
        <v>28.449000000000002</v>
      </c>
      <c r="F4" s="2">
        <v>3.7000000000000002E-3</v>
      </c>
      <c r="G4" t="s">
        <v>2645</v>
      </c>
      <c r="H4" t="s">
        <v>2799</v>
      </c>
      <c r="I4">
        <v>440595.27510000003</v>
      </c>
      <c r="J4">
        <v>1827842.6984000001</v>
      </c>
      <c r="K4">
        <v>440595.27510000003</v>
      </c>
      <c r="L4">
        <v>1827822.6984000001</v>
      </c>
      <c r="M4" t="s">
        <v>56</v>
      </c>
      <c r="N4" t="s">
        <v>57</v>
      </c>
      <c r="O4">
        <v>450</v>
      </c>
      <c r="P4" t="s">
        <v>3891</v>
      </c>
      <c r="Q4" t="s">
        <v>3892</v>
      </c>
      <c r="R4" t="s">
        <v>251</v>
      </c>
      <c r="S4" t="s">
        <v>416</v>
      </c>
      <c r="T4" s="1" t="s">
        <v>529</v>
      </c>
      <c r="U4">
        <v>-0.27500000000000002</v>
      </c>
      <c r="V4">
        <v>-0.27500000000000002</v>
      </c>
      <c r="W4" t="s">
        <v>52</v>
      </c>
      <c r="X4">
        <v>0.99180000000000001</v>
      </c>
      <c r="Y4">
        <v>1.0932999999999999</v>
      </c>
      <c r="Z4">
        <v>0.99180000000000001</v>
      </c>
      <c r="AA4">
        <v>1.0932999999999999</v>
      </c>
      <c r="AB4">
        <v>20</v>
      </c>
      <c r="AC4">
        <v>20.0001</v>
      </c>
      <c r="AD4">
        <v>18.802600000000002</v>
      </c>
      <c r="AE4">
        <v>18.802800000000001</v>
      </c>
      <c r="AF4" t="s">
        <v>2233</v>
      </c>
      <c r="AG4" t="s">
        <v>2233</v>
      </c>
      <c r="AH4" t="s">
        <v>3894</v>
      </c>
      <c r="AI4" t="s">
        <v>3894</v>
      </c>
      <c r="AJ4" t="s">
        <v>3895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3896</v>
      </c>
      <c r="AT4" t="s">
        <v>3890</v>
      </c>
      <c r="AU4" t="s">
        <v>3897</v>
      </c>
      <c r="AV4" t="s">
        <v>3898</v>
      </c>
      <c r="AW4">
        <v>2</v>
      </c>
      <c r="AX4">
        <v>0</v>
      </c>
    </row>
    <row r="5" spans="1:50" x14ac:dyDescent="0.25">
      <c r="A5" t="s">
        <v>3901</v>
      </c>
      <c r="B5" t="s">
        <v>3889</v>
      </c>
      <c r="C5" t="s">
        <v>3890</v>
      </c>
      <c r="D5">
        <v>28.524000000000001</v>
      </c>
      <c r="E5">
        <v>28.495999999999999</v>
      </c>
      <c r="F5" s="2">
        <v>1.4E-3</v>
      </c>
      <c r="G5" t="s">
        <v>2634</v>
      </c>
      <c r="H5" t="s">
        <v>2786</v>
      </c>
      <c r="I5">
        <v>440585.57510000002</v>
      </c>
      <c r="J5">
        <v>1827842.6984000001</v>
      </c>
      <c r="K5">
        <v>440585.57510000002</v>
      </c>
      <c r="L5">
        <v>1827822.6984000001</v>
      </c>
      <c r="M5" t="s">
        <v>56</v>
      </c>
      <c r="N5" t="s">
        <v>57</v>
      </c>
      <c r="O5">
        <v>450</v>
      </c>
      <c r="P5" t="s">
        <v>3891</v>
      </c>
      <c r="Q5" t="s">
        <v>3892</v>
      </c>
      <c r="R5" t="s">
        <v>2481</v>
      </c>
      <c r="S5" t="s">
        <v>416</v>
      </c>
      <c r="T5" t="s">
        <v>529</v>
      </c>
      <c r="U5">
        <v>0</v>
      </c>
      <c r="V5">
        <v>0</v>
      </c>
      <c r="W5" t="s">
        <v>52</v>
      </c>
      <c r="X5">
        <v>0.99180000000000001</v>
      </c>
      <c r="Y5">
        <v>1.0463</v>
      </c>
      <c r="Z5">
        <v>0.99180000000000001</v>
      </c>
      <c r="AA5">
        <v>1.0463</v>
      </c>
      <c r="AB5">
        <v>20</v>
      </c>
      <c r="AC5">
        <v>20</v>
      </c>
      <c r="AD5">
        <v>18.800999999999998</v>
      </c>
      <c r="AE5">
        <v>18.800999999999998</v>
      </c>
      <c r="AF5" t="s">
        <v>2233</v>
      </c>
      <c r="AG5" t="s">
        <v>2233</v>
      </c>
      <c r="AH5" t="s">
        <v>3894</v>
      </c>
      <c r="AI5" t="s">
        <v>3894</v>
      </c>
      <c r="AJ5" t="s">
        <v>3895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3896</v>
      </c>
      <c r="AT5" t="s">
        <v>3890</v>
      </c>
      <c r="AU5" t="s">
        <v>3897</v>
      </c>
      <c r="AV5" t="s">
        <v>3898</v>
      </c>
      <c r="AW5">
        <v>2</v>
      </c>
      <c r="AX5">
        <v>0</v>
      </c>
    </row>
    <row r="6" spans="1:50" x14ac:dyDescent="0.25">
      <c r="A6" t="s">
        <v>3902</v>
      </c>
      <c r="B6" t="s">
        <v>3889</v>
      </c>
      <c r="C6" t="s">
        <v>3890</v>
      </c>
      <c r="D6">
        <v>28.7</v>
      </c>
      <c r="E6">
        <v>28.670999999999999</v>
      </c>
      <c r="F6" s="2">
        <v>1.2999999999999999E-3</v>
      </c>
      <c r="G6" t="s">
        <v>2766</v>
      </c>
      <c r="H6" t="s">
        <v>2581</v>
      </c>
      <c r="I6">
        <v>440529.67509999999</v>
      </c>
      <c r="J6">
        <v>1827827.2064</v>
      </c>
      <c r="K6">
        <v>440529.67509999999</v>
      </c>
      <c r="L6">
        <v>1827849.7609000001</v>
      </c>
      <c r="M6" t="s">
        <v>56</v>
      </c>
      <c r="N6" t="s">
        <v>57</v>
      </c>
      <c r="O6">
        <v>450</v>
      </c>
      <c r="P6" t="s">
        <v>3891</v>
      </c>
      <c r="Q6" t="s">
        <v>3892</v>
      </c>
      <c r="R6" t="s">
        <v>2583</v>
      </c>
      <c r="S6" t="s">
        <v>2768</v>
      </c>
      <c r="T6" t="s">
        <v>448</v>
      </c>
      <c r="U6">
        <v>0</v>
      </c>
      <c r="V6">
        <v>0</v>
      </c>
      <c r="W6" t="s">
        <v>52</v>
      </c>
      <c r="X6">
        <v>1.2544999999999999</v>
      </c>
      <c r="Y6">
        <v>1.4725999999999999</v>
      </c>
      <c r="Z6">
        <v>1.2544999999999999</v>
      </c>
      <c r="AA6">
        <v>1.4725999999999999</v>
      </c>
      <c r="AB6">
        <v>22.863199999999999</v>
      </c>
      <c r="AC6">
        <v>22.863199999999999</v>
      </c>
      <c r="AD6">
        <v>21.664100000000001</v>
      </c>
      <c r="AE6">
        <v>21.664100000000001</v>
      </c>
      <c r="AF6" t="s">
        <v>67</v>
      </c>
      <c r="AG6" t="s">
        <v>67</v>
      </c>
      <c r="AH6" t="s">
        <v>3894</v>
      </c>
      <c r="AI6" t="s">
        <v>3894</v>
      </c>
      <c r="AJ6" t="s">
        <v>3895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3896</v>
      </c>
      <c r="AT6" t="s">
        <v>3890</v>
      </c>
      <c r="AU6" t="s">
        <v>3897</v>
      </c>
      <c r="AV6" t="s">
        <v>3898</v>
      </c>
      <c r="AW6">
        <v>2</v>
      </c>
      <c r="AX6">
        <v>0</v>
      </c>
    </row>
    <row r="7" spans="1:50" x14ac:dyDescent="0.25">
      <c r="A7" t="s">
        <v>3903</v>
      </c>
      <c r="B7" t="s">
        <v>3889</v>
      </c>
      <c r="C7" t="s">
        <v>3890</v>
      </c>
      <c r="D7">
        <v>28.7</v>
      </c>
      <c r="E7">
        <v>28.670999999999999</v>
      </c>
      <c r="F7" s="2">
        <v>1.2999999999999999E-3</v>
      </c>
      <c r="G7" t="s">
        <v>2752</v>
      </c>
      <c r="H7" t="s">
        <v>2589</v>
      </c>
      <c r="I7">
        <v>440519.97509999998</v>
      </c>
      <c r="J7">
        <v>1827827.1483</v>
      </c>
      <c r="K7">
        <v>440519.97509999998</v>
      </c>
      <c r="L7">
        <v>1827850.0316000001</v>
      </c>
      <c r="M7" t="s">
        <v>56</v>
      </c>
      <c r="N7" t="s">
        <v>57</v>
      </c>
      <c r="O7">
        <v>450</v>
      </c>
      <c r="P7" t="s">
        <v>3891</v>
      </c>
      <c r="Q7" t="s">
        <v>3892</v>
      </c>
      <c r="R7" t="s">
        <v>2591</v>
      </c>
      <c r="S7" s="1" t="s">
        <v>2754</v>
      </c>
      <c r="T7" s="1" t="s">
        <v>2592</v>
      </c>
      <c r="U7">
        <v>-9.8000000000000004E-2</v>
      </c>
      <c r="V7">
        <v>-9.8000000000000004E-2</v>
      </c>
      <c r="W7" t="s">
        <v>52</v>
      </c>
      <c r="X7">
        <v>1.2541</v>
      </c>
      <c r="Y7">
        <v>1.4749000000000001</v>
      </c>
      <c r="Z7">
        <v>1.2541</v>
      </c>
      <c r="AA7">
        <v>1.4749000000000001</v>
      </c>
      <c r="AB7">
        <v>22.883199999999999</v>
      </c>
      <c r="AC7">
        <v>22.883299999999998</v>
      </c>
      <c r="AD7">
        <v>21.684100000000001</v>
      </c>
      <c r="AE7">
        <v>21.684100000000001</v>
      </c>
      <c r="AF7" t="s">
        <v>67</v>
      </c>
      <c r="AG7" t="s">
        <v>67</v>
      </c>
      <c r="AH7" t="s">
        <v>3894</v>
      </c>
      <c r="AI7" t="s">
        <v>3894</v>
      </c>
      <c r="AJ7" t="s">
        <v>3895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3896</v>
      </c>
      <c r="AT7" t="s">
        <v>3890</v>
      </c>
      <c r="AU7" t="s">
        <v>3897</v>
      </c>
      <c r="AV7" t="s">
        <v>3898</v>
      </c>
      <c r="AW7">
        <v>2</v>
      </c>
      <c r="AX7">
        <v>0</v>
      </c>
    </row>
    <row r="8" spans="1:50" x14ac:dyDescent="0.25">
      <c r="A8" t="s">
        <v>3904</v>
      </c>
      <c r="B8" t="s">
        <v>3889</v>
      </c>
      <c r="C8" t="s">
        <v>3890</v>
      </c>
      <c r="D8">
        <v>29.16</v>
      </c>
      <c r="E8">
        <v>29.023</v>
      </c>
      <c r="F8" s="2">
        <v>6.8999999999999999E-3</v>
      </c>
      <c r="G8" t="s">
        <v>2596</v>
      </c>
      <c r="H8" t="s">
        <v>2736</v>
      </c>
      <c r="I8">
        <v>440464.07510000002</v>
      </c>
      <c r="J8">
        <v>1827842.6987000001</v>
      </c>
      <c r="K8">
        <v>440464.07510000002</v>
      </c>
      <c r="L8">
        <v>1827822.6987000001</v>
      </c>
      <c r="M8" t="s">
        <v>56</v>
      </c>
      <c r="N8" t="s">
        <v>57</v>
      </c>
      <c r="O8">
        <v>450</v>
      </c>
      <c r="P8" t="s">
        <v>3891</v>
      </c>
      <c r="Q8" t="s">
        <v>3892</v>
      </c>
      <c r="R8" t="s">
        <v>210</v>
      </c>
      <c r="S8" t="s">
        <v>416</v>
      </c>
      <c r="T8" t="s">
        <v>529</v>
      </c>
      <c r="U8">
        <v>0</v>
      </c>
      <c r="V8">
        <v>0</v>
      </c>
      <c r="W8" t="s">
        <v>52</v>
      </c>
      <c r="X8">
        <v>0.98970000000000002</v>
      </c>
      <c r="Y8">
        <v>0.99250000000000005</v>
      </c>
      <c r="Z8">
        <v>0.99250000000000005</v>
      </c>
      <c r="AA8">
        <v>0.99229999999999996</v>
      </c>
      <c r="AB8">
        <v>20</v>
      </c>
      <c r="AC8">
        <v>20.000499999999999</v>
      </c>
      <c r="AD8">
        <v>18.8048</v>
      </c>
      <c r="AE8">
        <v>18.805199999999999</v>
      </c>
      <c r="AF8" t="s">
        <v>3905</v>
      </c>
      <c r="AG8" t="s">
        <v>3905</v>
      </c>
      <c r="AH8" t="s">
        <v>3894</v>
      </c>
      <c r="AI8" t="s">
        <v>3894</v>
      </c>
      <c r="AJ8" t="s">
        <v>3895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3896</v>
      </c>
      <c r="AT8" t="s">
        <v>3890</v>
      </c>
      <c r="AU8" t="s">
        <v>3897</v>
      </c>
      <c r="AV8" t="s">
        <v>3898</v>
      </c>
      <c r="AW8">
        <v>2</v>
      </c>
      <c r="AX8">
        <v>0</v>
      </c>
    </row>
    <row r="9" spans="1:50" x14ac:dyDescent="0.25">
      <c r="A9" t="s">
        <v>3906</v>
      </c>
      <c r="B9" t="s">
        <v>3889</v>
      </c>
      <c r="C9" t="s">
        <v>3890</v>
      </c>
      <c r="D9">
        <v>29.16</v>
      </c>
      <c r="E9">
        <v>29.023</v>
      </c>
      <c r="F9" s="2">
        <v>6.8999999999999999E-3</v>
      </c>
      <c r="G9" t="s">
        <v>2599</v>
      </c>
      <c r="H9" t="s">
        <v>2700</v>
      </c>
      <c r="I9">
        <v>440454.3751</v>
      </c>
      <c r="J9">
        <v>1827842.6987000001</v>
      </c>
      <c r="K9">
        <v>440454.3751</v>
      </c>
      <c r="L9">
        <v>1827822.6987000001</v>
      </c>
      <c r="M9" t="s">
        <v>56</v>
      </c>
      <c r="N9" t="s">
        <v>57</v>
      </c>
      <c r="O9">
        <v>450</v>
      </c>
      <c r="P9" t="s">
        <v>3891</v>
      </c>
      <c r="Q9" t="s">
        <v>3892</v>
      </c>
      <c r="R9" t="s">
        <v>232</v>
      </c>
      <c r="S9" t="s">
        <v>416</v>
      </c>
      <c r="T9" t="s">
        <v>529</v>
      </c>
      <c r="U9">
        <v>0.1784</v>
      </c>
      <c r="V9">
        <v>0.1784</v>
      </c>
      <c r="W9" t="s">
        <v>52</v>
      </c>
      <c r="X9">
        <v>0.98970000000000002</v>
      </c>
      <c r="Y9">
        <v>0.99250000000000005</v>
      </c>
      <c r="Z9">
        <v>0.99250000000000005</v>
      </c>
      <c r="AA9">
        <v>0.99229999999999996</v>
      </c>
      <c r="AB9">
        <v>20</v>
      </c>
      <c r="AC9">
        <v>20.000499999999999</v>
      </c>
      <c r="AD9">
        <v>18.8048</v>
      </c>
      <c r="AE9">
        <v>18.805199999999999</v>
      </c>
      <c r="AF9" t="s">
        <v>3905</v>
      </c>
      <c r="AG9" t="s">
        <v>3905</v>
      </c>
      <c r="AH9" t="s">
        <v>3894</v>
      </c>
      <c r="AI9" t="s">
        <v>3894</v>
      </c>
      <c r="AJ9" t="s">
        <v>3895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3896</v>
      </c>
      <c r="AT9" t="s">
        <v>3890</v>
      </c>
      <c r="AU9" t="s">
        <v>3897</v>
      </c>
      <c r="AV9" t="s">
        <v>3898</v>
      </c>
      <c r="AW9">
        <v>2</v>
      </c>
      <c r="AX9">
        <v>0</v>
      </c>
    </row>
    <row r="10" spans="1:50" x14ac:dyDescent="0.25">
      <c r="A10" t="s">
        <v>3907</v>
      </c>
      <c r="B10" t="s">
        <v>3889</v>
      </c>
      <c r="C10" t="s">
        <v>3890</v>
      </c>
      <c r="D10">
        <v>27.905000000000001</v>
      </c>
      <c r="E10">
        <v>27.847999999999999</v>
      </c>
      <c r="F10" s="2">
        <v>2.8999999999999998E-3</v>
      </c>
      <c r="G10" t="s">
        <v>2812</v>
      </c>
      <c r="H10" t="s">
        <v>3806</v>
      </c>
      <c r="I10">
        <v>440595.27510000003</v>
      </c>
      <c r="J10">
        <v>1827638.2394999999</v>
      </c>
      <c r="K10">
        <v>440595.27510000003</v>
      </c>
      <c r="L10">
        <v>1827618.2394999999</v>
      </c>
      <c r="M10" t="s">
        <v>56</v>
      </c>
      <c r="N10" t="s">
        <v>57</v>
      </c>
      <c r="O10">
        <v>450</v>
      </c>
      <c r="P10" t="s">
        <v>3891</v>
      </c>
      <c r="Q10" t="s">
        <v>3892</v>
      </c>
      <c r="R10" t="s">
        <v>797</v>
      </c>
      <c r="S10" t="s">
        <v>444</v>
      </c>
      <c r="T10" t="s">
        <v>440</v>
      </c>
      <c r="U10">
        <v>3.3099999999999997E-2</v>
      </c>
      <c r="V10">
        <v>3.3099999999999997E-2</v>
      </c>
      <c r="W10" t="s">
        <v>52</v>
      </c>
      <c r="X10">
        <v>0.99229999999999996</v>
      </c>
      <c r="Y10">
        <v>0.99939999999999996</v>
      </c>
      <c r="Z10">
        <v>0.99229999999999996</v>
      </c>
      <c r="AA10">
        <v>0.99939999999999996</v>
      </c>
      <c r="AB10">
        <v>20</v>
      </c>
      <c r="AC10">
        <v>20.0001</v>
      </c>
      <c r="AD10">
        <v>18.802</v>
      </c>
      <c r="AE10">
        <v>18.802099999999999</v>
      </c>
      <c r="AF10" t="s">
        <v>3905</v>
      </c>
      <c r="AG10" t="s">
        <v>3905</v>
      </c>
      <c r="AH10" t="s">
        <v>3894</v>
      </c>
      <c r="AI10" t="s">
        <v>3894</v>
      </c>
      <c r="AJ10" t="s">
        <v>3895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3896</v>
      </c>
      <c r="AT10" t="s">
        <v>3890</v>
      </c>
      <c r="AU10" t="s">
        <v>3897</v>
      </c>
      <c r="AV10" t="s">
        <v>3898</v>
      </c>
      <c r="AW10">
        <v>2</v>
      </c>
      <c r="AX10">
        <v>0</v>
      </c>
    </row>
    <row r="11" spans="1:50" x14ac:dyDescent="0.25">
      <c r="A11" t="s">
        <v>3908</v>
      </c>
      <c r="B11" t="s">
        <v>3889</v>
      </c>
      <c r="C11" t="s">
        <v>3890</v>
      </c>
      <c r="D11">
        <v>27.91</v>
      </c>
      <c r="E11">
        <v>27.855</v>
      </c>
      <c r="F11" s="2">
        <v>2.5999999999999999E-3</v>
      </c>
      <c r="G11" t="s">
        <v>2821</v>
      </c>
      <c r="H11" t="s">
        <v>3791</v>
      </c>
      <c r="I11">
        <v>440585.57510000002</v>
      </c>
      <c r="J11">
        <v>1827639.1794</v>
      </c>
      <c r="K11">
        <v>440585.57510000002</v>
      </c>
      <c r="L11">
        <v>1827618.2394999999</v>
      </c>
      <c r="M11" t="s">
        <v>56</v>
      </c>
      <c r="N11" t="s">
        <v>57</v>
      </c>
      <c r="O11">
        <v>450</v>
      </c>
      <c r="P11" t="s">
        <v>3891</v>
      </c>
      <c r="Q11" t="s">
        <v>3892</v>
      </c>
      <c r="R11" t="s">
        <v>357</v>
      </c>
      <c r="S11" t="s">
        <v>2823</v>
      </c>
      <c r="T11" t="s">
        <v>440</v>
      </c>
      <c r="U11">
        <v>-5.1499999999999997E-2</v>
      </c>
      <c r="V11">
        <v>-3.9899999999999998E-2</v>
      </c>
      <c r="W11" t="s">
        <v>52</v>
      </c>
      <c r="X11">
        <v>0.98970000000000002</v>
      </c>
      <c r="Y11">
        <v>0.99239999999999995</v>
      </c>
      <c r="Z11">
        <v>0.98970000000000002</v>
      </c>
      <c r="AA11">
        <v>0.99239999999999995</v>
      </c>
      <c r="AB11">
        <v>20.939800000000002</v>
      </c>
      <c r="AC11">
        <v>20.939900000000002</v>
      </c>
      <c r="AD11">
        <v>19.741700000000002</v>
      </c>
      <c r="AE11">
        <v>19.741700000000002</v>
      </c>
      <c r="AF11" t="s">
        <v>3905</v>
      </c>
      <c r="AG11" t="s">
        <v>3905</v>
      </c>
      <c r="AH11" t="s">
        <v>3894</v>
      </c>
      <c r="AI11" t="s">
        <v>3894</v>
      </c>
      <c r="AJ11" t="s">
        <v>3895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3896</v>
      </c>
      <c r="AT11" t="s">
        <v>3890</v>
      </c>
      <c r="AU11" t="s">
        <v>3897</v>
      </c>
      <c r="AV11" t="s">
        <v>3898</v>
      </c>
      <c r="AW11">
        <v>2</v>
      </c>
      <c r="AX11">
        <v>0</v>
      </c>
    </row>
    <row r="12" spans="1:50" x14ac:dyDescent="0.25">
      <c r="A12" t="s">
        <v>3909</v>
      </c>
      <c r="B12" t="s">
        <v>3889</v>
      </c>
      <c r="C12" t="s">
        <v>3890</v>
      </c>
      <c r="D12">
        <v>28.439</v>
      </c>
      <c r="E12">
        <v>28.401</v>
      </c>
      <c r="F12" s="2">
        <v>1.9E-3</v>
      </c>
      <c r="G12" t="s">
        <v>3701</v>
      </c>
      <c r="H12" t="s">
        <v>2830</v>
      </c>
      <c r="I12">
        <v>440529.67509999999</v>
      </c>
      <c r="J12">
        <v>1827618.2394999999</v>
      </c>
      <c r="K12">
        <v>440529.67509999999</v>
      </c>
      <c r="L12">
        <v>1827638.1658000001</v>
      </c>
      <c r="M12" t="s">
        <v>56</v>
      </c>
      <c r="N12" t="s">
        <v>57</v>
      </c>
      <c r="O12">
        <v>450</v>
      </c>
      <c r="P12" t="s">
        <v>3891</v>
      </c>
      <c r="Q12" t="s">
        <v>3892</v>
      </c>
      <c r="R12" t="s">
        <v>186</v>
      </c>
      <c r="S12" t="s">
        <v>440</v>
      </c>
      <c r="T12" t="s">
        <v>2832</v>
      </c>
      <c r="U12">
        <v>0</v>
      </c>
      <c r="V12">
        <v>0</v>
      </c>
      <c r="W12" t="s">
        <v>52</v>
      </c>
      <c r="X12">
        <v>0.99009999999999998</v>
      </c>
      <c r="Y12">
        <v>0.99199999999999999</v>
      </c>
      <c r="Z12">
        <v>0.99199999999999999</v>
      </c>
      <c r="AA12">
        <v>0.99009999999999998</v>
      </c>
      <c r="AB12">
        <v>19.926300000000001</v>
      </c>
      <c r="AC12">
        <v>19.926300000000001</v>
      </c>
      <c r="AD12">
        <v>18.727599999999999</v>
      </c>
      <c r="AE12">
        <v>18.727699999999999</v>
      </c>
      <c r="AF12" t="s">
        <v>67</v>
      </c>
      <c r="AG12" t="s">
        <v>67</v>
      </c>
      <c r="AH12" t="s">
        <v>3894</v>
      </c>
      <c r="AI12" t="s">
        <v>3894</v>
      </c>
      <c r="AJ12" t="s">
        <v>3895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3896</v>
      </c>
      <c r="AT12" t="s">
        <v>3890</v>
      </c>
      <c r="AU12" t="s">
        <v>3897</v>
      </c>
      <c r="AV12" t="s">
        <v>3898</v>
      </c>
      <c r="AW12">
        <v>2</v>
      </c>
      <c r="AX12">
        <v>0</v>
      </c>
    </row>
    <row r="13" spans="1:50" x14ac:dyDescent="0.25">
      <c r="A13" t="s">
        <v>3910</v>
      </c>
      <c r="B13" t="s">
        <v>3889</v>
      </c>
      <c r="C13" t="s">
        <v>3890</v>
      </c>
      <c r="D13">
        <v>28.439</v>
      </c>
      <c r="E13">
        <v>28.396000000000001</v>
      </c>
      <c r="F13" s="2">
        <v>2.2000000000000001E-3</v>
      </c>
      <c r="G13" t="s">
        <v>3774</v>
      </c>
      <c r="H13" t="s">
        <v>2840</v>
      </c>
      <c r="I13">
        <v>440519.97509999998</v>
      </c>
      <c r="J13">
        <v>1827618.2394999999</v>
      </c>
      <c r="K13">
        <v>440519.97509999998</v>
      </c>
      <c r="L13">
        <v>1827637.8141000001</v>
      </c>
      <c r="M13" t="s">
        <v>56</v>
      </c>
      <c r="N13" t="s">
        <v>57</v>
      </c>
      <c r="O13">
        <v>450</v>
      </c>
      <c r="P13" t="s">
        <v>3891</v>
      </c>
      <c r="Q13" t="s">
        <v>3892</v>
      </c>
      <c r="R13" t="s">
        <v>191</v>
      </c>
      <c r="S13" t="s">
        <v>440</v>
      </c>
      <c r="T13" t="s">
        <v>2842</v>
      </c>
      <c r="U13">
        <v>-7.5999999999999998E-2</v>
      </c>
      <c r="V13">
        <v>-7.5999999999999998E-2</v>
      </c>
      <c r="W13" t="s">
        <v>52</v>
      </c>
      <c r="X13">
        <v>0.99199999999999999</v>
      </c>
      <c r="Y13">
        <v>0.99580000000000002</v>
      </c>
      <c r="Z13">
        <v>0.99199999999999999</v>
      </c>
      <c r="AA13">
        <v>0.99580000000000002</v>
      </c>
      <c r="AB13">
        <v>19.5746</v>
      </c>
      <c r="AC13">
        <v>19.5746</v>
      </c>
      <c r="AD13">
        <v>18.376100000000001</v>
      </c>
      <c r="AE13">
        <v>18.376200000000001</v>
      </c>
      <c r="AF13" t="s">
        <v>67</v>
      </c>
      <c r="AG13" t="s">
        <v>67</v>
      </c>
      <c r="AH13" t="s">
        <v>3894</v>
      </c>
      <c r="AI13" t="s">
        <v>3894</v>
      </c>
      <c r="AJ13" t="s">
        <v>3895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3896</v>
      </c>
      <c r="AT13" t="s">
        <v>3890</v>
      </c>
      <c r="AU13" t="s">
        <v>3897</v>
      </c>
      <c r="AV13" t="s">
        <v>3898</v>
      </c>
      <c r="AW13">
        <v>2</v>
      </c>
      <c r="AX13">
        <v>0</v>
      </c>
    </row>
    <row r="14" spans="1:50" x14ac:dyDescent="0.25">
      <c r="A14" t="s">
        <v>3911</v>
      </c>
      <c r="B14" t="s">
        <v>3889</v>
      </c>
      <c r="C14" t="s">
        <v>3890</v>
      </c>
      <c r="D14">
        <v>28.594999999999999</v>
      </c>
      <c r="E14">
        <v>28.545000000000002</v>
      </c>
      <c r="F14" s="2">
        <v>2.3999999999999998E-3</v>
      </c>
      <c r="G14" t="s">
        <v>3760</v>
      </c>
      <c r="H14" t="s">
        <v>2850</v>
      </c>
      <c r="I14">
        <v>440464.07510000002</v>
      </c>
      <c r="J14">
        <v>1827618.2394999999</v>
      </c>
      <c r="K14">
        <v>440464.07510000002</v>
      </c>
      <c r="L14">
        <v>1827638.781</v>
      </c>
      <c r="M14" t="s">
        <v>56</v>
      </c>
      <c r="N14" t="s">
        <v>57</v>
      </c>
      <c r="O14">
        <v>450</v>
      </c>
      <c r="P14" t="s">
        <v>3891</v>
      </c>
      <c r="Q14" t="s">
        <v>3892</v>
      </c>
      <c r="R14" t="s">
        <v>171</v>
      </c>
      <c r="S14" t="s">
        <v>440</v>
      </c>
      <c r="T14" s="1" t="s">
        <v>2852</v>
      </c>
      <c r="U14">
        <v>0</v>
      </c>
      <c r="V14">
        <v>0</v>
      </c>
      <c r="W14" t="s">
        <v>52</v>
      </c>
      <c r="X14">
        <v>0.99239999999999995</v>
      </c>
      <c r="Y14">
        <v>0.99690000000000001</v>
      </c>
      <c r="Z14">
        <v>0.99239999999999995</v>
      </c>
      <c r="AA14">
        <v>0.99690000000000001</v>
      </c>
      <c r="AB14">
        <v>20.541499999999999</v>
      </c>
      <c r="AC14">
        <v>20.541499999999999</v>
      </c>
      <c r="AD14">
        <v>19.3432</v>
      </c>
      <c r="AE14">
        <v>19.3432</v>
      </c>
      <c r="AF14" t="s">
        <v>67</v>
      </c>
      <c r="AG14" t="s">
        <v>67</v>
      </c>
      <c r="AH14" t="s">
        <v>3894</v>
      </c>
      <c r="AI14" t="s">
        <v>3894</v>
      </c>
      <c r="AJ14" t="s">
        <v>3895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3896</v>
      </c>
      <c r="AT14" t="s">
        <v>3890</v>
      </c>
      <c r="AU14" t="s">
        <v>3897</v>
      </c>
      <c r="AV14" t="s">
        <v>3898</v>
      </c>
      <c r="AW14">
        <v>2</v>
      </c>
      <c r="AX14">
        <v>0</v>
      </c>
    </row>
    <row r="15" spans="1:50" x14ac:dyDescent="0.25">
      <c r="A15" t="s">
        <v>3912</v>
      </c>
      <c r="B15" t="s">
        <v>3889</v>
      </c>
      <c r="C15" t="s">
        <v>3890</v>
      </c>
      <c r="D15">
        <v>28.594999999999999</v>
      </c>
      <c r="E15">
        <v>28.55</v>
      </c>
      <c r="F15" s="2">
        <v>2.3E-3</v>
      </c>
      <c r="G15" t="s">
        <v>3747</v>
      </c>
      <c r="H15" t="s">
        <v>2860</v>
      </c>
      <c r="I15">
        <v>440454.3751</v>
      </c>
      <c r="J15">
        <v>1827618.2394999999</v>
      </c>
      <c r="K15">
        <v>440454.3751</v>
      </c>
      <c r="L15">
        <v>1827637.5904999999</v>
      </c>
      <c r="M15" t="s">
        <v>56</v>
      </c>
      <c r="N15" t="s">
        <v>57</v>
      </c>
      <c r="O15">
        <v>450</v>
      </c>
      <c r="P15" t="s">
        <v>3891</v>
      </c>
      <c r="Q15" t="s">
        <v>3892</v>
      </c>
      <c r="R15" t="s">
        <v>166</v>
      </c>
      <c r="S15" t="s">
        <v>440</v>
      </c>
      <c r="T15" t="s">
        <v>2862</v>
      </c>
      <c r="U15">
        <v>-0.13489999999999999</v>
      </c>
      <c r="V15">
        <v>-0.13489999999999999</v>
      </c>
      <c r="W15" t="s">
        <v>52</v>
      </c>
      <c r="X15">
        <v>0.99239999999999995</v>
      </c>
      <c r="Y15">
        <v>0.99450000000000005</v>
      </c>
      <c r="Z15">
        <v>0.99239999999999995</v>
      </c>
      <c r="AA15">
        <v>0.99450000000000005</v>
      </c>
      <c r="AB15">
        <v>19.350999999999999</v>
      </c>
      <c r="AC15">
        <v>19.351099999999999</v>
      </c>
      <c r="AD15">
        <v>18.1526</v>
      </c>
      <c r="AE15">
        <v>18.152699999999999</v>
      </c>
      <c r="AF15" t="s">
        <v>67</v>
      </c>
      <c r="AG15" t="s">
        <v>67</v>
      </c>
      <c r="AH15" t="s">
        <v>3894</v>
      </c>
      <c r="AI15" t="s">
        <v>3894</v>
      </c>
      <c r="AJ15" t="s">
        <v>3895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3896</v>
      </c>
      <c r="AT15" t="s">
        <v>3890</v>
      </c>
      <c r="AU15" t="s">
        <v>3897</v>
      </c>
      <c r="AV15" t="s">
        <v>3898</v>
      </c>
      <c r="AW15">
        <v>2</v>
      </c>
      <c r="AX15">
        <v>0</v>
      </c>
    </row>
    <row r="16" spans="1:50" x14ac:dyDescent="0.25">
      <c r="A16" t="s">
        <v>3913</v>
      </c>
      <c r="B16" t="s">
        <v>3889</v>
      </c>
      <c r="C16" t="s">
        <v>3890</v>
      </c>
      <c r="D16">
        <v>28.786999999999999</v>
      </c>
      <c r="E16">
        <v>28.716000000000001</v>
      </c>
      <c r="F16" s="2">
        <v>3.5999999999999999E-3</v>
      </c>
      <c r="G16" t="s">
        <v>3710</v>
      </c>
      <c r="H16" t="s">
        <v>2870</v>
      </c>
      <c r="I16">
        <v>440398.47509999998</v>
      </c>
      <c r="J16">
        <v>1827609.7609000001</v>
      </c>
      <c r="K16">
        <v>440398.47509999998</v>
      </c>
      <c r="L16">
        <v>1827629.7609000001</v>
      </c>
      <c r="M16" t="s">
        <v>56</v>
      </c>
      <c r="N16" t="s">
        <v>57</v>
      </c>
      <c r="O16">
        <v>450</v>
      </c>
      <c r="P16" t="s">
        <v>3891</v>
      </c>
      <c r="Q16" t="s">
        <v>3892</v>
      </c>
      <c r="R16" t="s">
        <v>107</v>
      </c>
      <c r="S16" t="s">
        <v>1057</v>
      </c>
      <c r="T16" t="s">
        <v>1444</v>
      </c>
      <c r="U16">
        <v>-2.0000000000000001E-4</v>
      </c>
      <c r="V16">
        <v>-2.0000000000000001E-4</v>
      </c>
      <c r="W16" t="s">
        <v>52</v>
      </c>
      <c r="X16">
        <v>0.99180000000000001</v>
      </c>
      <c r="Y16">
        <v>0.99209999999999998</v>
      </c>
      <c r="Z16">
        <v>0.99209999999999998</v>
      </c>
      <c r="AA16">
        <v>0.99180000000000001</v>
      </c>
      <c r="AB16">
        <v>20</v>
      </c>
      <c r="AC16">
        <v>20.0001</v>
      </c>
      <c r="AD16">
        <v>18.802499999999998</v>
      </c>
      <c r="AE16">
        <v>18.802600000000002</v>
      </c>
      <c r="AF16" t="s">
        <v>67</v>
      </c>
      <c r="AG16" t="s">
        <v>67</v>
      </c>
      <c r="AH16" t="s">
        <v>3894</v>
      </c>
      <c r="AI16" t="s">
        <v>3894</v>
      </c>
      <c r="AJ16" t="s">
        <v>3895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3896</v>
      </c>
      <c r="AT16" t="s">
        <v>3890</v>
      </c>
      <c r="AU16" t="s">
        <v>3897</v>
      </c>
      <c r="AV16" t="s">
        <v>3898</v>
      </c>
      <c r="AW16">
        <v>2</v>
      </c>
      <c r="AX16">
        <v>0</v>
      </c>
    </row>
    <row r="17" spans="1:50" x14ac:dyDescent="0.25">
      <c r="A17" t="s">
        <v>3914</v>
      </c>
      <c r="B17" t="s">
        <v>3889</v>
      </c>
      <c r="C17" t="s">
        <v>3890</v>
      </c>
      <c r="D17">
        <v>28.786999999999999</v>
      </c>
      <c r="E17">
        <v>28.716000000000001</v>
      </c>
      <c r="F17" s="2">
        <v>3.5999999999999999E-3</v>
      </c>
      <c r="G17" t="s">
        <v>3720</v>
      </c>
      <c r="H17" t="s">
        <v>2888</v>
      </c>
      <c r="I17">
        <v>440387.3751</v>
      </c>
      <c r="J17">
        <v>1827609.7609000001</v>
      </c>
      <c r="K17">
        <v>440387.3751</v>
      </c>
      <c r="L17">
        <v>1827629.7609000001</v>
      </c>
      <c r="M17" t="s">
        <v>56</v>
      </c>
      <c r="N17" t="s">
        <v>57</v>
      </c>
      <c r="O17">
        <v>450</v>
      </c>
      <c r="P17" t="s">
        <v>3891</v>
      </c>
      <c r="Q17" t="s">
        <v>3892</v>
      </c>
      <c r="R17" t="s">
        <v>117</v>
      </c>
      <c r="S17" t="s">
        <v>1057</v>
      </c>
      <c r="T17" t="s">
        <v>1444</v>
      </c>
      <c r="U17">
        <v>3.6400000000000002E-2</v>
      </c>
      <c r="V17">
        <v>3.6400000000000002E-2</v>
      </c>
      <c r="W17" t="s">
        <v>52</v>
      </c>
      <c r="X17">
        <v>0.99180000000000001</v>
      </c>
      <c r="Y17">
        <v>0.99209999999999998</v>
      </c>
      <c r="Z17">
        <v>0.99209999999999998</v>
      </c>
      <c r="AA17">
        <v>0.99180000000000001</v>
      </c>
      <c r="AB17">
        <v>20</v>
      </c>
      <c r="AC17">
        <v>20.0001</v>
      </c>
      <c r="AD17">
        <v>18.802499999999998</v>
      </c>
      <c r="AE17">
        <v>18.802600000000002</v>
      </c>
      <c r="AF17" t="s">
        <v>67</v>
      </c>
      <c r="AG17" t="s">
        <v>67</v>
      </c>
      <c r="AH17" t="s">
        <v>3894</v>
      </c>
      <c r="AI17" t="s">
        <v>3894</v>
      </c>
      <c r="AJ17" t="s">
        <v>3895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3896</v>
      </c>
      <c r="AT17" t="s">
        <v>3890</v>
      </c>
      <c r="AU17" t="s">
        <v>3897</v>
      </c>
      <c r="AV17" t="s">
        <v>3898</v>
      </c>
      <c r="AW17">
        <v>2</v>
      </c>
      <c r="AX17">
        <v>0</v>
      </c>
    </row>
    <row r="18" spans="1:50" x14ac:dyDescent="0.25">
      <c r="A18" t="s">
        <v>3915</v>
      </c>
      <c r="B18" t="s">
        <v>3889</v>
      </c>
      <c r="C18" t="s">
        <v>3890</v>
      </c>
      <c r="D18">
        <v>30.914999999999999</v>
      </c>
      <c r="E18">
        <v>30.867000000000001</v>
      </c>
      <c r="F18" s="2">
        <v>4.0000000000000001E-3</v>
      </c>
      <c r="G18" t="s">
        <v>2234</v>
      </c>
      <c r="H18" t="s">
        <v>268</v>
      </c>
      <c r="I18">
        <v>440398.47509999998</v>
      </c>
      <c r="J18">
        <v>1828022.6984000001</v>
      </c>
      <c r="K18">
        <v>440398.47509999998</v>
      </c>
      <c r="L18">
        <v>1828010.7342999999</v>
      </c>
      <c r="M18" t="s">
        <v>56</v>
      </c>
      <c r="N18" t="s">
        <v>57</v>
      </c>
      <c r="O18">
        <v>450</v>
      </c>
      <c r="P18" t="s">
        <v>3891</v>
      </c>
      <c r="Q18" t="s">
        <v>3892</v>
      </c>
      <c r="R18" t="s">
        <v>270</v>
      </c>
      <c r="S18" t="s">
        <v>452</v>
      </c>
      <c r="T18" t="s">
        <v>271</v>
      </c>
      <c r="U18">
        <v>-3.5000000000000003E-2</v>
      </c>
      <c r="V18">
        <v>-3.5000000000000003E-2</v>
      </c>
      <c r="W18" t="s">
        <v>52</v>
      </c>
      <c r="X18">
        <v>0.89890000000000003</v>
      </c>
      <c r="Y18">
        <v>0.96209999999999996</v>
      </c>
      <c r="Z18">
        <v>0.96209999999999996</v>
      </c>
      <c r="AA18">
        <v>0.89890000000000003</v>
      </c>
      <c r="AB18">
        <v>11.9641</v>
      </c>
      <c r="AC18">
        <v>11.9642</v>
      </c>
      <c r="AD18">
        <v>10.766999999999999</v>
      </c>
      <c r="AE18">
        <v>10.766999999999999</v>
      </c>
      <c r="AF18" t="s">
        <v>2233</v>
      </c>
      <c r="AG18" t="s">
        <v>2233</v>
      </c>
      <c r="AH18" t="s">
        <v>3894</v>
      </c>
      <c r="AI18" t="s">
        <v>3894</v>
      </c>
      <c r="AJ18" t="s">
        <v>3895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3896</v>
      </c>
      <c r="AT18" t="s">
        <v>3890</v>
      </c>
      <c r="AU18" t="s">
        <v>3897</v>
      </c>
      <c r="AV18" t="s">
        <v>3898</v>
      </c>
      <c r="AW18">
        <v>2</v>
      </c>
      <c r="AX18">
        <v>0</v>
      </c>
    </row>
    <row r="19" spans="1:50" x14ac:dyDescent="0.25">
      <c r="A19" t="s">
        <v>3916</v>
      </c>
      <c r="B19" t="s">
        <v>3917</v>
      </c>
      <c r="C19" t="s">
        <v>3890</v>
      </c>
      <c r="D19">
        <v>28.193000000000001</v>
      </c>
      <c r="E19">
        <v>28.146000000000001</v>
      </c>
      <c r="F19" s="2">
        <v>2E-3</v>
      </c>
      <c r="G19" t="s">
        <v>900</v>
      </c>
      <c r="H19" t="s">
        <v>953</v>
      </c>
      <c r="I19">
        <v>440300.25550000003</v>
      </c>
      <c r="J19">
        <v>1827531.6088</v>
      </c>
      <c r="K19">
        <v>440323.82490000001</v>
      </c>
      <c r="L19">
        <v>1827531.6088</v>
      </c>
      <c r="M19" t="s">
        <v>56</v>
      </c>
      <c r="N19" t="s">
        <v>57</v>
      </c>
      <c r="O19">
        <v>750</v>
      </c>
      <c r="P19" t="s">
        <v>3918</v>
      </c>
      <c r="Q19" t="s">
        <v>3919</v>
      </c>
      <c r="R19" t="s">
        <v>141</v>
      </c>
      <c r="S19" t="s">
        <v>902</v>
      </c>
      <c r="T19" t="s">
        <v>955</v>
      </c>
      <c r="U19">
        <v>5.8400000000000001E-2</v>
      </c>
      <c r="V19">
        <v>5.8400000000000001E-2</v>
      </c>
      <c r="W19" t="s">
        <v>52</v>
      </c>
      <c r="X19">
        <v>1.6887000000000001</v>
      </c>
      <c r="Y19">
        <v>1.7723</v>
      </c>
      <c r="Z19">
        <v>1.7723</v>
      </c>
      <c r="AA19">
        <v>1.6887000000000001</v>
      </c>
      <c r="AB19">
        <v>23.569400000000002</v>
      </c>
      <c r="AC19">
        <v>23.569500000000001</v>
      </c>
      <c r="AD19">
        <v>22.371500000000001</v>
      </c>
      <c r="AE19">
        <v>22.371600000000001</v>
      </c>
      <c r="AF19" t="s">
        <v>3920</v>
      </c>
      <c r="AG19" t="s">
        <v>3920</v>
      </c>
      <c r="AH19" t="s">
        <v>3894</v>
      </c>
      <c r="AI19" t="s">
        <v>3894</v>
      </c>
      <c r="AJ19" t="s">
        <v>3895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3896</v>
      </c>
      <c r="AT19" t="s">
        <v>3890</v>
      </c>
      <c r="AU19" t="s">
        <v>3921</v>
      </c>
      <c r="AV19" t="s">
        <v>3898</v>
      </c>
      <c r="AW19">
        <v>2</v>
      </c>
      <c r="AX19">
        <v>0</v>
      </c>
    </row>
    <row r="20" spans="1:50" x14ac:dyDescent="0.25">
      <c r="A20" t="s">
        <v>3922</v>
      </c>
      <c r="B20" t="s">
        <v>3889</v>
      </c>
      <c r="C20" t="s">
        <v>3890</v>
      </c>
      <c r="D20">
        <v>29.116</v>
      </c>
      <c r="E20">
        <v>29.067</v>
      </c>
      <c r="F20" s="2">
        <v>4.1000000000000003E-3</v>
      </c>
      <c r="G20" t="s">
        <v>2697</v>
      </c>
      <c r="H20" t="s">
        <v>198</v>
      </c>
      <c r="I20">
        <v>440430.42509999999</v>
      </c>
      <c r="J20">
        <v>1827778.6757</v>
      </c>
      <c r="K20">
        <v>440442.5062</v>
      </c>
      <c r="L20">
        <v>1827778.6757</v>
      </c>
      <c r="M20" t="s">
        <v>56</v>
      </c>
      <c r="N20" t="s">
        <v>57</v>
      </c>
      <c r="O20">
        <v>450</v>
      </c>
      <c r="P20" t="s">
        <v>3891</v>
      </c>
      <c r="Q20" t="s">
        <v>3892</v>
      </c>
      <c r="R20" t="s">
        <v>200</v>
      </c>
      <c r="S20" t="s">
        <v>424</v>
      </c>
      <c r="T20" s="1" t="s">
        <v>201</v>
      </c>
      <c r="U20">
        <v>0.1429</v>
      </c>
      <c r="V20">
        <v>0.13880000000000001</v>
      </c>
      <c r="W20" t="s">
        <v>52</v>
      </c>
      <c r="X20">
        <v>0.88319999999999999</v>
      </c>
      <c r="Y20">
        <v>0.97109999999999996</v>
      </c>
      <c r="Z20">
        <v>0.97109999999999996</v>
      </c>
      <c r="AA20">
        <v>0.88319999999999999</v>
      </c>
      <c r="AB20">
        <v>12.081099999999999</v>
      </c>
      <c r="AC20">
        <v>12.081200000000001</v>
      </c>
      <c r="AD20">
        <v>10.884</v>
      </c>
      <c r="AE20">
        <v>10.8841</v>
      </c>
      <c r="AF20" t="s">
        <v>183</v>
      </c>
      <c r="AG20" t="s">
        <v>183</v>
      </c>
      <c r="AH20" t="s">
        <v>3894</v>
      </c>
      <c r="AI20" t="s">
        <v>3894</v>
      </c>
      <c r="AJ20" t="s">
        <v>3895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3896</v>
      </c>
      <c r="AT20" t="s">
        <v>3890</v>
      </c>
      <c r="AU20" t="s">
        <v>3897</v>
      </c>
      <c r="AV20" t="s">
        <v>3898</v>
      </c>
      <c r="AW20">
        <v>2</v>
      </c>
      <c r="AX20">
        <v>0</v>
      </c>
    </row>
    <row r="21" spans="1:50" x14ac:dyDescent="0.25">
      <c r="A21" t="s">
        <v>3923</v>
      </c>
      <c r="B21" t="s">
        <v>3924</v>
      </c>
      <c r="C21" t="s">
        <v>3890</v>
      </c>
      <c r="D21">
        <v>29.468</v>
      </c>
      <c r="E21">
        <v>29.419</v>
      </c>
      <c r="F21" s="2">
        <v>3.8E-3</v>
      </c>
      <c r="G21" t="s">
        <v>370</v>
      </c>
      <c r="H21" t="s">
        <v>953</v>
      </c>
      <c r="I21">
        <v>440323.82490000001</v>
      </c>
      <c r="J21">
        <v>1827518.6073</v>
      </c>
      <c r="K21">
        <v>440323.82490000001</v>
      </c>
      <c r="L21">
        <v>1827531.6088</v>
      </c>
      <c r="M21" t="s">
        <v>56</v>
      </c>
      <c r="N21" t="s">
        <v>57</v>
      </c>
      <c r="O21">
        <v>750</v>
      </c>
      <c r="P21" t="s">
        <v>3891</v>
      </c>
      <c r="Q21" t="s">
        <v>3892</v>
      </c>
      <c r="R21" t="s">
        <v>372</v>
      </c>
      <c r="S21" t="s">
        <v>951</v>
      </c>
      <c r="T21" s="1" t="s">
        <v>3925</v>
      </c>
      <c r="U21">
        <v>0</v>
      </c>
      <c r="V21">
        <v>0</v>
      </c>
      <c r="W21" t="s">
        <v>52</v>
      </c>
      <c r="X21">
        <v>0.89070000000000005</v>
      </c>
      <c r="Y21">
        <v>1.1443000000000001</v>
      </c>
      <c r="Z21">
        <v>1.1443000000000001</v>
      </c>
      <c r="AA21">
        <v>0.89070000000000005</v>
      </c>
      <c r="AB21">
        <v>13.2201</v>
      </c>
      <c r="AC21">
        <v>13.2202</v>
      </c>
      <c r="AD21">
        <v>12.248900000000001</v>
      </c>
      <c r="AE21">
        <v>12.248900000000001</v>
      </c>
      <c r="AF21" t="s">
        <v>67</v>
      </c>
      <c r="AG21" t="s">
        <v>67</v>
      </c>
      <c r="AH21" t="s">
        <v>3894</v>
      </c>
      <c r="AI21" t="s">
        <v>3894</v>
      </c>
      <c r="AJ21" t="s">
        <v>3895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3896</v>
      </c>
      <c r="AT21" t="s">
        <v>3890</v>
      </c>
      <c r="AU21" t="s">
        <v>3926</v>
      </c>
      <c r="AV21" t="s">
        <v>3898</v>
      </c>
      <c r="AW21">
        <v>2</v>
      </c>
      <c r="AX21">
        <v>0</v>
      </c>
    </row>
    <row r="22" spans="1:50" x14ac:dyDescent="0.25">
      <c r="A22" t="s">
        <v>3927</v>
      </c>
      <c r="B22" t="s">
        <v>3928</v>
      </c>
      <c r="C22" t="s">
        <v>3890</v>
      </c>
      <c r="D22">
        <v>29.207000000000001</v>
      </c>
      <c r="E22">
        <v>29.167000000000002</v>
      </c>
      <c r="F22" s="2">
        <v>2E-3</v>
      </c>
      <c r="G22" t="s">
        <v>249</v>
      </c>
      <c r="H22" t="s">
        <v>2562</v>
      </c>
      <c r="I22">
        <v>440595.0001</v>
      </c>
      <c r="J22">
        <v>1828032.6344999999</v>
      </c>
      <c r="K22">
        <v>440595.0001</v>
      </c>
      <c r="L22">
        <v>1828012.7723999999</v>
      </c>
      <c r="M22" t="s">
        <v>56</v>
      </c>
      <c r="N22" t="s">
        <v>57</v>
      </c>
      <c r="O22">
        <v>900</v>
      </c>
      <c r="P22" t="s">
        <v>3929</v>
      </c>
      <c r="Q22" t="s">
        <v>3930</v>
      </c>
      <c r="R22" t="s">
        <v>251</v>
      </c>
      <c r="S22" t="s">
        <v>252</v>
      </c>
      <c r="T22" t="s">
        <v>2564</v>
      </c>
      <c r="U22">
        <v>0</v>
      </c>
      <c r="V22">
        <v>0</v>
      </c>
      <c r="W22" t="s">
        <v>52</v>
      </c>
      <c r="X22">
        <v>1.1617</v>
      </c>
      <c r="Y22">
        <v>1.3557999999999999</v>
      </c>
      <c r="Z22">
        <v>1.3557999999999999</v>
      </c>
      <c r="AA22">
        <v>1.1617</v>
      </c>
      <c r="AB22">
        <v>19.862100000000002</v>
      </c>
      <c r="AC22">
        <v>19.862100000000002</v>
      </c>
      <c r="AD22">
        <v>18.6646</v>
      </c>
      <c r="AE22">
        <v>18.6647</v>
      </c>
      <c r="AF22" t="s">
        <v>2233</v>
      </c>
      <c r="AG22" t="s">
        <v>2233</v>
      </c>
      <c r="AH22" t="s">
        <v>3894</v>
      </c>
      <c r="AI22" t="s">
        <v>3894</v>
      </c>
      <c r="AJ22" t="s">
        <v>3895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3896</v>
      </c>
      <c r="AT22" t="s">
        <v>3890</v>
      </c>
      <c r="AU22" t="s">
        <v>3931</v>
      </c>
      <c r="AV22" t="s">
        <v>3898</v>
      </c>
      <c r="AW22">
        <v>2</v>
      </c>
      <c r="AX22">
        <v>0</v>
      </c>
    </row>
    <row r="23" spans="1:50" x14ac:dyDescent="0.25">
      <c r="A23" t="s">
        <v>3932</v>
      </c>
      <c r="B23" t="s">
        <v>3933</v>
      </c>
      <c r="C23" t="s">
        <v>3890</v>
      </c>
      <c r="D23">
        <v>29.681999999999999</v>
      </c>
      <c r="E23">
        <v>29.632999999999999</v>
      </c>
      <c r="F23" s="2">
        <v>3.8E-3</v>
      </c>
      <c r="G23" t="s">
        <v>365</v>
      </c>
      <c r="H23" t="s">
        <v>896</v>
      </c>
      <c r="I23">
        <v>440258.22489999997</v>
      </c>
      <c r="J23">
        <v>1827518.6498</v>
      </c>
      <c r="K23">
        <v>440258.19990000001</v>
      </c>
      <c r="L23">
        <v>1827531.6088</v>
      </c>
      <c r="M23" t="s">
        <v>56</v>
      </c>
      <c r="N23" t="s">
        <v>57</v>
      </c>
      <c r="O23">
        <v>750</v>
      </c>
      <c r="P23" t="s">
        <v>58</v>
      </c>
      <c r="Q23" t="s">
        <v>3919</v>
      </c>
      <c r="R23" t="s">
        <v>367</v>
      </c>
      <c r="S23" t="s">
        <v>368</v>
      </c>
      <c r="T23" s="1" t="s">
        <v>3925</v>
      </c>
      <c r="U23">
        <v>-2.5000000000000001E-2</v>
      </c>
      <c r="V23">
        <v>0</v>
      </c>
      <c r="W23" t="s">
        <v>52</v>
      </c>
      <c r="X23">
        <v>0.86550000000000005</v>
      </c>
      <c r="Y23">
        <v>1.2985</v>
      </c>
      <c r="Z23">
        <v>1.2983</v>
      </c>
      <c r="AA23">
        <v>0.86550000000000005</v>
      </c>
      <c r="AB23">
        <v>13.009</v>
      </c>
      <c r="AC23">
        <v>13.0091</v>
      </c>
      <c r="AD23">
        <v>12.038</v>
      </c>
      <c r="AE23">
        <v>12.0381</v>
      </c>
      <c r="AF23" t="s">
        <v>3934</v>
      </c>
      <c r="AG23" t="s">
        <v>3934</v>
      </c>
      <c r="AH23" t="s">
        <v>3894</v>
      </c>
      <c r="AI23" t="s">
        <v>3894</v>
      </c>
      <c r="AJ23" t="s">
        <v>3895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3896</v>
      </c>
      <c r="AT23" t="s">
        <v>3890</v>
      </c>
      <c r="AU23" t="s">
        <v>3935</v>
      </c>
      <c r="AV23" t="s">
        <v>3898</v>
      </c>
      <c r="AW23">
        <v>2</v>
      </c>
      <c r="AX23">
        <v>0</v>
      </c>
    </row>
    <row r="24" spans="1:50" x14ac:dyDescent="0.25">
      <c r="A24" t="s">
        <v>3936</v>
      </c>
      <c r="B24" t="s">
        <v>3889</v>
      </c>
      <c r="C24" t="s">
        <v>3890</v>
      </c>
      <c r="D24">
        <v>30.077000000000002</v>
      </c>
      <c r="E24">
        <v>30.027000000000001</v>
      </c>
      <c r="F24" s="2">
        <v>4.1000000000000003E-3</v>
      </c>
      <c r="G24" t="s">
        <v>96</v>
      </c>
      <c r="H24" t="s">
        <v>937</v>
      </c>
      <c r="I24">
        <v>440302.11979999999</v>
      </c>
      <c r="J24">
        <v>1827425.1986</v>
      </c>
      <c r="K24">
        <v>440314.27490000002</v>
      </c>
      <c r="L24">
        <v>1827425.1986</v>
      </c>
      <c r="M24" t="s">
        <v>56</v>
      </c>
      <c r="N24" t="s">
        <v>57</v>
      </c>
      <c r="O24">
        <v>450</v>
      </c>
      <c r="P24" t="s">
        <v>3891</v>
      </c>
      <c r="Q24" t="s">
        <v>3892</v>
      </c>
      <c r="R24" t="s">
        <v>80</v>
      </c>
      <c r="S24" t="s">
        <v>98</v>
      </c>
      <c r="T24" s="1" t="s">
        <v>3937</v>
      </c>
      <c r="U24">
        <v>2.1000000000000001E-2</v>
      </c>
      <c r="V24">
        <v>1.7000000000000001E-2</v>
      </c>
      <c r="W24" t="s">
        <v>52</v>
      </c>
      <c r="X24">
        <v>0.84340000000000004</v>
      </c>
      <c r="Y24">
        <v>1.1192</v>
      </c>
      <c r="Z24">
        <v>1.1192</v>
      </c>
      <c r="AA24">
        <v>0.86550000000000005</v>
      </c>
      <c r="AB24">
        <v>12.305999999999999</v>
      </c>
      <c r="AC24">
        <v>12.306100000000001</v>
      </c>
      <c r="AD24">
        <v>11.4079</v>
      </c>
      <c r="AE24">
        <v>11.407999999999999</v>
      </c>
      <c r="AF24" t="s">
        <v>183</v>
      </c>
      <c r="AG24" t="s">
        <v>183</v>
      </c>
      <c r="AH24" t="s">
        <v>3894</v>
      </c>
      <c r="AI24" t="s">
        <v>3894</v>
      </c>
      <c r="AJ24" t="s">
        <v>3895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3896</v>
      </c>
      <c r="AT24" t="s">
        <v>3890</v>
      </c>
      <c r="AU24" t="s">
        <v>3897</v>
      </c>
      <c r="AV24" t="s">
        <v>3898</v>
      </c>
      <c r="AW24">
        <v>2</v>
      </c>
      <c r="AX24">
        <v>0</v>
      </c>
    </row>
    <row r="25" spans="1:50" x14ac:dyDescent="0.25">
      <c r="A25" t="s">
        <v>3938</v>
      </c>
      <c r="B25" t="s">
        <v>3889</v>
      </c>
      <c r="C25" t="s">
        <v>3890</v>
      </c>
      <c r="D25">
        <v>28.818999999999999</v>
      </c>
      <c r="E25">
        <v>28.77</v>
      </c>
      <c r="F25" s="2">
        <v>4.1000000000000003E-3</v>
      </c>
      <c r="G25" t="s">
        <v>198</v>
      </c>
      <c r="H25" t="s">
        <v>2710</v>
      </c>
      <c r="I25">
        <v>440442.5062</v>
      </c>
      <c r="J25">
        <v>1827778.6757</v>
      </c>
      <c r="K25">
        <v>440454.3751</v>
      </c>
      <c r="L25">
        <v>1827778.6757</v>
      </c>
      <c r="M25" t="s">
        <v>56</v>
      </c>
      <c r="N25" t="s">
        <v>57</v>
      </c>
      <c r="O25">
        <v>450</v>
      </c>
      <c r="P25" t="s">
        <v>3891</v>
      </c>
      <c r="Q25" t="s">
        <v>3892</v>
      </c>
      <c r="R25" t="s">
        <v>200</v>
      </c>
      <c r="S25" t="s">
        <v>201</v>
      </c>
      <c r="T25" t="s">
        <v>2712</v>
      </c>
      <c r="U25">
        <v>0.13880000000000001</v>
      </c>
      <c r="V25">
        <v>0.1348</v>
      </c>
      <c r="W25" t="s">
        <v>52</v>
      </c>
      <c r="X25">
        <v>0.83689999999999998</v>
      </c>
      <c r="Y25">
        <v>1.1312</v>
      </c>
      <c r="Z25">
        <v>1.1312</v>
      </c>
      <c r="AA25">
        <v>0.86539999999999995</v>
      </c>
      <c r="AB25">
        <v>11.8689</v>
      </c>
      <c r="AC25">
        <v>11.869</v>
      </c>
      <c r="AD25">
        <v>10.6717</v>
      </c>
      <c r="AE25">
        <v>10.671799999999999</v>
      </c>
      <c r="AF25" t="s">
        <v>183</v>
      </c>
      <c r="AG25" t="s">
        <v>183</v>
      </c>
      <c r="AH25" t="s">
        <v>3894</v>
      </c>
      <c r="AI25" t="s">
        <v>3894</v>
      </c>
      <c r="AJ25" t="s">
        <v>3895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3896</v>
      </c>
      <c r="AT25" t="s">
        <v>3890</v>
      </c>
      <c r="AU25" t="s">
        <v>3897</v>
      </c>
      <c r="AV25" t="s">
        <v>3898</v>
      </c>
      <c r="AW25">
        <v>2</v>
      </c>
      <c r="AX25">
        <v>0</v>
      </c>
    </row>
    <row r="26" spans="1:50" x14ac:dyDescent="0.25">
      <c r="A26" t="s">
        <v>3939</v>
      </c>
      <c r="B26" t="s">
        <v>3889</v>
      </c>
      <c r="C26" t="s">
        <v>3890</v>
      </c>
      <c r="D26">
        <v>29.39</v>
      </c>
      <c r="E26">
        <v>29.341999999999999</v>
      </c>
      <c r="F26" s="2">
        <v>4.1000000000000003E-3</v>
      </c>
      <c r="G26" t="s">
        <v>83</v>
      </c>
      <c r="H26" t="s">
        <v>3540</v>
      </c>
      <c r="I26">
        <v>440442.78629999998</v>
      </c>
      <c r="J26">
        <v>1827415.4986</v>
      </c>
      <c r="K26">
        <v>440454.52510000003</v>
      </c>
      <c r="L26">
        <v>1827415.4986</v>
      </c>
      <c r="M26" t="s">
        <v>56</v>
      </c>
      <c r="N26" t="s">
        <v>57</v>
      </c>
      <c r="O26">
        <v>450</v>
      </c>
      <c r="P26" t="s">
        <v>3891</v>
      </c>
      <c r="Q26" t="s">
        <v>3892</v>
      </c>
      <c r="R26" t="s">
        <v>85</v>
      </c>
      <c r="S26" t="s">
        <v>86</v>
      </c>
      <c r="T26" t="s">
        <v>3542</v>
      </c>
      <c r="U26">
        <v>-9.1899999999999996E-2</v>
      </c>
      <c r="V26">
        <v>-9.06E-2</v>
      </c>
      <c r="W26" t="s">
        <v>52</v>
      </c>
      <c r="X26">
        <v>0.88349999999999995</v>
      </c>
      <c r="Y26">
        <v>0.9103</v>
      </c>
      <c r="Z26">
        <v>0.9103</v>
      </c>
      <c r="AA26">
        <v>0.88349999999999995</v>
      </c>
      <c r="AB26">
        <v>11.742599999999999</v>
      </c>
      <c r="AC26">
        <v>11.742699999999999</v>
      </c>
      <c r="AD26">
        <v>10.8416</v>
      </c>
      <c r="AE26">
        <v>10.841699999999999</v>
      </c>
      <c r="AF26" t="s">
        <v>183</v>
      </c>
      <c r="AG26" t="s">
        <v>183</v>
      </c>
      <c r="AH26" t="s">
        <v>3894</v>
      </c>
      <c r="AI26" t="s">
        <v>3894</v>
      </c>
      <c r="AJ26" t="s">
        <v>3895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3896</v>
      </c>
      <c r="AT26" t="s">
        <v>3890</v>
      </c>
      <c r="AU26" t="s">
        <v>3897</v>
      </c>
      <c r="AV26" t="s">
        <v>3898</v>
      </c>
      <c r="AW26">
        <v>2</v>
      </c>
      <c r="AX26">
        <v>0</v>
      </c>
    </row>
    <row r="27" spans="1:50" x14ac:dyDescent="0.25">
      <c r="A27" t="s">
        <v>3940</v>
      </c>
      <c r="B27" t="s">
        <v>3889</v>
      </c>
      <c r="C27" t="s">
        <v>3890</v>
      </c>
      <c r="D27">
        <v>31.63</v>
      </c>
      <c r="E27">
        <v>31.574999999999999</v>
      </c>
      <c r="F27" s="2">
        <v>2.8E-3</v>
      </c>
      <c r="G27" t="s">
        <v>704</v>
      </c>
      <c r="H27" t="s">
        <v>92</v>
      </c>
      <c r="I27">
        <v>440084.59409999999</v>
      </c>
      <c r="J27">
        <v>1827415.4986</v>
      </c>
      <c r="K27">
        <v>440104.20980000001</v>
      </c>
      <c r="L27">
        <v>1827415.4986</v>
      </c>
      <c r="M27" t="s">
        <v>56</v>
      </c>
      <c r="N27" t="s">
        <v>57</v>
      </c>
      <c r="O27">
        <v>450</v>
      </c>
      <c r="P27" t="s">
        <v>3891</v>
      </c>
      <c r="Q27" t="s">
        <v>3892</v>
      </c>
      <c r="R27" t="s">
        <v>85</v>
      </c>
      <c r="S27" t="s">
        <v>698</v>
      </c>
      <c r="T27" t="s">
        <v>94</v>
      </c>
      <c r="U27">
        <v>-0.1308</v>
      </c>
      <c r="V27">
        <v>-0.12870000000000001</v>
      </c>
      <c r="W27" t="s">
        <v>52</v>
      </c>
      <c r="X27">
        <v>0.88160000000000005</v>
      </c>
      <c r="Y27">
        <v>0.9516</v>
      </c>
      <c r="Z27">
        <v>0.9516</v>
      </c>
      <c r="AA27">
        <v>0.88160000000000005</v>
      </c>
      <c r="AB27">
        <v>19.6157</v>
      </c>
      <c r="AC27">
        <v>19.6158</v>
      </c>
      <c r="AD27">
        <v>18.4177</v>
      </c>
      <c r="AE27">
        <v>18.4178</v>
      </c>
      <c r="AF27" t="s">
        <v>2299</v>
      </c>
      <c r="AG27" t="s">
        <v>2299</v>
      </c>
      <c r="AH27" t="s">
        <v>3894</v>
      </c>
      <c r="AI27" t="s">
        <v>3894</v>
      </c>
      <c r="AJ27" t="s">
        <v>3895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3896</v>
      </c>
      <c r="AT27" t="s">
        <v>3890</v>
      </c>
      <c r="AU27" t="s">
        <v>3897</v>
      </c>
      <c r="AV27" t="s">
        <v>3898</v>
      </c>
      <c r="AW27">
        <v>2</v>
      </c>
      <c r="AX27">
        <v>0</v>
      </c>
    </row>
    <row r="28" spans="1:50" x14ac:dyDescent="0.25">
      <c r="A28" t="s">
        <v>3941</v>
      </c>
      <c r="B28" t="s">
        <v>3889</v>
      </c>
      <c r="C28" t="s">
        <v>3890</v>
      </c>
      <c r="D28">
        <v>30.285</v>
      </c>
      <c r="E28">
        <v>30.234999999999999</v>
      </c>
      <c r="F28" s="2">
        <v>4.0000000000000001E-3</v>
      </c>
      <c r="G28" t="s">
        <v>100</v>
      </c>
      <c r="H28" t="s">
        <v>933</v>
      </c>
      <c r="I28">
        <v>440302.00839999999</v>
      </c>
      <c r="J28">
        <v>1827415.4986</v>
      </c>
      <c r="K28">
        <v>440314.42489999998</v>
      </c>
      <c r="L28">
        <v>1827415.4986</v>
      </c>
      <c r="M28" t="s">
        <v>56</v>
      </c>
      <c r="N28" t="s">
        <v>57</v>
      </c>
      <c r="O28">
        <v>450</v>
      </c>
      <c r="P28" t="s">
        <v>3891</v>
      </c>
      <c r="Q28" t="s">
        <v>3892</v>
      </c>
      <c r="R28" t="s">
        <v>85</v>
      </c>
      <c r="S28" t="s">
        <v>102</v>
      </c>
      <c r="T28" t="s">
        <v>939</v>
      </c>
      <c r="U28">
        <v>-0.1072</v>
      </c>
      <c r="V28">
        <v>-0.10580000000000001</v>
      </c>
      <c r="W28" t="s">
        <v>52</v>
      </c>
      <c r="X28">
        <v>0.88280000000000003</v>
      </c>
      <c r="Y28">
        <v>0.91190000000000004</v>
      </c>
      <c r="Z28">
        <v>0.91190000000000004</v>
      </c>
      <c r="AA28">
        <v>0.88280000000000003</v>
      </c>
      <c r="AB28">
        <v>12.2577</v>
      </c>
      <c r="AC28">
        <v>12.2578</v>
      </c>
      <c r="AD28">
        <v>11.356999999999999</v>
      </c>
      <c r="AE28">
        <v>11.357100000000001</v>
      </c>
      <c r="AF28" t="s">
        <v>183</v>
      </c>
      <c r="AG28" t="s">
        <v>183</v>
      </c>
      <c r="AH28" t="s">
        <v>3894</v>
      </c>
      <c r="AI28" t="s">
        <v>3894</v>
      </c>
      <c r="AJ28" t="s">
        <v>3895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3896</v>
      </c>
      <c r="AT28" t="s">
        <v>3890</v>
      </c>
      <c r="AU28" t="s">
        <v>3897</v>
      </c>
      <c r="AV28" t="s">
        <v>3898</v>
      </c>
      <c r="AW28">
        <v>2</v>
      </c>
      <c r="AX28">
        <v>0</v>
      </c>
    </row>
    <row r="29" spans="1:50" x14ac:dyDescent="0.25">
      <c r="A29" t="s">
        <v>3942</v>
      </c>
      <c r="B29" t="s">
        <v>3889</v>
      </c>
      <c r="C29" t="s">
        <v>3890</v>
      </c>
      <c r="D29">
        <v>28.818999999999999</v>
      </c>
      <c r="E29">
        <v>28.77</v>
      </c>
      <c r="F29" s="2">
        <v>4.1000000000000003E-3</v>
      </c>
      <c r="G29" t="s">
        <v>208</v>
      </c>
      <c r="H29" t="s">
        <v>2741</v>
      </c>
      <c r="I29">
        <v>440464.07510000002</v>
      </c>
      <c r="J29">
        <v>1827790.5674000001</v>
      </c>
      <c r="K29">
        <v>440464.07510000002</v>
      </c>
      <c r="L29">
        <v>1827778.5257000001</v>
      </c>
      <c r="M29" t="s">
        <v>56</v>
      </c>
      <c r="N29" t="s">
        <v>57</v>
      </c>
      <c r="O29">
        <v>450</v>
      </c>
      <c r="P29" t="s">
        <v>3891</v>
      </c>
      <c r="Q29" t="s">
        <v>3892</v>
      </c>
      <c r="R29" t="s">
        <v>210</v>
      </c>
      <c r="S29" t="s">
        <v>211</v>
      </c>
      <c r="T29" t="s">
        <v>3943</v>
      </c>
      <c r="U29">
        <v>0</v>
      </c>
      <c r="V29">
        <v>0</v>
      </c>
      <c r="W29" t="s">
        <v>52</v>
      </c>
      <c r="X29">
        <v>0.8427</v>
      </c>
      <c r="Y29">
        <v>1.0212000000000001</v>
      </c>
      <c r="Z29">
        <v>1.0212000000000001</v>
      </c>
      <c r="AA29">
        <v>0.86729999999999996</v>
      </c>
      <c r="AB29">
        <v>12.0427</v>
      </c>
      <c r="AC29">
        <v>12.0428</v>
      </c>
      <c r="AD29">
        <v>11.144600000000001</v>
      </c>
      <c r="AE29">
        <v>11.1447</v>
      </c>
      <c r="AF29" t="s">
        <v>3905</v>
      </c>
      <c r="AG29" t="s">
        <v>3905</v>
      </c>
      <c r="AH29" t="s">
        <v>3894</v>
      </c>
      <c r="AI29" t="s">
        <v>3894</v>
      </c>
      <c r="AJ29" t="s">
        <v>3895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3896</v>
      </c>
      <c r="AT29" t="s">
        <v>3890</v>
      </c>
      <c r="AU29" t="s">
        <v>3897</v>
      </c>
      <c r="AV29" t="s">
        <v>3898</v>
      </c>
      <c r="AW29">
        <v>2</v>
      </c>
      <c r="AX29">
        <v>0</v>
      </c>
    </row>
    <row r="30" spans="1:50" x14ac:dyDescent="0.25">
      <c r="A30" t="s">
        <v>3944</v>
      </c>
      <c r="B30" t="s">
        <v>3889</v>
      </c>
      <c r="C30" t="s">
        <v>3890</v>
      </c>
      <c r="D30">
        <v>31.332999999999998</v>
      </c>
      <c r="E30">
        <v>31.277999999999999</v>
      </c>
      <c r="F30" s="2">
        <v>4.1000000000000003E-3</v>
      </c>
      <c r="G30" t="s">
        <v>88</v>
      </c>
      <c r="H30" t="s">
        <v>710</v>
      </c>
      <c r="I30">
        <v>440104.1801</v>
      </c>
      <c r="J30">
        <v>1827425.1986</v>
      </c>
      <c r="K30">
        <v>440117.47499999998</v>
      </c>
      <c r="L30">
        <v>1827425.1986</v>
      </c>
      <c r="M30" t="s">
        <v>56</v>
      </c>
      <c r="N30" t="s">
        <v>57</v>
      </c>
      <c r="O30">
        <v>450</v>
      </c>
      <c r="P30" t="s">
        <v>3891</v>
      </c>
      <c r="Q30" t="s">
        <v>3892</v>
      </c>
      <c r="R30" t="s">
        <v>80</v>
      </c>
      <c r="S30" t="s">
        <v>90</v>
      </c>
      <c r="T30" t="s">
        <v>3945</v>
      </c>
      <c r="U30">
        <v>8.5800000000000001E-2</v>
      </c>
      <c r="V30">
        <v>8.14E-2</v>
      </c>
      <c r="W30" t="s">
        <v>52</v>
      </c>
      <c r="X30">
        <v>0.84350000000000003</v>
      </c>
      <c r="Y30">
        <v>1.1237999999999999</v>
      </c>
      <c r="Z30">
        <v>1.1237999999999999</v>
      </c>
      <c r="AA30">
        <v>0.86550000000000005</v>
      </c>
      <c r="AB30">
        <v>13.4457</v>
      </c>
      <c r="AC30">
        <v>13.4458</v>
      </c>
      <c r="AD30">
        <v>12.547800000000001</v>
      </c>
      <c r="AE30">
        <v>12.5479</v>
      </c>
      <c r="AF30" t="s">
        <v>183</v>
      </c>
      <c r="AG30" t="s">
        <v>183</v>
      </c>
      <c r="AH30" t="s">
        <v>3894</v>
      </c>
      <c r="AI30" t="s">
        <v>3894</v>
      </c>
      <c r="AJ30" t="s">
        <v>3895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3896</v>
      </c>
      <c r="AT30" t="s">
        <v>3890</v>
      </c>
      <c r="AU30" t="s">
        <v>3897</v>
      </c>
      <c r="AV30" t="s">
        <v>3898</v>
      </c>
      <c r="AW30">
        <v>2</v>
      </c>
      <c r="AX30">
        <v>0</v>
      </c>
    </row>
    <row r="31" spans="1:50" x14ac:dyDescent="0.25">
      <c r="A31" t="s">
        <v>3946</v>
      </c>
      <c r="B31" t="s">
        <v>3947</v>
      </c>
      <c r="C31" t="s">
        <v>3890</v>
      </c>
      <c r="D31">
        <v>27.747</v>
      </c>
      <c r="E31">
        <v>27.6</v>
      </c>
      <c r="F31" s="2">
        <v>6.7000000000000002E-3</v>
      </c>
      <c r="G31" t="s">
        <v>174</v>
      </c>
      <c r="H31" t="s">
        <v>3626</v>
      </c>
      <c r="I31">
        <v>440507.52360000001</v>
      </c>
      <c r="J31">
        <v>1827531.7818</v>
      </c>
      <c r="K31">
        <v>440529.60009999998</v>
      </c>
      <c r="L31">
        <v>1827531.7836</v>
      </c>
      <c r="M31" t="s">
        <v>56</v>
      </c>
      <c r="N31" t="s">
        <v>57</v>
      </c>
      <c r="O31">
        <v>1050</v>
      </c>
      <c r="P31" t="s">
        <v>3918</v>
      </c>
      <c r="Q31" t="s">
        <v>3930</v>
      </c>
      <c r="R31" t="s">
        <v>141</v>
      </c>
      <c r="S31" t="s">
        <v>3948</v>
      </c>
      <c r="T31" t="s">
        <v>3628</v>
      </c>
      <c r="U31">
        <v>0.23130000000000001</v>
      </c>
      <c r="V31">
        <v>0.23319999999999999</v>
      </c>
      <c r="W31" t="s">
        <v>52</v>
      </c>
      <c r="X31">
        <v>1.0179</v>
      </c>
      <c r="Y31">
        <v>1.0401</v>
      </c>
      <c r="Z31">
        <v>1.0391999999999999</v>
      </c>
      <c r="AA31">
        <v>1.0179</v>
      </c>
      <c r="AB31">
        <v>22.087199999999999</v>
      </c>
      <c r="AC31">
        <v>22.087700000000002</v>
      </c>
      <c r="AD31">
        <v>20.8965</v>
      </c>
      <c r="AE31">
        <v>20.896999999999998</v>
      </c>
      <c r="AF31" t="s">
        <v>3949</v>
      </c>
      <c r="AG31" t="s">
        <v>3949</v>
      </c>
      <c r="AH31" t="s">
        <v>3894</v>
      </c>
      <c r="AI31" t="s">
        <v>3894</v>
      </c>
      <c r="AJ31" t="s">
        <v>3895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3896</v>
      </c>
      <c r="AT31" t="s">
        <v>3890</v>
      </c>
      <c r="AU31" t="s">
        <v>3950</v>
      </c>
      <c r="AV31" t="s">
        <v>3898</v>
      </c>
      <c r="AW31">
        <v>2</v>
      </c>
      <c r="AX31">
        <v>0</v>
      </c>
    </row>
    <row r="32" spans="1:50" x14ac:dyDescent="0.25">
      <c r="A32" t="s">
        <v>3951</v>
      </c>
      <c r="B32" t="s">
        <v>3889</v>
      </c>
      <c r="C32" t="s">
        <v>3890</v>
      </c>
      <c r="D32">
        <v>28.411999999999999</v>
      </c>
      <c r="E32">
        <v>28.331</v>
      </c>
      <c r="F32" s="2">
        <v>4.0000000000000001E-3</v>
      </c>
      <c r="G32" t="s">
        <v>3574</v>
      </c>
      <c r="H32" t="s">
        <v>360</v>
      </c>
      <c r="I32">
        <v>440529.67509999999</v>
      </c>
      <c r="J32">
        <v>1827459.4919</v>
      </c>
      <c r="K32">
        <v>440529.67509999999</v>
      </c>
      <c r="L32">
        <v>1827479.7298000001</v>
      </c>
      <c r="M32" t="s">
        <v>56</v>
      </c>
      <c r="N32" t="s">
        <v>57</v>
      </c>
      <c r="O32">
        <v>450</v>
      </c>
      <c r="P32" t="s">
        <v>3891</v>
      </c>
      <c r="Q32" t="s">
        <v>3892</v>
      </c>
      <c r="R32" t="s">
        <v>362</v>
      </c>
      <c r="S32" t="s">
        <v>3576</v>
      </c>
      <c r="T32" t="s">
        <v>363</v>
      </c>
      <c r="U32">
        <v>0</v>
      </c>
      <c r="V32">
        <v>0</v>
      </c>
      <c r="W32" t="s">
        <v>52</v>
      </c>
      <c r="X32">
        <v>0.88149999999999995</v>
      </c>
      <c r="Y32">
        <v>0.99329999999999996</v>
      </c>
      <c r="Z32">
        <v>0.99329999999999996</v>
      </c>
      <c r="AA32">
        <v>0.88149999999999995</v>
      </c>
      <c r="AB32">
        <v>20.2379</v>
      </c>
      <c r="AC32">
        <v>20.238099999999999</v>
      </c>
      <c r="AD32">
        <v>19.040700000000001</v>
      </c>
      <c r="AE32">
        <v>19.040900000000001</v>
      </c>
      <c r="AF32" t="s">
        <v>67</v>
      </c>
      <c r="AG32" t="s">
        <v>67</v>
      </c>
      <c r="AH32" t="s">
        <v>3894</v>
      </c>
      <c r="AI32" t="s">
        <v>3894</v>
      </c>
      <c r="AJ32" t="s">
        <v>3895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3896</v>
      </c>
      <c r="AT32" t="s">
        <v>3890</v>
      </c>
      <c r="AU32" t="s">
        <v>3897</v>
      </c>
      <c r="AV32" t="s">
        <v>3898</v>
      </c>
      <c r="AW32">
        <v>2</v>
      </c>
      <c r="AX32">
        <v>0</v>
      </c>
    </row>
    <row r="33" spans="1:50" x14ac:dyDescent="0.25">
      <c r="A33" t="s">
        <v>3952</v>
      </c>
      <c r="B33" t="s">
        <v>3889</v>
      </c>
      <c r="C33" t="s">
        <v>3890</v>
      </c>
      <c r="D33">
        <v>28.416</v>
      </c>
      <c r="E33">
        <v>28.335999999999999</v>
      </c>
      <c r="F33" s="2">
        <v>4.0000000000000001E-3</v>
      </c>
      <c r="G33" t="s">
        <v>3608</v>
      </c>
      <c r="H33" t="s">
        <v>3612</v>
      </c>
      <c r="I33">
        <v>440519.97509999998</v>
      </c>
      <c r="J33">
        <v>1827459.1143</v>
      </c>
      <c r="K33">
        <v>440519.97509999998</v>
      </c>
      <c r="L33">
        <v>1827479.1857</v>
      </c>
      <c r="M33" t="s">
        <v>56</v>
      </c>
      <c r="N33" t="s">
        <v>57</v>
      </c>
      <c r="O33">
        <v>450</v>
      </c>
      <c r="P33" t="s">
        <v>3891</v>
      </c>
      <c r="Q33" t="s">
        <v>3892</v>
      </c>
      <c r="R33" t="s">
        <v>3606</v>
      </c>
      <c r="S33" t="s">
        <v>3610</v>
      </c>
      <c r="T33" t="s">
        <v>3614</v>
      </c>
      <c r="U33">
        <v>0.13270000000000001</v>
      </c>
      <c r="V33">
        <v>0.13270000000000001</v>
      </c>
      <c r="W33" t="s">
        <v>52</v>
      </c>
      <c r="X33">
        <v>0.88170000000000004</v>
      </c>
      <c r="Y33">
        <v>0.9929</v>
      </c>
      <c r="Z33">
        <v>0.9929</v>
      </c>
      <c r="AA33">
        <v>0.88170000000000004</v>
      </c>
      <c r="AB33">
        <v>20.071400000000001</v>
      </c>
      <c r="AC33">
        <v>20.0716</v>
      </c>
      <c r="AD33">
        <v>18.874199999999998</v>
      </c>
      <c r="AE33">
        <v>18.874300000000002</v>
      </c>
      <c r="AF33" t="s">
        <v>67</v>
      </c>
      <c r="AG33" t="s">
        <v>67</v>
      </c>
      <c r="AH33" t="s">
        <v>3894</v>
      </c>
      <c r="AI33" t="s">
        <v>3894</v>
      </c>
      <c r="AJ33" t="s">
        <v>3895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3896</v>
      </c>
      <c r="AT33" t="s">
        <v>3890</v>
      </c>
      <c r="AU33" t="s">
        <v>3897</v>
      </c>
      <c r="AV33" t="s">
        <v>3898</v>
      </c>
      <c r="AW33">
        <v>2</v>
      </c>
      <c r="AX33">
        <v>0</v>
      </c>
    </row>
    <row r="34" spans="1:50" x14ac:dyDescent="0.25">
      <c r="A34" t="s">
        <v>3953</v>
      </c>
      <c r="B34" t="s">
        <v>3889</v>
      </c>
      <c r="C34" t="s">
        <v>3890</v>
      </c>
      <c r="D34">
        <v>30.768000000000001</v>
      </c>
      <c r="E34">
        <v>30.722000000000001</v>
      </c>
      <c r="F34" s="2">
        <v>4.0000000000000001E-3</v>
      </c>
      <c r="G34" t="s">
        <v>756</v>
      </c>
      <c r="H34" t="s">
        <v>291</v>
      </c>
      <c r="I34">
        <v>440183.07490000001</v>
      </c>
      <c r="J34">
        <v>1827455.8842</v>
      </c>
      <c r="K34">
        <v>440183.07490000001</v>
      </c>
      <c r="L34">
        <v>1827467.4001</v>
      </c>
      <c r="M34" t="s">
        <v>56</v>
      </c>
      <c r="N34" t="s">
        <v>57</v>
      </c>
      <c r="O34">
        <v>450</v>
      </c>
      <c r="P34" t="s">
        <v>3891</v>
      </c>
      <c r="Q34" t="s">
        <v>3892</v>
      </c>
      <c r="R34" t="s">
        <v>293</v>
      </c>
      <c r="S34" t="s">
        <v>758</v>
      </c>
      <c r="T34" t="s">
        <v>294</v>
      </c>
      <c r="U34">
        <v>-4.53E-2</v>
      </c>
      <c r="V34">
        <v>-4.53E-2</v>
      </c>
      <c r="W34" t="s">
        <v>52</v>
      </c>
      <c r="X34">
        <v>0.88100000000000001</v>
      </c>
      <c r="Y34">
        <v>0.91339999999999999</v>
      </c>
      <c r="Z34">
        <v>0.91339999999999999</v>
      </c>
      <c r="AA34">
        <v>0.88100000000000001</v>
      </c>
      <c r="AB34">
        <v>11.5159</v>
      </c>
      <c r="AC34">
        <v>11.516</v>
      </c>
      <c r="AD34">
        <v>10.3187</v>
      </c>
      <c r="AE34">
        <v>10.3188</v>
      </c>
      <c r="AF34" t="s">
        <v>67</v>
      </c>
      <c r="AG34" t="s">
        <v>67</v>
      </c>
      <c r="AH34" t="s">
        <v>3894</v>
      </c>
      <c r="AI34" t="s">
        <v>3894</v>
      </c>
      <c r="AJ34" t="s">
        <v>3895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3896</v>
      </c>
      <c r="AT34" t="s">
        <v>3890</v>
      </c>
      <c r="AU34" t="s">
        <v>3897</v>
      </c>
      <c r="AV34" t="s">
        <v>3898</v>
      </c>
      <c r="AW34">
        <v>2</v>
      </c>
      <c r="AX34">
        <v>0</v>
      </c>
    </row>
    <row r="35" spans="1:50" x14ac:dyDescent="0.25">
      <c r="A35" t="s">
        <v>3954</v>
      </c>
      <c r="B35" t="s">
        <v>3955</v>
      </c>
      <c r="C35" t="s">
        <v>3890</v>
      </c>
      <c r="D35">
        <v>29.411999999999999</v>
      </c>
      <c r="E35">
        <v>29.332000000000001</v>
      </c>
      <c r="F35" s="2">
        <v>4.0000000000000001E-3</v>
      </c>
      <c r="G35" t="s">
        <v>3418</v>
      </c>
      <c r="H35" t="s">
        <v>346</v>
      </c>
      <c r="I35">
        <v>440350.42509999999</v>
      </c>
      <c r="J35">
        <v>1827384.5236</v>
      </c>
      <c r="K35">
        <v>440370.39889999997</v>
      </c>
      <c r="L35">
        <v>1827384.5236</v>
      </c>
      <c r="M35" t="s">
        <v>56</v>
      </c>
      <c r="N35" t="s">
        <v>57</v>
      </c>
      <c r="O35">
        <v>600</v>
      </c>
      <c r="P35" t="s">
        <v>109</v>
      </c>
      <c r="Q35" t="s">
        <v>3892</v>
      </c>
      <c r="R35" t="s">
        <v>54</v>
      </c>
      <c r="S35" t="s">
        <v>525</v>
      </c>
      <c r="T35" t="s">
        <v>348</v>
      </c>
      <c r="U35">
        <v>0</v>
      </c>
      <c r="V35">
        <v>0</v>
      </c>
      <c r="W35" t="s">
        <v>52</v>
      </c>
      <c r="X35">
        <v>1.3282</v>
      </c>
      <c r="Y35">
        <v>1.3697999999999999</v>
      </c>
      <c r="Z35">
        <v>1.3697999999999999</v>
      </c>
      <c r="AA35">
        <v>1.3282</v>
      </c>
      <c r="AB35">
        <v>19.973800000000001</v>
      </c>
      <c r="AC35">
        <v>19.974</v>
      </c>
      <c r="AD35">
        <v>18.777200000000001</v>
      </c>
      <c r="AE35">
        <v>18.7774</v>
      </c>
      <c r="AF35" t="s">
        <v>183</v>
      </c>
      <c r="AG35" t="s">
        <v>183</v>
      </c>
      <c r="AH35" t="s">
        <v>3894</v>
      </c>
      <c r="AI35" t="s">
        <v>3894</v>
      </c>
      <c r="AJ35" t="s">
        <v>3895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3896</v>
      </c>
      <c r="AT35" t="s">
        <v>3890</v>
      </c>
      <c r="AU35" t="s">
        <v>3956</v>
      </c>
      <c r="AV35" t="s">
        <v>3898</v>
      </c>
      <c r="AW35">
        <v>2</v>
      </c>
      <c r="AX35">
        <v>0</v>
      </c>
    </row>
    <row r="36" spans="1:50" x14ac:dyDescent="0.25">
      <c r="A36" t="s">
        <v>3957</v>
      </c>
      <c r="B36" t="s">
        <v>3889</v>
      </c>
      <c r="C36" t="s">
        <v>3890</v>
      </c>
      <c r="D36">
        <v>29.866</v>
      </c>
      <c r="E36">
        <v>29.815999999999999</v>
      </c>
      <c r="F36" s="2">
        <v>3.8999999999999998E-3</v>
      </c>
      <c r="G36" t="s">
        <v>2174</v>
      </c>
      <c r="H36" t="s">
        <v>213</v>
      </c>
      <c r="I36">
        <v>440323.97489999997</v>
      </c>
      <c r="J36">
        <v>1827821.1248000001</v>
      </c>
      <c r="K36">
        <v>440323.97489999997</v>
      </c>
      <c r="L36">
        <v>1827808.2206999999</v>
      </c>
      <c r="M36" t="s">
        <v>56</v>
      </c>
      <c r="N36" t="s">
        <v>57</v>
      </c>
      <c r="O36">
        <v>450</v>
      </c>
      <c r="P36" t="s">
        <v>3891</v>
      </c>
      <c r="Q36" t="s">
        <v>3892</v>
      </c>
      <c r="R36" t="s">
        <v>161</v>
      </c>
      <c r="S36" s="1" t="s">
        <v>3958</v>
      </c>
      <c r="T36" t="s">
        <v>215</v>
      </c>
      <c r="U36">
        <v>0</v>
      </c>
      <c r="V36">
        <v>0</v>
      </c>
      <c r="W36" t="s">
        <v>52</v>
      </c>
      <c r="X36">
        <v>0.86280000000000001</v>
      </c>
      <c r="Y36">
        <v>0.90569999999999995</v>
      </c>
      <c r="Z36">
        <v>0.90569999999999995</v>
      </c>
      <c r="AA36">
        <v>0.88349999999999995</v>
      </c>
      <c r="AB36">
        <v>12.6799</v>
      </c>
      <c r="AC36">
        <v>12.68</v>
      </c>
      <c r="AD36">
        <v>11.7067</v>
      </c>
      <c r="AE36">
        <v>11.706799999999999</v>
      </c>
      <c r="AF36" t="s">
        <v>2233</v>
      </c>
      <c r="AG36" t="s">
        <v>2233</v>
      </c>
      <c r="AH36" t="s">
        <v>3894</v>
      </c>
      <c r="AI36" t="s">
        <v>3894</v>
      </c>
      <c r="AJ36" t="s">
        <v>3895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3896</v>
      </c>
      <c r="AT36" t="s">
        <v>3890</v>
      </c>
      <c r="AU36" t="s">
        <v>3897</v>
      </c>
      <c r="AV36" t="s">
        <v>3898</v>
      </c>
      <c r="AW36">
        <v>2</v>
      </c>
      <c r="AX36">
        <v>0</v>
      </c>
    </row>
    <row r="37" spans="1:50" x14ac:dyDescent="0.25">
      <c r="A37" t="s">
        <v>3959</v>
      </c>
      <c r="B37" t="s">
        <v>3889</v>
      </c>
      <c r="C37" t="s">
        <v>3890</v>
      </c>
      <c r="D37">
        <v>32.817</v>
      </c>
      <c r="E37">
        <v>32.768999999999998</v>
      </c>
      <c r="F37" s="2">
        <v>4.0000000000000001E-3</v>
      </c>
      <c r="G37" t="s">
        <v>430</v>
      </c>
      <c r="H37" t="s">
        <v>72</v>
      </c>
      <c r="I37">
        <v>439938.87520000001</v>
      </c>
      <c r="J37">
        <v>1827399.4839000001</v>
      </c>
      <c r="K37">
        <v>439938.87520000001</v>
      </c>
      <c r="L37">
        <v>1827411.4247999999</v>
      </c>
      <c r="M37" t="s">
        <v>56</v>
      </c>
      <c r="N37" t="s">
        <v>57</v>
      </c>
      <c r="O37">
        <v>450</v>
      </c>
      <c r="P37" t="s">
        <v>3891</v>
      </c>
      <c r="Q37" t="s">
        <v>3892</v>
      </c>
      <c r="R37" t="s">
        <v>75</v>
      </c>
      <c r="S37" t="s">
        <v>432</v>
      </c>
      <c r="T37" t="s">
        <v>76</v>
      </c>
      <c r="U37">
        <v>-0.15129999999999999</v>
      </c>
      <c r="V37">
        <v>-0.15129999999999999</v>
      </c>
      <c r="W37" t="s">
        <v>52</v>
      </c>
      <c r="X37">
        <v>0.88260000000000005</v>
      </c>
      <c r="Y37">
        <v>0.95789999999999997</v>
      </c>
      <c r="Z37">
        <v>0.94210000000000005</v>
      </c>
      <c r="AA37">
        <v>0.88260000000000005</v>
      </c>
      <c r="AB37">
        <v>11.941000000000001</v>
      </c>
      <c r="AC37">
        <v>11.9411</v>
      </c>
      <c r="AD37">
        <v>10.7438</v>
      </c>
      <c r="AE37">
        <v>10.7439</v>
      </c>
      <c r="AF37" t="s">
        <v>67</v>
      </c>
      <c r="AG37" t="s">
        <v>67</v>
      </c>
      <c r="AH37" t="s">
        <v>3894</v>
      </c>
      <c r="AI37" t="s">
        <v>3894</v>
      </c>
      <c r="AJ37" t="s">
        <v>3895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3896</v>
      </c>
      <c r="AT37" t="s">
        <v>3890</v>
      </c>
      <c r="AU37" t="s">
        <v>3897</v>
      </c>
      <c r="AV37" t="s">
        <v>3898</v>
      </c>
      <c r="AW37">
        <v>2</v>
      </c>
      <c r="AX37">
        <v>0</v>
      </c>
    </row>
    <row r="38" spans="1:50" x14ac:dyDescent="0.25">
      <c r="A38" t="s">
        <v>3960</v>
      </c>
      <c r="B38" t="s">
        <v>3889</v>
      </c>
      <c r="C38" t="s">
        <v>3890</v>
      </c>
      <c r="D38">
        <v>30.593</v>
      </c>
      <c r="E38">
        <v>30.518999999999998</v>
      </c>
      <c r="F38" s="2">
        <v>4.0000000000000001E-3</v>
      </c>
      <c r="G38" t="s">
        <v>2300</v>
      </c>
      <c r="H38" t="s">
        <v>2304</v>
      </c>
      <c r="I38">
        <v>440464.07510000002</v>
      </c>
      <c r="J38">
        <v>1828018.3263999999</v>
      </c>
      <c r="K38">
        <v>440464.07510000002</v>
      </c>
      <c r="L38">
        <v>1827999.7261000001</v>
      </c>
      <c r="M38" t="s">
        <v>56</v>
      </c>
      <c r="N38" t="s">
        <v>57</v>
      </c>
      <c r="O38">
        <v>450</v>
      </c>
      <c r="P38" t="s">
        <v>3891</v>
      </c>
      <c r="Q38" t="s">
        <v>3892</v>
      </c>
      <c r="R38" t="s">
        <v>210</v>
      </c>
      <c r="S38" t="s">
        <v>2302</v>
      </c>
      <c r="T38" t="s">
        <v>2306</v>
      </c>
      <c r="U38">
        <v>-1E-4</v>
      </c>
      <c r="V38">
        <v>-1E-4</v>
      </c>
      <c r="W38" t="s">
        <v>52</v>
      </c>
      <c r="X38">
        <v>0.88239999999999996</v>
      </c>
      <c r="Y38">
        <v>0.95669999999999999</v>
      </c>
      <c r="Z38">
        <v>0.95669999999999999</v>
      </c>
      <c r="AA38">
        <v>0.88239999999999996</v>
      </c>
      <c r="AB38">
        <v>18.600300000000001</v>
      </c>
      <c r="AC38">
        <v>18.6005</v>
      </c>
      <c r="AD38">
        <v>17.403099999999998</v>
      </c>
      <c r="AE38">
        <v>17.403199999999998</v>
      </c>
      <c r="AF38" t="s">
        <v>3905</v>
      </c>
      <c r="AG38" t="s">
        <v>3905</v>
      </c>
      <c r="AH38" t="s">
        <v>3894</v>
      </c>
      <c r="AI38" t="s">
        <v>3894</v>
      </c>
      <c r="AJ38" t="s">
        <v>3895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3896</v>
      </c>
      <c r="AT38" t="s">
        <v>3890</v>
      </c>
      <c r="AU38" t="s">
        <v>3897</v>
      </c>
      <c r="AV38" t="s">
        <v>3898</v>
      </c>
      <c r="AW38">
        <v>2</v>
      </c>
      <c r="AX38">
        <v>0</v>
      </c>
    </row>
    <row r="39" spans="1:50" x14ac:dyDescent="0.25">
      <c r="A39" t="s">
        <v>3961</v>
      </c>
      <c r="B39" t="s">
        <v>3917</v>
      </c>
      <c r="C39" t="s">
        <v>3890</v>
      </c>
      <c r="D39">
        <v>28.404</v>
      </c>
      <c r="E39">
        <v>28.324000000000002</v>
      </c>
      <c r="F39" s="2">
        <v>3.5999999999999999E-3</v>
      </c>
      <c r="G39" t="s">
        <v>896</v>
      </c>
      <c r="H39" t="s">
        <v>139</v>
      </c>
      <c r="I39">
        <v>440258.19990000001</v>
      </c>
      <c r="J39">
        <v>1827531.6088</v>
      </c>
      <c r="K39">
        <v>440280.33559999999</v>
      </c>
      <c r="L39">
        <v>1827531.6088</v>
      </c>
      <c r="M39" t="s">
        <v>56</v>
      </c>
      <c r="N39" t="s">
        <v>57</v>
      </c>
      <c r="O39">
        <v>750</v>
      </c>
      <c r="P39" t="s">
        <v>3918</v>
      </c>
      <c r="Q39" t="s">
        <v>3919</v>
      </c>
      <c r="R39" t="s">
        <v>141</v>
      </c>
      <c r="S39" t="s">
        <v>898</v>
      </c>
      <c r="T39" s="1" t="s">
        <v>142</v>
      </c>
      <c r="U39">
        <v>5.8400000000000001E-2</v>
      </c>
      <c r="V39">
        <v>5.8400000000000001E-2</v>
      </c>
      <c r="W39" t="s">
        <v>52</v>
      </c>
      <c r="X39">
        <v>1.7518</v>
      </c>
      <c r="Y39">
        <v>1.7945</v>
      </c>
      <c r="Z39">
        <v>1.7945</v>
      </c>
      <c r="AA39">
        <v>1.7518</v>
      </c>
      <c r="AB39">
        <v>22.1357</v>
      </c>
      <c r="AC39">
        <v>22.1358</v>
      </c>
      <c r="AD39">
        <v>20.939499999999999</v>
      </c>
      <c r="AE39">
        <v>20.939599999999999</v>
      </c>
      <c r="AF39" t="s">
        <v>3920</v>
      </c>
      <c r="AG39" t="s">
        <v>3920</v>
      </c>
      <c r="AH39" t="s">
        <v>3894</v>
      </c>
      <c r="AI39" t="s">
        <v>3894</v>
      </c>
      <c r="AJ39" t="s">
        <v>3895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3896</v>
      </c>
      <c r="AT39" t="s">
        <v>3890</v>
      </c>
      <c r="AU39" t="s">
        <v>3921</v>
      </c>
      <c r="AV39" t="s">
        <v>3898</v>
      </c>
      <c r="AW39">
        <v>2</v>
      </c>
      <c r="AX39">
        <v>0</v>
      </c>
    </row>
    <row r="40" spans="1:50" x14ac:dyDescent="0.25">
      <c r="A40" t="s">
        <v>3962</v>
      </c>
      <c r="B40" t="s">
        <v>3963</v>
      </c>
      <c r="C40" t="s">
        <v>3890</v>
      </c>
      <c r="D40">
        <v>31.433</v>
      </c>
      <c r="E40">
        <v>31.364999999999998</v>
      </c>
      <c r="F40" s="2">
        <v>4.0000000000000001E-3</v>
      </c>
      <c r="G40" t="s">
        <v>398</v>
      </c>
      <c r="H40" t="s">
        <v>1390</v>
      </c>
      <c r="I40">
        <v>440053.69949999999</v>
      </c>
      <c r="J40">
        <v>1827621.1351999999</v>
      </c>
      <c r="K40">
        <v>440053.69949999999</v>
      </c>
      <c r="L40">
        <v>1827604.1370000001</v>
      </c>
      <c r="M40" t="s">
        <v>56</v>
      </c>
      <c r="N40" t="s">
        <v>57</v>
      </c>
      <c r="O40">
        <v>600</v>
      </c>
      <c r="P40" t="s">
        <v>3891</v>
      </c>
      <c r="Q40" t="s">
        <v>3892</v>
      </c>
      <c r="R40" t="s">
        <v>381</v>
      </c>
      <c r="S40" t="s">
        <v>400</v>
      </c>
      <c r="T40" t="s">
        <v>1392</v>
      </c>
      <c r="U40">
        <v>2.1100000000000001E-2</v>
      </c>
      <c r="V40">
        <v>1.61E-2</v>
      </c>
      <c r="W40" t="s">
        <v>52</v>
      </c>
      <c r="X40">
        <v>0.89039999999999997</v>
      </c>
      <c r="Y40">
        <v>0.91439999999999999</v>
      </c>
      <c r="Z40">
        <v>0.91439999999999999</v>
      </c>
      <c r="AA40">
        <v>0.89039999999999997</v>
      </c>
      <c r="AB40">
        <v>16.9983</v>
      </c>
      <c r="AC40">
        <v>16.9984</v>
      </c>
      <c r="AD40">
        <v>15.8017</v>
      </c>
      <c r="AE40">
        <v>15.8018</v>
      </c>
      <c r="AF40" t="s">
        <v>2233</v>
      </c>
      <c r="AG40" t="s">
        <v>2233</v>
      </c>
      <c r="AH40" t="s">
        <v>3894</v>
      </c>
      <c r="AI40" t="s">
        <v>3894</v>
      </c>
      <c r="AJ40" t="s">
        <v>3895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3896</v>
      </c>
      <c r="AT40" t="s">
        <v>3890</v>
      </c>
      <c r="AU40" t="s">
        <v>3964</v>
      </c>
      <c r="AV40" t="s">
        <v>3898</v>
      </c>
      <c r="AW40">
        <v>2</v>
      </c>
      <c r="AX40">
        <v>0</v>
      </c>
    </row>
    <row r="41" spans="1:50" x14ac:dyDescent="0.25">
      <c r="A41" t="s">
        <v>3965</v>
      </c>
      <c r="B41" t="s">
        <v>3963</v>
      </c>
      <c r="C41" t="s">
        <v>3890</v>
      </c>
      <c r="D41">
        <v>28.690999999999999</v>
      </c>
      <c r="E41">
        <v>28.640999999999998</v>
      </c>
      <c r="F41" s="2">
        <v>4.1999999999999997E-3</v>
      </c>
      <c r="G41" t="s">
        <v>375</v>
      </c>
      <c r="H41" t="s">
        <v>3560</v>
      </c>
      <c r="I41">
        <v>440464.0001</v>
      </c>
      <c r="J41">
        <v>1827519.5049999999</v>
      </c>
      <c r="K41">
        <v>440464.0001</v>
      </c>
      <c r="L41">
        <v>1827531.4338</v>
      </c>
      <c r="M41" t="s">
        <v>56</v>
      </c>
      <c r="N41" t="s">
        <v>57</v>
      </c>
      <c r="O41">
        <v>600</v>
      </c>
      <c r="P41" t="s">
        <v>3891</v>
      </c>
      <c r="Q41" t="s">
        <v>3892</v>
      </c>
      <c r="R41" t="s">
        <v>377</v>
      </c>
      <c r="S41" s="1" t="s">
        <v>3966</v>
      </c>
      <c r="T41" s="1" t="s">
        <v>3967</v>
      </c>
      <c r="U41">
        <v>-1.0200000000000001E-2</v>
      </c>
      <c r="V41">
        <v>-5.9999999999999995E-4</v>
      </c>
      <c r="W41" t="s">
        <v>52</v>
      </c>
      <c r="X41">
        <v>0.89500000000000002</v>
      </c>
      <c r="Y41">
        <v>1.0150999999999999</v>
      </c>
      <c r="Z41">
        <v>1.0150999999999999</v>
      </c>
      <c r="AA41">
        <v>0.89500000000000002</v>
      </c>
      <c r="AB41">
        <v>12.154</v>
      </c>
      <c r="AC41">
        <v>12.1541</v>
      </c>
      <c r="AD41">
        <v>11.1823</v>
      </c>
      <c r="AE41">
        <v>11.182399999999999</v>
      </c>
      <c r="AF41" t="s">
        <v>67</v>
      </c>
      <c r="AG41" t="s">
        <v>67</v>
      </c>
      <c r="AH41" t="s">
        <v>3894</v>
      </c>
      <c r="AI41" t="s">
        <v>3894</v>
      </c>
      <c r="AJ41" t="s">
        <v>3895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3896</v>
      </c>
      <c r="AT41" t="s">
        <v>3890</v>
      </c>
      <c r="AU41" t="s">
        <v>3964</v>
      </c>
      <c r="AV41" t="s">
        <v>3898</v>
      </c>
      <c r="AW41">
        <v>2</v>
      </c>
      <c r="AX41">
        <v>0</v>
      </c>
    </row>
    <row r="42" spans="1:50" x14ac:dyDescent="0.25">
      <c r="A42" t="s">
        <v>3968</v>
      </c>
      <c r="B42" t="s">
        <v>3928</v>
      </c>
      <c r="C42" t="s">
        <v>3890</v>
      </c>
      <c r="D42">
        <v>29.344000000000001</v>
      </c>
      <c r="E42">
        <v>29.286000000000001</v>
      </c>
      <c r="F42" s="2">
        <v>3.8999999999999998E-3</v>
      </c>
      <c r="G42" t="s">
        <v>2559</v>
      </c>
      <c r="H42" t="s">
        <v>249</v>
      </c>
      <c r="I42">
        <v>440595.0001</v>
      </c>
      <c r="J42">
        <v>1828047.3973000001</v>
      </c>
      <c r="K42">
        <v>440595.0001</v>
      </c>
      <c r="L42">
        <v>1828032.6344999999</v>
      </c>
      <c r="M42" t="s">
        <v>56</v>
      </c>
      <c r="N42" t="s">
        <v>57</v>
      </c>
      <c r="O42">
        <v>900</v>
      </c>
      <c r="P42" t="s">
        <v>3929</v>
      </c>
      <c r="Q42" t="s">
        <v>3930</v>
      </c>
      <c r="R42" t="s">
        <v>251</v>
      </c>
      <c r="S42" s="1" t="s">
        <v>3969</v>
      </c>
      <c r="T42" t="s">
        <v>252</v>
      </c>
      <c r="U42">
        <v>0</v>
      </c>
      <c r="V42">
        <v>0</v>
      </c>
      <c r="W42" t="s">
        <v>52</v>
      </c>
      <c r="X42">
        <v>1.2767999999999999</v>
      </c>
      <c r="Y42">
        <v>1.3613999999999999</v>
      </c>
      <c r="Z42">
        <v>1.3613999999999999</v>
      </c>
      <c r="AA42">
        <v>1.2767999999999999</v>
      </c>
      <c r="AB42">
        <v>14.763199999999999</v>
      </c>
      <c r="AC42">
        <v>14.763400000000001</v>
      </c>
      <c r="AD42">
        <v>13.867599999999999</v>
      </c>
      <c r="AE42">
        <v>13.867699999999999</v>
      </c>
      <c r="AF42" t="s">
        <v>2233</v>
      </c>
      <c r="AG42" t="s">
        <v>2233</v>
      </c>
      <c r="AH42" t="s">
        <v>3894</v>
      </c>
      <c r="AI42" t="s">
        <v>3894</v>
      </c>
      <c r="AJ42" t="s">
        <v>3895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3896</v>
      </c>
      <c r="AT42" t="s">
        <v>3890</v>
      </c>
      <c r="AU42" t="s">
        <v>3931</v>
      </c>
      <c r="AV42" t="s">
        <v>3898</v>
      </c>
      <c r="AW42">
        <v>2</v>
      </c>
      <c r="AX42">
        <v>0</v>
      </c>
    </row>
    <row r="43" spans="1:50" x14ac:dyDescent="0.25">
      <c r="A43" t="s">
        <v>3970</v>
      </c>
      <c r="B43" t="s">
        <v>3889</v>
      </c>
      <c r="C43" t="s">
        <v>3890</v>
      </c>
      <c r="D43">
        <v>30.332999999999998</v>
      </c>
      <c r="E43">
        <v>30.263999999999999</v>
      </c>
      <c r="F43" s="2">
        <v>4.0000000000000001E-3</v>
      </c>
      <c r="G43" t="s">
        <v>2439</v>
      </c>
      <c r="H43" t="s">
        <v>2443</v>
      </c>
      <c r="I43">
        <v>440529.67509999999</v>
      </c>
      <c r="J43">
        <v>1828015.9413000001</v>
      </c>
      <c r="K43">
        <v>440529.67509999999</v>
      </c>
      <c r="L43">
        <v>1827998.4774</v>
      </c>
      <c r="M43" t="s">
        <v>56</v>
      </c>
      <c r="N43" t="s">
        <v>57</v>
      </c>
      <c r="O43">
        <v>450</v>
      </c>
      <c r="P43" t="s">
        <v>3891</v>
      </c>
      <c r="Q43" t="s">
        <v>3892</v>
      </c>
      <c r="R43" t="s">
        <v>2436</v>
      </c>
      <c r="S43" t="s">
        <v>2441</v>
      </c>
      <c r="T43" t="s">
        <v>2445</v>
      </c>
      <c r="U43">
        <v>-2.3400000000000001E-2</v>
      </c>
      <c r="V43">
        <v>-2.3400000000000001E-2</v>
      </c>
      <c r="W43" t="s">
        <v>52</v>
      </c>
      <c r="X43">
        <v>0.8851</v>
      </c>
      <c r="Y43">
        <v>0.93179999999999996</v>
      </c>
      <c r="Z43">
        <v>0.93179999999999996</v>
      </c>
      <c r="AA43">
        <v>0.8851</v>
      </c>
      <c r="AB43">
        <v>17.463899999999999</v>
      </c>
      <c r="AC43">
        <v>17.464099999999998</v>
      </c>
      <c r="AD43">
        <v>16.2667</v>
      </c>
      <c r="AE43">
        <v>16.2668</v>
      </c>
      <c r="AF43" t="s">
        <v>2233</v>
      </c>
      <c r="AG43" t="s">
        <v>2233</v>
      </c>
      <c r="AH43" t="s">
        <v>3894</v>
      </c>
      <c r="AI43" t="s">
        <v>3894</v>
      </c>
      <c r="AJ43" t="s">
        <v>3895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3896</v>
      </c>
      <c r="AT43" t="s">
        <v>3890</v>
      </c>
      <c r="AU43" t="s">
        <v>3897</v>
      </c>
      <c r="AV43" t="s">
        <v>3898</v>
      </c>
      <c r="AW43">
        <v>2</v>
      </c>
      <c r="AX43">
        <v>0</v>
      </c>
    </row>
    <row r="44" spans="1:50" x14ac:dyDescent="0.25">
      <c r="A44" t="s">
        <v>3971</v>
      </c>
      <c r="B44" t="s">
        <v>3924</v>
      </c>
      <c r="C44" t="s">
        <v>3890</v>
      </c>
      <c r="D44">
        <v>30.184999999999999</v>
      </c>
      <c r="E44">
        <v>30.135999999999999</v>
      </c>
      <c r="F44" s="2">
        <v>3.7000000000000002E-3</v>
      </c>
      <c r="G44" t="s">
        <v>301</v>
      </c>
      <c r="H44" t="s">
        <v>768</v>
      </c>
      <c r="I44">
        <v>440192.6249</v>
      </c>
      <c r="J44">
        <v>1827518.4265000001</v>
      </c>
      <c r="K44">
        <v>440192.6249</v>
      </c>
      <c r="L44">
        <v>1827531.6088</v>
      </c>
      <c r="M44" t="s">
        <v>56</v>
      </c>
      <c r="N44" t="s">
        <v>57</v>
      </c>
      <c r="O44">
        <v>750</v>
      </c>
      <c r="P44" t="s">
        <v>3891</v>
      </c>
      <c r="Q44" t="s">
        <v>3892</v>
      </c>
      <c r="R44" t="s">
        <v>298</v>
      </c>
      <c r="S44" t="s">
        <v>303</v>
      </c>
      <c r="T44" s="1" t="s">
        <v>3925</v>
      </c>
      <c r="U44">
        <v>0</v>
      </c>
      <c r="V44">
        <v>0</v>
      </c>
      <c r="W44" t="s">
        <v>52</v>
      </c>
      <c r="X44">
        <v>0.89080000000000004</v>
      </c>
      <c r="Y44">
        <v>1.0681</v>
      </c>
      <c r="Z44">
        <v>1.0681</v>
      </c>
      <c r="AA44">
        <v>0.89080000000000004</v>
      </c>
      <c r="AB44">
        <v>13.2323</v>
      </c>
      <c r="AC44">
        <v>13.2324</v>
      </c>
      <c r="AD44">
        <v>12.260999999999999</v>
      </c>
      <c r="AE44">
        <v>12.261100000000001</v>
      </c>
      <c r="AF44" t="s">
        <v>67</v>
      </c>
      <c r="AG44" t="s">
        <v>67</v>
      </c>
      <c r="AH44" t="s">
        <v>3894</v>
      </c>
      <c r="AI44" t="s">
        <v>3894</v>
      </c>
      <c r="AJ44" t="s">
        <v>3895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3896</v>
      </c>
      <c r="AT44" t="s">
        <v>3890</v>
      </c>
      <c r="AU44" t="s">
        <v>3926</v>
      </c>
      <c r="AV44" t="s">
        <v>3898</v>
      </c>
      <c r="AW44">
        <v>2</v>
      </c>
      <c r="AX44">
        <v>0</v>
      </c>
    </row>
    <row r="45" spans="1:50" x14ac:dyDescent="0.25">
      <c r="A45" t="s">
        <v>3972</v>
      </c>
      <c r="B45" t="s">
        <v>3889</v>
      </c>
      <c r="C45" t="s">
        <v>3890</v>
      </c>
      <c r="D45">
        <v>30.687000000000001</v>
      </c>
      <c r="E45">
        <v>30.638999999999999</v>
      </c>
      <c r="F45" s="2">
        <v>4.0000000000000001E-3</v>
      </c>
      <c r="G45" t="s">
        <v>296</v>
      </c>
      <c r="H45" t="s">
        <v>748</v>
      </c>
      <c r="I45">
        <v>440192.77490000002</v>
      </c>
      <c r="J45">
        <v>1827467.5743</v>
      </c>
      <c r="K45">
        <v>440192.77490000002</v>
      </c>
      <c r="L45">
        <v>1827479.4838</v>
      </c>
      <c r="M45" t="s">
        <v>56</v>
      </c>
      <c r="N45" t="s">
        <v>57</v>
      </c>
      <c r="O45">
        <v>450</v>
      </c>
      <c r="P45" t="s">
        <v>3891</v>
      </c>
      <c r="Q45" t="s">
        <v>3892</v>
      </c>
      <c r="R45" t="s">
        <v>298</v>
      </c>
      <c r="S45" t="s">
        <v>299</v>
      </c>
      <c r="T45" t="s">
        <v>448</v>
      </c>
      <c r="U45">
        <v>-0.15</v>
      </c>
      <c r="V45">
        <v>-0.15</v>
      </c>
      <c r="W45" t="s">
        <v>52</v>
      </c>
      <c r="X45">
        <v>0.88190000000000002</v>
      </c>
      <c r="Y45">
        <v>0.91490000000000005</v>
      </c>
      <c r="Z45">
        <v>0.91490000000000005</v>
      </c>
      <c r="AA45">
        <v>0.88190000000000002</v>
      </c>
      <c r="AB45">
        <v>11.9095</v>
      </c>
      <c r="AC45">
        <v>11.909599999999999</v>
      </c>
      <c r="AD45">
        <v>10.712300000000001</v>
      </c>
      <c r="AE45">
        <v>10.712400000000001</v>
      </c>
      <c r="AF45" t="s">
        <v>3973</v>
      </c>
      <c r="AG45" t="s">
        <v>3973</v>
      </c>
      <c r="AH45" t="s">
        <v>3894</v>
      </c>
      <c r="AI45" t="s">
        <v>3894</v>
      </c>
      <c r="AJ45" t="s">
        <v>3895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3896</v>
      </c>
      <c r="AT45" t="s">
        <v>3890</v>
      </c>
      <c r="AU45" t="s">
        <v>3897</v>
      </c>
      <c r="AV45" t="s">
        <v>3898</v>
      </c>
      <c r="AW45">
        <v>2</v>
      </c>
      <c r="AX45">
        <v>0</v>
      </c>
    </row>
    <row r="46" spans="1:50" x14ac:dyDescent="0.25">
      <c r="A46" t="s">
        <v>3974</v>
      </c>
      <c r="B46" t="s">
        <v>3889</v>
      </c>
      <c r="C46" t="s">
        <v>3890</v>
      </c>
      <c r="D46">
        <v>30.361999999999998</v>
      </c>
      <c r="E46">
        <v>30.315999999999999</v>
      </c>
      <c r="F46" s="2">
        <v>2.5999999999999999E-3</v>
      </c>
      <c r="G46" t="s">
        <v>923</v>
      </c>
      <c r="H46" t="s">
        <v>96</v>
      </c>
      <c r="I46">
        <v>440284.74119999999</v>
      </c>
      <c r="J46">
        <v>1827425.1986</v>
      </c>
      <c r="K46">
        <v>440302.11979999999</v>
      </c>
      <c r="L46">
        <v>1827425.1986</v>
      </c>
      <c r="M46" t="s">
        <v>56</v>
      </c>
      <c r="N46" t="s">
        <v>57</v>
      </c>
      <c r="O46">
        <v>450</v>
      </c>
      <c r="P46" t="s">
        <v>3891</v>
      </c>
      <c r="Q46" t="s">
        <v>3892</v>
      </c>
      <c r="R46" t="s">
        <v>80</v>
      </c>
      <c r="S46" t="s">
        <v>925</v>
      </c>
      <c r="T46" t="s">
        <v>98</v>
      </c>
      <c r="U46">
        <v>2.6700000000000002E-2</v>
      </c>
      <c r="V46">
        <v>2.1000000000000001E-2</v>
      </c>
      <c r="W46" t="s">
        <v>52</v>
      </c>
      <c r="X46">
        <v>0.88019999999999998</v>
      </c>
      <c r="Y46">
        <v>0.94479999999999997</v>
      </c>
      <c r="Z46">
        <v>0.94479999999999997</v>
      </c>
      <c r="AA46">
        <v>0.88019999999999998</v>
      </c>
      <c r="AB46">
        <v>17.378699999999998</v>
      </c>
      <c r="AC46">
        <v>17.378699999999998</v>
      </c>
      <c r="AD46">
        <v>16.180499999999999</v>
      </c>
      <c r="AE46">
        <v>16.180599999999998</v>
      </c>
      <c r="AF46" t="s">
        <v>183</v>
      </c>
      <c r="AG46" t="s">
        <v>183</v>
      </c>
      <c r="AH46" t="s">
        <v>3894</v>
      </c>
      <c r="AI46" t="s">
        <v>3894</v>
      </c>
      <c r="AJ46" t="s">
        <v>3895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3896</v>
      </c>
      <c r="AT46" t="s">
        <v>3890</v>
      </c>
      <c r="AU46" t="s">
        <v>3897</v>
      </c>
      <c r="AV46" t="s">
        <v>3898</v>
      </c>
      <c r="AW46">
        <v>2</v>
      </c>
      <c r="AX46">
        <v>0</v>
      </c>
    </row>
    <row r="47" spans="1:50" x14ac:dyDescent="0.25">
      <c r="A47" t="s">
        <v>3975</v>
      </c>
      <c r="B47" t="s">
        <v>3889</v>
      </c>
      <c r="C47" t="s">
        <v>3890</v>
      </c>
      <c r="D47">
        <v>29.128</v>
      </c>
      <c r="E47">
        <v>29.042000000000002</v>
      </c>
      <c r="F47" s="2">
        <v>4.0000000000000001E-3</v>
      </c>
      <c r="G47" t="s">
        <v>115</v>
      </c>
      <c r="H47" t="s">
        <v>3501</v>
      </c>
      <c r="I47">
        <v>440387.3751</v>
      </c>
      <c r="J47">
        <v>1827510.1510000001</v>
      </c>
      <c r="K47">
        <v>440387.3751</v>
      </c>
      <c r="L47">
        <v>1827531.6588000001</v>
      </c>
      <c r="M47" t="s">
        <v>56</v>
      </c>
      <c r="N47" t="s">
        <v>57</v>
      </c>
      <c r="O47">
        <v>450</v>
      </c>
      <c r="P47" t="s">
        <v>3891</v>
      </c>
      <c r="Q47" t="s">
        <v>3892</v>
      </c>
      <c r="R47" t="s">
        <v>117</v>
      </c>
      <c r="S47" t="s">
        <v>118</v>
      </c>
      <c r="T47" t="s">
        <v>3976</v>
      </c>
      <c r="U47">
        <v>3.6400000000000002E-2</v>
      </c>
      <c r="V47">
        <v>3.6400000000000002E-2</v>
      </c>
      <c r="W47" t="s">
        <v>52</v>
      </c>
      <c r="X47">
        <v>0.85629999999999995</v>
      </c>
      <c r="Y47">
        <v>1.0584</v>
      </c>
      <c r="Z47">
        <v>1.0584</v>
      </c>
      <c r="AA47">
        <v>0.87060000000000004</v>
      </c>
      <c r="AB47">
        <v>21.509</v>
      </c>
      <c r="AC47">
        <v>21.5091</v>
      </c>
      <c r="AD47">
        <v>20.535599999999999</v>
      </c>
      <c r="AE47">
        <v>20.535699999999999</v>
      </c>
      <c r="AF47" t="s">
        <v>67</v>
      </c>
      <c r="AG47" t="s">
        <v>67</v>
      </c>
      <c r="AH47" t="s">
        <v>3894</v>
      </c>
      <c r="AI47" t="s">
        <v>3894</v>
      </c>
      <c r="AJ47" t="s">
        <v>3895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3896</v>
      </c>
      <c r="AT47" t="s">
        <v>3890</v>
      </c>
      <c r="AU47" t="s">
        <v>3897</v>
      </c>
      <c r="AV47" t="s">
        <v>3898</v>
      </c>
      <c r="AW47">
        <v>2</v>
      </c>
      <c r="AX47">
        <v>0</v>
      </c>
    </row>
    <row r="48" spans="1:50" x14ac:dyDescent="0.25">
      <c r="A48" t="s">
        <v>3977</v>
      </c>
      <c r="B48" t="s">
        <v>3889</v>
      </c>
      <c r="C48" t="s">
        <v>3890</v>
      </c>
      <c r="D48">
        <v>29.184000000000001</v>
      </c>
      <c r="E48">
        <v>29.135000000000002</v>
      </c>
      <c r="F48" s="2">
        <v>4.1000000000000003E-3</v>
      </c>
      <c r="G48" t="s">
        <v>78</v>
      </c>
      <c r="H48" t="s">
        <v>3544</v>
      </c>
      <c r="I48">
        <v>440442.48910000001</v>
      </c>
      <c r="J48">
        <v>1827425.1986</v>
      </c>
      <c r="K48">
        <v>440454.3751</v>
      </c>
      <c r="L48">
        <v>1827425.1986</v>
      </c>
      <c r="M48" t="s">
        <v>56</v>
      </c>
      <c r="N48" t="s">
        <v>57</v>
      </c>
      <c r="O48">
        <v>450</v>
      </c>
      <c r="P48" t="s">
        <v>3891</v>
      </c>
      <c r="Q48" t="s">
        <v>3892</v>
      </c>
      <c r="R48" t="s">
        <v>80</v>
      </c>
      <c r="S48" t="s">
        <v>81</v>
      </c>
      <c r="T48" t="s">
        <v>2712</v>
      </c>
      <c r="U48">
        <v>-2.4899999999999999E-2</v>
      </c>
      <c r="V48">
        <v>-2.8799999999999999E-2</v>
      </c>
      <c r="W48" t="s">
        <v>52</v>
      </c>
      <c r="X48">
        <v>0.8427</v>
      </c>
      <c r="Y48">
        <v>1.1182000000000001</v>
      </c>
      <c r="Z48">
        <v>1.1182000000000001</v>
      </c>
      <c r="AA48">
        <v>0.86470000000000002</v>
      </c>
      <c r="AB48">
        <v>12.036300000000001</v>
      </c>
      <c r="AC48">
        <v>12.0364</v>
      </c>
      <c r="AD48">
        <v>11.1389</v>
      </c>
      <c r="AE48">
        <v>11.138999999999999</v>
      </c>
      <c r="AF48" t="s">
        <v>183</v>
      </c>
      <c r="AG48" t="s">
        <v>183</v>
      </c>
      <c r="AH48" t="s">
        <v>3894</v>
      </c>
      <c r="AI48" t="s">
        <v>3894</v>
      </c>
      <c r="AJ48" t="s">
        <v>3895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3896</v>
      </c>
      <c r="AT48" t="s">
        <v>3890</v>
      </c>
      <c r="AU48" t="s">
        <v>3897</v>
      </c>
      <c r="AV48" t="s">
        <v>3898</v>
      </c>
      <c r="AW48">
        <v>2</v>
      </c>
      <c r="AX48">
        <v>0</v>
      </c>
    </row>
    <row r="49" spans="1:50" x14ac:dyDescent="0.25">
      <c r="A49" t="s">
        <v>3978</v>
      </c>
      <c r="B49" t="s">
        <v>3889</v>
      </c>
      <c r="C49" t="s">
        <v>3890</v>
      </c>
      <c r="D49">
        <v>30.327000000000002</v>
      </c>
      <c r="E49">
        <v>30.253</v>
      </c>
      <c r="F49" s="2">
        <v>4.0000000000000001E-3</v>
      </c>
      <c r="G49" t="s">
        <v>2390</v>
      </c>
      <c r="H49" t="s">
        <v>244</v>
      </c>
      <c r="I49">
        <v>440387.3751</v>
      </c>
      <c r="J49">
        <v>1827962.6984000001</v>
      </c>
      <c r="K49">
        <v>440387.3751</v>
      </c>
      <c r="L49">
        <v>1827944.331</v>
      </c>
      <c r="M49" t="s">
        <v>56</v>
      </c>
      <c r="N49" t="s">
        <v>57</v>
      </c>
      <c r="O49">
        <v>450</v>
      </c>
      <c r="P49" t="s">
        <v>3891</v>
      </c>
      <c r="Q49" t="s">
        <v>3892</v>
      </c>
      <c r="R49" t="s">
        <v>246</v>
      </c>
      <c r="S49" t="s">
        <v>440</v>
      </c>
      <c r="T49" t="s">
        <v>247</v>
      </c>
      <c r="U49">
        <v>0</v>
      </c>
      <c r="V49">
        <v>0</v>
      </c>
      <c r="W49" t="s">
        <v>52</v>
      </c>
      <c r="X49">
        <v>0.89580000000000004</v>
      </c>
      <c r="Y49">
        <v>0.99250000000000005</v>
      </c>
      <c r="Z49">
        <v>0.99250000000000005</v>
      </c>
      <c r="AA49">
        <v>0.89580000000000004</v>
      </c>
      <c r="AB49">
        <v>18.3674</v>
      </c>
      <c r="AC49">
        <v>18.3675</v>
      </c>
      <c r="AD49">
        <v>17.170200000000001</v>
      </c>
      <c r="AE49">
        <v>17.170300000000001</v>
      </c>
      <c r="AF49" t="s">
        <v>2233</v>
      </c>
      <c r="AG49" t="s">
        <v>2233</v>
      </c>
      <c r="AH49" t="s">
        <v>3894</v>
      </c>
      <c r="AI49" t="s">
        <v>3894</v>
      </c>
      <c r="AJ49" t="s">
        <v>3895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3896</v>
      </c>
      <c r="AT49" t="s">
        <v>3890</v>
      </c>
      <c r="AU49" t="s">
        <v>3897</v>
      </c>
      <c r="AV49" t="s">
        <v>3898</v>
      </c>
      <c r="AW49">
        <v>2</v>
      </c>
      <c r="AX49">
        <v>0</v>
      </c>
    </row>
    <row r="50" spans="1:50" x14ac:dyDescent="0.25">
      <c r="A50" t="s">
        <v>3979</v>
      </c>
      <c r="B50" t="s">
        <v>3889</v>
      </c>
      <c r="C50" t="s">
        <v>3890</v>
      </c>
      <c r="D50">
        <v>30.36</v>
      </c>
      <c r="E50">
        <v>30.314</v>
      </c>
      <c r="F50" s="2">
        <v>2.7000000000000001E-3</v>
      </c>
      <c r="G50" t="s">
        <v>930</v>
      </c>
      <c r="H50" t="s">
        <v>100</v>
      </c>
      <c r="I50">
        <v>440284.74119999999</v>
      </c>
      <c r="J50">
        <v>1827415.4986</v>
      </c>
      <c r="K50">
        <v>440302.00839999999</v>
      </c>
      <c r="L50">
        <v>1827415.4986</v>
      </c>
      <c r="M50" t="s">
        <v>56</v>
      </c>
      <c r="N50" t="s">
        <v>57</v>
      </c>
      <c r="O50">
        <v>450</v>
      </c>
      <c r="P50" t="s">
        <v>3891</v>
      </c>
      <c r="Q50" t="s">
        <v>3892</v>
      </c>
      <c r="R50" t="s">
        <v>85</v>
      </c>
      <c r="S50" t="s">
        <v>925</v>
      </c>
      <c r="T50" t="s">
        <v>102</v>
      </c>
      <c r="U50">
        <v>-0.1091</v>
      </c>
      <c r="V50">
        <v>-0.1072</v>
      </c>
      <c r="W50" t="s">
        <v>52</v>
      </c>
      <c r="X50">
        <v>0.88290000000000002</v>
      </c>
      <c r="Y50">
        <v>0.94679999999999997</v>
      </c>
      <c r="Z50">
        <v>0.94679999999999997</v>
      </c>
      <c r="AA50">
        <v>0.88290000000000002</v>
      </c>
      <c r="AB50">
        <v>17.267199999999999</v>
      </c>
      <c r="AC50">
        <v>17.267199999999999</v>
      </c>
      <c r="AD50">
        <v>16.069099999999999</v>
      </c>
      <c r="AE50">
        <v>16.069099999999999</v>
      </c>
      <c r="AF50" t="s">
        <v>183</v>
      </c>
      <c r="AG50" t="s">
        <v>183</v>
      </c>
      <c r="AH50" t="s">
        <v>3894</v>
      </c>
      <c r="AI50" t="s">
        <v>3894</v>
      </c>
      <c r="AJ50" t="s">
        <v>3895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3896</v>
      </c>
      <c r="AT50" t="s">
        <v>3890</v>
      </c>
      <c r="AU50" t="s">
        <v>3897</v>
      </c>
      <c r="AV50" t="s">
        <v>3898</v>
      </c>
      <c r="AW50">
        <v>2</v>
      </c>
      <c r="AX50">
        <v>0</v>
      </c>
    </row>
    <row r="51" spans="1:50" x14ac:dyDescent="0.25">
      <c r="A51" t="s">
        <v>3980</v>
      </c>
      <c r="B51" t="s">
        <v>3889</v>
      </c>
      <c r="C51" t="s">
        <v>3890</v>
      </c>
      <c r="D51">
        <v>30.774999999999999</v>
      </c>
      <c r="E51">
        <v>30.702999999999999</v>
      </c>
      <c r="F51" s="2">
        <v>4.0000000000000001E-3</v>
      </c>
      <c r="G51" t="s">
        <v>268</v>
      </c>
      <c r="H51" t="s">
        <v>2237</v>
      </c>
      <c r="I51">
        <v>440398.47509999998</v>
      </c>
      <c r="J51">
        <v>1828010.7342999999</v>
      </c>
      <c r="K51">
        <v>440398.47509999998</v>
      </c>
      <c r="L51">
        <v>1827992.7084999999</v>
      </c>
      <c r="M51" t="s">
        <v>56</v>
      </c>
      <c r="N51" t="s">
        <v>57</v>
      </c>
      <c r="O51">
        <v>450</v>
      </c>
      <c r="P51" t="s">
        <v>3891</v>
      </c>
      <c r="Q51" t="s">
        <v>3892</v>
      </c>
      <c r="R51" t="s">
        <v>270</v>
      </c>
      <c r="S51" t="s">
        <v>271</v>
      </c>
      <c r="T51" t="s">
        <v>2239</v>
      </c>
      <c r="U51">
        <v>-3.5000000000000003E-2</v>
      </c>
      <c r="V51">
        <v>-3.5000000000000003E-2</v>
      </c>
      <c r="W51" t="s">
        <v>52</v>
      </c>
      <c r="X51">
        <v>0.89539999999999997</v>
      </c>
      <c r="Y51">
        <v>0.9909</v>
      </c>
      <c r="Z51">
        <v>0.9909</v>
      </c>
      <c r="AA51">
        <v>0.89539999999999997</v>
      </c>
      <c r="AB51">
        <v>18.0258</v>
      </c>
      <c r="AC51">
        <v>18.0259</v>
      </c>
      <c r="AD51">
        <v>16.828600000000002</v>
      </c>
      <c r="AE51">
        <v>16.828700000000001</v>
      </c>
      <c r="AF51" t="s">
        <v>2233</v>
      </c>
      <c r="AG51" t="s">
        <v>2233</v>
      </c>
      <c r="AH51" t="s">
        <v>3894</v>
      </c>
      <c r="AI51" t="s">
        <v>3894</v>
      </c>
      <c r="AJ51" t="s">
        <v>3895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3896</v>
      </c>
      <c r="AT51" t="s">
        <v>3890</v>
      </c>
      <c r="AU51" t="s">
        <v>3897</v>
      </c>
      <c r="AV51" t="s">
        <v>3898</v>
      </c>
      <c r="AW51">
        <v>2</v>
      </c>
      <c r="AX51">
        <v>0</v>
      </c>
    </row>
    <row r="52" spans="1:50" x14ac:dyDescent="0.25">
      <c r="A52" t="s">
        <v>3981</v>
      </c>
      <c r="B52" t="s">
        <v>3889</v>
      </c>
      <c r="C52" t="s">
        <v>3890</v>
      </c>
      <c r="D52">
        <v>30.126999999999999</v>
      </c>
      <c r="E52">
        <v>30.047000000000001</v>
      </c>
      <c r="F52" s="2">
        <v>4.1000000000000003E-3</v>
      </c>
      <c r="G52" t="s">
        <v>2245</v>
      </c>
      <c r="H52" t="s">
        <v>2249</v>
      </c>
      <c r="I52">
        <v>440398.47509999998</v>
      </c>
      <c r="J52">
        <v>1827954.7489</v>
      </c>
      <c r="K52">
        <v>440398.47509999998</v>
      </c>
      <c r="L52">
        <v>1827935.2109000001</v>
      </c>
      <c r="M52" t="s">
        <v>56</v>
      </c>
      <c r="N52" t="s">
        <v>57</v>
      </c>
      <c r="O52">
        <v>450</v>
      </c>
      <c r="P52" t="s">
        <v>3891</v>
      </c>
      <c r="Q52" t="s">
        <v>3892</v>
      </c>
      <c r="R52" t="s">
        <v>270</v>
      </c>
      <c r="S52" t="s">
        <v>2247</v>
      </c>
      <c r="T52" t="s">
        <v>3982</v>
      </c>
      <c r="U52">
        <v>-3.5000000000000003E-2</v>
      </c>
      <c r="V52">
        <v>-3.5000000000000003E-2</v>
      </c>
      <c r="W52" t="s">
        <v>52</v>
      </c>
      <c r="X52">
        <v>0.84370000000000001</v>
      </c>
      <c r="Y52">
        <v>1.1186</v>
      </c>
      <c r="Z52">
        <v>1.1186</v>
      </c>
      <c r="AA52">
        <v>0.85389999999999999</v>
      </c>
      <c r="AB52">
        <v>19.689299999999999</v>
      </c>
      <c r="AC52">
        <v>19.689499999999999</v>
      </c>
      <c r="AD52">
        <v>18.790900000000001</v>
      </c>
      <c r="AE52">
        <v>18.791</v>
      </c>
      <c r="AF52" t="s">
        <v>3983</v>
      </c>
      <c r="AG52" t="s">
        <v>3983</v>
      </c>
      <c r="AH52" t="s">
        <v>3894</v>
      </c>
      <c r="AI52" t="s">
        <v>3894</v>
      </c>
      <c r="AJ52" t="s">
        <v>3895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3896</v>
      </c>
      <c r="AT52" t="s">
        <v>3890</v>
      </c>
      <c r="AU52" t="s">
        <v>3897</v>
      </c>
      <c r="AV52" t="s">
        <v>3898</v>
      </c>
      <c r="AW52">
        <v>2</v>
      </c>
      <c r="AX52">
        <v>0</v>
      </c>
    </row>
    <row r="53" spans="1:50" x14ac:dyDescent="0.25">
      <c r="A53" t="s">
        <v>3984</v>
      </c>
      <c r="B53" t="s">
        <v>3889</v>
      </c>
      <c r="C53" t="s">
        <v>3890</v>
      </c>
      <c r="D53">
        <v>29.05</v>
      </c>
      <c r="E53">
        <v>28.971</v>
      </c>
      <c r="F53" s="2">
        <v>4.0000000000000001E-3</v>
      </c>
      <c r="G53" t="s">
        <v>355</v>
      </c>
      <c r="H53" t="s">
        <v>3059</v>
      </c>
      <c r="I53">
        <v>440585.57510000002</v>
      </c>
      <c r="J53">
        <v>1827315.0294000001</v>
      </c>
      <c r="K53">
        <v>440585.57510000002</v>
      </c>
      <c r="L53">
        <v>1827334.8918000001</v>
      </c>
      <c r="M53" t="s">
        <v>56</v>
      </c>
      <c r="N53" t="s">
        <v>57</v>
      </c>
      <c r="O53">
        <v>450</v>
      </c>
      <c r="P53" t="s">
        <v>3891</v>
      </c>
      <c r="Q53" t="s">
        <v>3892</v>
      </c>
      <c r="R53" t="s">
        <v>357</v>
      </c>
      <c r="S53" t="s">
        <v>358</v>
      </c>
      <c r="T53" t="s">
        <v>3061</v>
      </c>
      <c r="U53">
        <v>0.1275</v>
      </c>
      <c r="V53">
        <v>0.11650000000000001</v>
      </c>
      <c r="W53" t="s">
        <v>52</v>
      </c>
      <c r="X53">
        <v>0.89990000000000003</v>
      </c>
      <c r="Y53">
        <v>0.93110000000000004</v>
      </c>
      <c r="Z53">
        <v>0.93110000000000004</v>
      </c>
      <c r="AA53">
        <v>0.89990000000000003</v>
      </c>
      <c r="AB53">
        <v>19.862400000000001</v>
      </c>
      <c r="AC53">
        <v>19.8626</v>
      </c>
      <c r="AD53">
        <v>18.665199999999999</v>
      </c>
      <c r="AE53">
        <v>18.665400000000002</v>
      </c>
      <c r="AF53" t="s">
        <v>3973</v>
      </c>
      <c r="AG53" t="s">
        <v>3973</v>
      </c>
      <c r="AH53" t="s">
        <v>3894</v>
      </c>
      <c r="AI53" t="s">
        <v>3894</v>
      </c>
      <c r="AJ53" t="s">
        <v>3895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3896</v>
      </c>
      <c r="AT53" t="s">
        <v>3890</v>
      </c>
      <c r="AU53" t="s">
        <v>3897</v>
      </c>
      <c r="AV53" t="s">
        <v>3898</v>
      </c>
      <c r="AW53">
        <v>2</v>
      </c>
      <c r="AX53">
        <v>0</v>
      </c>
    </row>
    <row r="54" spans="1:50" x14ac:dyDescent="0.25">
      <c r="A54" t="s">
        <v>3985</v>
      </c>
      <c r="B54" t="s">
        <v>3889</v>
      </c>
      <c r="C54" t="s">
        <v>3890</v>
      </c>
      <c r="D54">
        <v>29.335999999999999</v>
      </c>
      <c r="E54">
        <v>29.257999999999999</v>
      </c>
      <c r="F54" s="2">
        <v>3.3999999999999998E-3</v>
      </c>
      <c r="G54" t="s">
        <v>2193</v>
      </c>
      <c r="H54" t="s">
        <v>2197</v>
      </c>
      <c r="I54">
        <v>440323.97489999997</v>
      </c>
      <c r="J54">
        <v>1827715.9564</v>
      </c>
      <c r="K54">
        <v>440323.97489999997</v>
      </c>
      <c r="L54">
        <v>1827693.1836999999</v>
      </c>
      <c r="M54" t="s">
        <v>56</v>
      </c>
      <c r="N54" t="s">
        <v>57</v>
      </c>
      <c r="O54">
        <v>450</v>
      </c>
      <c r="P54" t="s">
        <v>3891</v>
      </c>
      <c r="Q54" t="s">
        <v>3892</v>
      </c>
      <c r="R54" t="s">
        <v>161</v>
      </c>
      <c r="S54" t="s">
        <v>2195</v>
      </c>
      <c r="T54" t="s">
        <v>3986</v>
      </c>
      <c r="U54">
        <v>0</v>
      </c>
      <c r="V54">
        <v>0</v>
      </c>
      <c r="W54" t="s">
        <v>52</v>
      </c>
      <c r="X54">
        <v>0.76890000000000003</v>
      </c>
      <c r="Y54">
        <v>1.0154000000000001</v>
      </c>
      <c r="Z54">
        <v>1.0147999999999999</v>
      </c>
      <c r="AA54">
        <v>0.82689999999999997</v>
      </c>
      <c r="AB54">
        <v>22.7727</v>
      </c>
      <c r="AC54">
        <v>22.7728</v>
      </c>
      <c r="AD54">
        <v>21.575099999999999</v>
      </c>
      <c r="AE54">
        <v>21.575199999999999</v>
      </c>
      <c r="AF54" t="s">
        <v>2233</v>
      </c>
      <c r="AG54" t="s">
        <v>2233</v>
      </c>
      <c r="AH54" t="s">
        <v>3894</v>
      </c>
      <c r="AI54" t="s">
        <v>3894</v>
      </c>
      <c r="AJ54" t="s">
        <v>3895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3896</v>
      </c>
      <c r="AT54" t="s">
        <v>3890</v>
      </c>
      <c r="AU54" t="s">
        <v>3897</v>
      </c>
      <c r="AV54" t="s">
        <v>3898</v>
      </c>
      <c r="AW54">
        <v>2</v>
      </c>
      <c r="AX54">
        <v>0</v>
      </c>
    </row>
    <row r="55" spans="1:50" x14ac:dyDescent="0.25">
      <c r="A55" t="s">
        <v>3987</v>
      </c>
      <c r="B55" t="s">
        <v>3917</v>
      </c>
      <c r="C55" t="s">
        <v>3890</v>
      </c>
      <c r="D55">
        <v>28.843</v>
      </c>
      <c r="E55">
        <v>28.786000000000001</v>
      </c>
      <c r="F55" s="2">
        <v>4.7000000000000002E-3</v>
      </c>
      <c r="G55" t="s">
        <v>135</v>
      </c>
      <c r="H55" t="s">
        <v>768</v>
      </c>
      <c r="I55">
        <v>440180.5344</v>
      </c>
      <c r="J55">
        <v>1827531.6088</v>
      </c>
      <c r="K55">
        <v>440192.6249</v>
      </c>
      <c r="L55">
        <v>1827531.6088</v>
      </c>
      <c r="M55" t="s">
        <v>56</v>
      </c>
      <c r="N55" t="s">
        <v>57</v>
      </c>
      <c r="O55">
        <v>750</v>
      </c>
      <c r="P55" t="s">
        <v>3918</v>
      </c>
      <c r="Q55" t="s">
        <v>3919</v>
      </c>
      <c r="R55" t="s">
        <v>127</v>
      </c>
      <c r="S55" t="s">
        <v>137</v>
      </c>
      <c r="T55" s="1" t="s">
        <v>770</v>
      </c>
      <c r="U55">
        <v>5.8400000000000001E-2</v>
      </c>
      <c r="V55">
        <v>5.8400000000000001E-2</v>
      </c>
      <c r="W55" t="s">
        <v>52</v>
      </c>
      <c r="X55">
        <v>1.7658</v>
      </c>
      <c r="Y55">
        <v>1.7901</v>
      </c>
      <c r="Z55">
        <v>1.7901</v>
      </c>
      <c r="AA55">
        <v>1.7658</v>
      </c>
      <c r="AB55">
        <v>12.0905</v>
      </c>
      <c r="AC55">
        <v>12.0906</v>
      </c>
      <c r="AD55">
        <v>10.8954</v>
      </c>
      <c r="AE55">
        <v>10.8955</v>
      </c>
      <c r="AF55" t="s">
        <v>3920</v>
      </c>
      <c r="AG55" t="s">
        <v>3920</v>
      </c>
      <c r="AH55" t="s">
        <v>3894</v>
      </c>
      <c r="AI55" t="s">
        <v>3894</v>
      </c>
      <c r="AJ55" t="s">
        <v>3895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3896</v>
      </c>
      <c r="AT55" t="s">
        <v>3890</v>
      </c>
      <c r="AU55" t="s">
        <v>3921</v>
      </c>
      <c r="AV55" t="s">
        <v>3898</v>
      </c>
      <c r="AW55">
        <v>2</v>
      </c>
      <c r="AX55">
        <v>0</v>
      </c>
    </row>
    <row r="56" spans="1:50" x14ac:dyDescent="0.25">
      <c r="A56" t="s">
        <v>3988</v>
      </c>
      <c r="B56" t="s">
        <v>3933</v>
      </c>
      <c r="C56" t="s">
        <v>3890</v>
      </c>
      <c r="D56">
        <v>30.422999999999998</v>
      </c>
      <c r="E56">
        <v>30.373999999999999</v>
      </c>
      <c r="F56" s="2">
        <v>3.7000000000000002E-3</v>
      </c>
      <c r="G56" t="s">
        <v>305</v>
      </c>
      <c r="H56" t="s">
        <v>730</v>
      </c>
      <c r="I56">
        <v>440127</v>
      </c>
      <c r="J56">
        <v>1827518.3991</v>
      </c>
      <c r="K56">
        <v>440127</v>
      </c>
      <c r="L56">
        <v>1827531.6088</v>
      </c>
      <c r="M56" t="s">
        <v>56</v>
      </c>
      <c r="N56" t="s">
        <v>57</v>
      </c>
      <c r="O56">
        <v>750</v>
      </c>
      <c r="P56" t="s">
        <v>58</v>
      </c>
      <c r="Q56" t="s">
        <v>3919</v>
      </c>
      <c r="R56" t="s">
        <v>307</v>
      </c>
      <c r="S56" t="s">
        <v>308</v>
      </c>
      <c r="T56" s="1" t="s">
        <v>3925</v>
      </c>
      <c r="U56">
        <v>3.3E-3</v>
      </c>
      <c r="V56">
        <v>1E-4</v>
      </c>
      <c r="W56" t="s">
        <v>52</v>
      </c>
      <c r="X56">
        <v>0.86370000000000002</v>
      </c>
      <c r="Y56">
        <v>1.2402</v>
      </c>
      <c r="Z56">
        <v>1.2402</v>
      </c>
      <c r="AA56">
        <v>0.86370000000000002</v>
      </c>
      <c r="AB56">
        <v>13.2597</v>
      </c>
      <c r="AC56">
        <v>13.2598</v>
      </c>
      <c r="AD56">
        <v>12.288600000000001</v>
      </c>
      <c r="AE56">
        <v>12.2887</v>
      </c>
      <c r="AF56" t="s">
        <v>67</v>
      </c>
      <c r="AG56" t="s">
        <v>67</v>
      </c>
      <c r="AH56" t="s">
        <v>3894</v>
      </c>
      <c r="AI56" t="s">
        <v>3894</v>
      </c>
      <c r="AJ56" t="s">
        <v>3895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3896</v>
      </c>
      <c r="AT56" t="s">
        <v>3890</v>
      </c>
      <c r="AU56" t="s">
        <v>3935</v>
      </c>
      <c r="AV56" t="s">
        <v>3898</v>
      </c>
      <c r="AW56">
        <v>2</v>
      </c>
      <c r="AX56">
        <v>0</v>
      </c>
    </row>
    <row r="57" spans="1:50" x14ac:dyDescent="0.25">
      <c r="A57" t="s">
        <v>3989</v>
      </c>
      <c r="B57" t="s">
        <v>3889</v>
      </c>
      <c r="C57" t="s">
        <v>3890</v>
      </c>
      <c r="D57">
        <v>30.349</v>
      </c>
      <c r="E57">
        <v>30.27</v>
      </c>
      <c r="F57" s="2">
        <v>4.0000000000000001E-3</v>
      </c>
      <c r="G57" t="s">
        <v>263</v>
      </c>
      <c r="H57" t="s">
        <v>2335</v>
      </c>
      <c r="I57">
        <v>440519.97509999998</v>
      </c>
      <c r="J57">
        <v>1828018.6033999999</v>
      </c>
      <c r="K57">
        <v>440519.97509999998</v>
      </c>
      <c r="L57">
        <v>1827998.953</v>
      </c>
      <c r="M57" t="s">
        <v>56</v>
      </c>
      <c r="N57" t="s">
        <v>57</v>
      </c>
      <c r="O57">
        <v>450</v>
      </c>
      <c r="P57" t="s">
        <v>3891</v>
      </c>
      <c r="Q57" t="s">
        <v>3892</v>
      </c>
      <c r="R57" t="s">
        <v>265</v>
      </c>
      <c r="S57" t="s">
        <v>266</v>
      </c>
      <c r="T57" t="s">
        <v>2337</v>
      </c>
      <c r="U57">
        <v>0</v>
      </c>
      <c r="V57">
        <v>0</v>
      </c>
      <c r="W57" t="s">
        <v>52</v>
      </c>
      <c r="X57">
        <v>0.88229999999999997</v>
      </c>
      <c r="Y57">
        <v>0.93340000000000001</v>
      </c>
      <c r="Z57">
        <v>0.93340000000000001</v>
      </c>
      <c r="AA57">
        <v>0.88229999999999997</v>
      </c>
      <c r="AB57">
        <v>19.650400000000001</v>
      </c>
      <c r="AC57">
        <v>19.650500000000001</v>
      </c>
      <c r="AD57">
        <v>18.453199999999999</v>
      </c>
      <c r="AE57">
        <v>18.453299999999999</v>
      </c>
      <c r="AF57" t="s">
        <v>2233</v>
      </c>
      <c r="AG57" t="s">
        <v>2233</v>
      </c>
      <c r="AH57" t="s">
        <v>3894</v>
      </c>
      <c r="AI57" t="s">
        <v>3894</v>
      </c>
      <c r="AJ57" t="s">
        <v>3895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3896</v>
      </c>
      <c r="AT57" t="s">
        <v>3890</v>
      </c>
      <c r="AU57" t="s">
        <v>3897</v>
      </c>
      <c r="AV57" t="s">
        <v>3898</v>
      </c>
      <c r="AW57">
        <v>2</v>
      </c>
      <c r="AX57">
        <v>0</v>
      </c>
    </row>
    <row r="58" spans="1:50" x14ac:dyDescent="0.25">
      <c r="A58" t="s">
        <v>3990</v>
      </c>
      <c r="B58" t="s">
        <v>3889</v>
      </c>
      <c r="C58" t="s">
        <v>3890</v>
      </c>
      <c r="D58">
        <v>31.63</v>
      </c>
      <c r="E58">
        <v>31.574999999999999</v>
      </c>
      <c r="F58" s="2">
        <v>2.8E-3</v>
      </c>
      <c r="G58" t="s">
        <v>696</v>
      </c>
      <c r="H58" t="s">
        <v>88</v>
      </c>
      <c r="I58">
        <v>440084.59409999999</v>
      </c>
      <c r="J58">
        <v>1827425.1986</v>
      </c>
      <c r="K58">
        <v>440104.1801</v>
      </c>
      <c r="L58">
        <v>1827425.1986</v>
      </c>
      <c r="M58" t="s">
        <v>56</v>
      </c>
      <c r="N58" t="s">
        <v>57</v>
      </c>
      <c r="O58">
        <v>450</v>
      </c>
      <c r="P58" t="s">
        <v>3891</v>
      </c>
      <c r="Q58" t="s">
        <v>3892</v>
      </c>
      <c r="R58" t="s">
        <v>80</v>
      </c>
      <c r="S58" t="s">
        <v>698</v>
      </c>
      <c r="T58" t="s">
        <v>90</v>
      </c>
      <c r="U58">
        <v>9.2200000000000004E-2</v>
      </c>
      <c r="V58">
        <v>8.5800000000000001E-2</v>
      </c>
      <c r="W58" t="s">
        <v>52</v>
      </c>
      <c r="X58">
        <v>0.88180000000000003</v>
      </c>
      <c r="Y58">
        <v>0.9516</v>
      </c>
      <c r="Z58">
        <v>0.9516</v>
      </c>
      <c r="AA58">
        <v>0.88180000000000003</v>
      </c>
      <c r="AB58">
        <v>19.585999999999999</v>
      </c>
      <c r="AC58">
        <v>19.586099999999998</v>
      </c>
      <c r="AD58">
        <v>18.388000000000002</v>
      </c>
      <c r="AE58">
        <v>18.388100000000001</v>
      </c>
      <c r="AF58" t="s">
        <v>2299</v>
      </c>
      <c r="AG58" t="s">
        <v>2299</v>
      </c>
      <c r="AH58" t="s">
        <v>3894</v>
      </c>
      <c r="AI58" t="s">
        <v>3894</v>
      </c>
      <c r="AJ58" t="s">
        <v>3895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3896</v>
      </c>
      <c r="AT58" t="s">
        <v>3890</v>
      </c>
      <c r="AU58" t="s">
        <v>3897</v>
      </c>
      <c r="AV58" t="s">
        <v>3898</v>
      </c>
      <c r="AW58">
        <v>2</v>
      </c>
      <c r="AX58">
        <v>0</v>
      </c>
    </row>
    <row r="59" spans="1:50" x14ac:dyDescent="0.25">
      <c r="A59" t="s">
        <v>3991</v>
      </c>
      <c r="B59" t="s">
        <v>3889</v>
      </c>
      <c r="C59" t="s">
        <v>3890</v>
      </c>
      <c r="D59">
        <v>29.47</v>
      </c>
      <c r="E59">
        <v>29.422000000000001</v>
      </c>
      <c r="F59" s="2">
        <v>4.0000000000000001E-3</v>
      </c>
      <c r="G59" t="s">
        <v>3532</v>
      </c>
      <c r="H59" t="s">
        <v>78</v>
      </c>
      <c r="I59">
        <v>440430.42509999999</v>
      </c>
      <c r="J59">
        <v>1827425.1986</v>
      </c>
      <c r="K59">
        <v>440442.48910000001</v>
      </c>
      <c r="L59">
        <v>1827425.1986</v>
      </c>
      <c r="M59" t="s">
        <v>56</v>
      </c>
      <c r="N59" t="s">
        <v>57</v>
      </c>
      <c r="O59">
        <v>450</v>
      </c>
      <c r="P59" t="s">
        <v>3891</v>
      </c>
      <c r="Q59" t="s">
        <v>3892</v>
      </c>
      <c r="R59" t="s">
        <v>80</v>
      </c>
      <c r="S59" t="s">
        <v>424</v>
      </c>
      <c r="T59" t="s">
        <v>81</v>
      </c>
      <c r="U59">
        <v>-2.1000000000000001E-2</v>
      </c>
      <c r="V59">
        <v>-2.4899999999999999E-2</v>
      </c>
      <c r="W59" t="s">
        <v>52</v>
      </c>
      <c r="X59">
        <v>0.88019999999999998</v>
      </c>
      <c r="Y59">
        <v>0.90900000000000003</v>
      </c>
      <c r="Z59">
        <v>0.90900000000000003</v>
      </c>
      <c r="AA59">
        <v>0.88019999999999998</v>
      </c>
      <c r="AB59">
        <v>12.064</v>
      </c>
      <c r="AC59">
        <v>12.0641</v>
      </c>
      <c r="AD59">
        <v>10.8668</v>
      </c>
      <c r="AE59">
        <v>10.8668</v>
      </c>
      <c r="AF59" t="s">
        <v>183</v>
      </c>
      <c r="AG59" t="s">
        <v>183</v>
      </c>
      <c r="AH59" t="s">
        <v>3894</v>
      </c>
      <c r="AI59" t="s">
        <v>3894</v>
      </c>
      <c r="AJ59" t="s">
        <v>3895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3896</v>
      </c>
      <c r="AT59" t="s">
        <v>3890</v>
      </c>
      <c r="AU59" t="s">
        <v>3897</v>
      </c>
      <c r="AV59" t="s">
        <v>3898</v>
      </c>
      <c r="AW59">
        <v>2</v>
      </c>
      <c r="AX59">
        <v>0</v>
      </c>
    </row>
    <row r="60" spans="1:50" x14ac:dyDescent="0.25">
      <c r="A60" t="s">
        <v>3992</v>
      </c>
      <c r="B60" t="s">
        <v>3889</v>
      </c>
      <c r="C60" t="s">
        <v>3890</v>
      </c>
      <c r="D60">
        <v>30.018000000000001</v>
      </c>
      <c r="E60">
        <v>29.94</v>
      </c>
      <c r="F60" s="2">
        <v>4.0000000000000001E-3</v>
      </c>
      <c r="G60" t="s">
        <v>2479</v>
      </c>
      <c r="H60" t="s">
        <v>2483</v>
      </c>
      <c r="I60">
        <v>440585.57510000002</v>
      </c>
      <c r="J60">
        <v>1828018.3262</v>
      </c>
      <c r="K60">
        <v>440585.57510000002</v>
      </c>
      <c r="L60">
        <v>1827998.7505000001</v>
      </c>
      <c r="M60" t="s">
        <v>56</v>
      </c>
      <c r="N60" t="s">
        <v>57</v>
      </c>
      <c r="O60">
        <v>450</v>
      </c>
      <c r="P60" t="s">
        <v>3891</v>
      </c>
      <c r="Q60" t="s">
        <v>3892</v>
      </c>
      <c r="R60" t="s">
        <v>2481</v>
      </c>
      <c r="S60" t="s">
        <v>2302</v>
      </c>
      <c r="T60" t="s">
        <v>2485</v>
      </c>
      <c r="U60">
        <v>0</v>
      </c>
      <c r="V60">
        <v>0</v>
      </c>
      <c r="W60" t="s">
        <v>52</v>
      </c>
      <c r="X60">
        <v>0.88219999999999998</v>
      </c>
      <c r="Y60">
        <v>1.0306</v>
      </c>
      <c r="Z60">
        <v>1.0306</v>
      </c>
      <c r="AA60">
        <v>0.88219999999999998</v>
      </c>
      <c r="AB60">
        <v>19.575700000000001</v>
      </c>
      <c r="AC60">
        <v>19.575800000000001</v>
      </c>
      <c r="AD60">
        <v>18.378499999999999</v>
      </c>
      <c r="AE60">
        <v>18.378599999999999</v>
      </c>
      <c r="AF60" t="s">
        <v>2233</v>
      </c>
      <c r="AG60" t="s">
        <v>2233</v>
      </c>
      <c r="AH60" t="s">
        <v>3894</v>
      </c>
      <c r="AI60" t="s">
        <v>3894</v>
      </c>
      <c r="AJ60" t="s">
        <v>3895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3896</v>
      </c>
      <c r="AT60" t="s">
        <v>3890</v>
      </c>
      <c r="AU60" t="s">
        <v>3897</v>
      </c>
      <c r="AV60" t="s">
        <v>3898</v>
      </c>
      <c r="AW60">
        <v>2</v>
      </c>
      <c r="AX60">
        <v>0</v>
      </c>
    </row>
    <row r="61" spans="1:50" x14ac:dyDescent="0.25">
      <c r="A61" t="s">
        <v>3993</v>
      </c>
      <c r="B61" t="s">
        <v>3889</v>
      </c>
      <c r="C61" t="s">
        <v>3890</v>
      </c>
      <c r="D61">
        <v>31.521000000000001</v>
      </c>
      <c r="E61">
        <v>31.442</v>
      </c>
      <c r="F61" s="2">
        <v>4.1000000000000003E-3</v>
      </c>
      <c r="G61" t="s">
        <v>3293</v>
      </c>
      <c r="H61" t="s">
        <v>3297</v>
      </c>
      <c r="I61">
        <v>440127.17489999998</v>
      </c>
      <c r="J61">
        <v>1827374.8986</v>
      </c>
      <c r="K61">
        <v>440146.60930000001</v>
      </c>
      <c r="L61">
        <v>1827374.8986</v>
      </c>
      <c r="M61" t="s">
        <v>56</v>
      </c>
      <c r="N61" t="s">
        <v>57</v>
      </c>
      <c r="O61">
        <v>450</v>
      </c>
      <c r="P61" t="s">
        <v>3891</v>
      </c>
      <c r="Q61" t="s">
        <v>3892</v>
      </c>
      <c r="R61" t="s">
        <v>3089</v>
      </c>
      <c r="S61" t="s">
        <v>3994</v>
      </c>
      <c r="T61" t="s">
        <v>3299</v>
      </c>
      <c r="U61">
        <v>-0.27500000000000002</v>
      </c>
      <c r="V61">
        <v>-0.27500000000000002</v>
      </c>
      <c r="W61" t="s">
        <v>52</v>
      </c>
      <c r="X61">
        <v>0.88229999999999997</v>
      </c>
      <c r="Y61">
        <v>0.95120000000000005</v>
      </c>
      <c r="Z61">
        <v>0.95120000000000005</v>
      </c>
      <c r="AA61">
        <v>0.88229999999999997</v>
      </c>
      <c r="AB61">
        <v>19.582699999999999</v>
      </c>
      <c r="AC61">
        <v>19.582799999999999</v>
      </c>
      <c r="AD61">
        <v>18.3855</v>
      </c>
      <c r="AE61">
        <v>18.3857</v>
      </c>
      <c r="AF61" t="s">
        <v>183</v>
      </c>
      <c r="AG61" t="s">
        <v>183</v>
      </c>
      <c r="AH61" t="s">
        <v>3894</v>
      </c>
      <c r="AI61" t="s">
        <v>3894</v>
      </c>
      <c r="AJ61" t="s">
        <v>3895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3896</v>
      </c>
      <c r="AT61" t="s">
        <v>3890</v>
      </c>
      <c r="AU61" t="s">
        <v>3897</v>
      </c>
      <c r="AV61" t="s">
        <v>3898</v>
      </c>
      <c r="AW61">
        <v>2</v>
      </c>
      <c r="AX61">
        <v>0</v>
      </c>
    </row>
    <row r="62" spans="1:50" x14ac:dyDescent="0.25">
      <c r="A62" t="s">
        <v>3995</v>
      </c>
      <c r="B62" t="s">
        <v>3996</v>
      </c>
      <c r="C62" t="s">
        <v>3890</v>
      </c>
      <c r="D62">
        <v>25.832999999999998</v>
      </c>
      <c r="E62">
        <v>25.815000000000001</v>
      </c>
      <c r="F62" s="2">
        <v>1.1000000000000001E-3</v>
      </c>
      <c r="G62" t="s">
        <v>178</v>
      </c>
      <c r="H62" t="s">
        <v>3803</v>
      </c>
      <c r="I62">
        <v>440568.5171</v>
      </c>
      <c r="J62">
        <v>1827549.9768000001</v>
      </c>
      <c r="K62">
        <v>440585.57510000002</v>
      </c>
      <c r="L62">
        <v>1827549.9776000001</v>
      </c>
      <c r="M62" t="s">
        <v>56</v>
      </c>
      <c r="N62" t="s">
        <v>57</v>
      </c>
      <c r="O62">
        <v>1350</v>
      </c>
      <c r="P62" t="s">
        <v>3997</v>
      </c>
      <c r="Q62" t="s">
        <v>3998</v>
      </c>
      <c r="R62" t="s">
        <v>180</v>
      </c>
      <c r="S62" t="s">
        <v>181</v>
      </c>
      <c r="T62" t="s">
        <v>3680</v>
      </c>
      <c r="U62">
        <v>-0.55700000000000005</v>
      </c>
      <c r="V62">
        <v>-0.55620000000000003</v>
      </c>
      <c r="W62" t="s">
        <v>52</v>
      </c>
      <c r="X62">
        <v>1.5464</v>
      </c>
      <c r="Y62">
        <v>1.7152000000000001</v>
      </c>
      <c r="Z62">
        <v>1.7008000000000001</v>
      </c>
      <c r="AA62">
        <v>1.5732999999999999</v>
      </c>
      <c r="AB62">
        <v>17.058</v>
      </c>
      <c r="AC62">
        <v>17.058</v>
      </c>
      <c r="AD62">
        <v>15.8599</v>
      </c>
      <c r="AE62">
        <v>15.8599</v>
      </c>
      <c r="AF62" t="s">
        <v>3999</v>
      </c>
      <c r="AG62" t="s">
        <v>3999</v>
      </c>
      <c r="AH62" t="s">
        <v>3894</v>
      </c>
      <c r="AI62" t="s">
        <v>3894</v>
      </c>
      <c r="AJ62" t="s">
        <v>3895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3896</v>
      </c>
      <c r="AT62" t="s">
        <v>3890</v>
      </c>
      <c r="AU62" t="s">
        <v>4000</v>
      </c>
      <c r="AV62" t="s">
        <v>3898</v>
      </c>
      <c r="AW62">
        <v>2</v>
      </c>
      <c r="AX62">
        <v>0</v>
      </c>
    </row>
    <row r="63" spans="1:50" x14ac:dyDescent="0.25">
      <c r="A63" t="s">
        <v>4001</v>
      </c>
      <c r="B63" t="s">
        <v>3917</v>
      </c>
      <c r="C63" t="s">
        <v>3890</v>
      </c>
      <c r="D63">
        <v>28.93</v>
      </c>
      <c r="E63">
        <v>28.881</v>
      </c>
      <c r="F63" s="2">
        <v>3.5999999999999999E-3</v>
      </c>
      <c r="G63" t="s">
        <v>737</v>
      </c>
      <c r="H63" t="s">
        <v>135</v>
      </c>
      <c r="I63">
        <v>440166.79350000003</v>
      </c>
      <c r="J63">
        <v>1827531.6088</v>
      </c>
      <c r="K63">
        <v>440180.5344</v>
      </c>
      <c r="L63">
        <v>1827531.6088</v>
      </c>
      <c r="M63" t="s">
        <v>56</v>
      </c>
      <c r="N63" t="s">
        <v>57</v>
      </c>
      <c r="O63">
        <v>750</v>
      </c>
      <c r="P63" t="s">
        <v>3918</v>
      </c>
      <c r="Q63" t="s">
        <v>3919</v>
      </c>
      <c r="R63" t="s">
        <v>127</v>
      </c>
      <c r="S63" t="s">
        <v>739</v>
      </c>
      <c r="T63" s="1" t="s">
        <v>137</v>
      </c>
      <c r="U63">
        <v>5.8400000000000001E-2</v>
      </c>
      <c r="V63">
        <v>5.8400000000000001E-2</v>
      </c>
      <c r="W63" t="s">
        <v>52</v>
      </c>
      <c r="X63">
        <v>1.7521</v>
      </c>
      <c r="Y63">
        <v>1.7813000000000001</v>
      </c>
      <c r="Z63">
        <v>1.7813000000000001</v>
      </c>
      <c r="AA63">
        <v>1.7521</v>
      </c>
      <c r="AB63">
        <v>13.741</v>
      </c>
      <c r="AC63">
        <v>13.741099999999999</v>
      </c>
      <c r="AD63">
        <v>12.544600000000001</v>
      </c>
      <c r="AE63">
        <v>12.544700000000001</v>
      </c>
      <c r="AF63" t="s">
        <v>3920</v>
      </c>
      <c r="AG63" t="s">
        <v>3920</v>
      </c>
      <c r="AH63" t="s">
        <v>3894</v>
      </c>
      <c r="AI63" t="s">
        <v>3894</v>
      </c>
      <c r="AJ63" t="s">
        <v>3895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3896</v>
      </c>
      <c r="AT63" t="s">
        <v>3890</v>
      </c>
      <c r="AU63" t="s">
        <v>3921</v>
      </c>
      <c r="AV63" t="s">
        <v>3898</v>
      </c>
      <c r="AW63">
        <v>2</v>
      </c>
      <c r="AX63">
        <v>0</v>
      </c>
    </row>
    <row r="64" spans="1:50" x14ac:dyDescent="0.25">
      <c r="A64" t="s">
        <v>4002</v>
      </c>
      <c r="B64" t="s">
        <v>3889</v>
      </c>
      <c r="C64" t="s">
        <v>3890</v>
      </c>
      <c r="D64">
        <v>30.622</v>
      </c>
      <c r="E64">
        <v>30.539000000000001</v>
      </c>
      <c r="F64" s="2">
        <v>4.0000000000000001E-3</v>
      </c>
      <c r="G64" t="s">
        <v>2276</v>
      </c>
      <c r="H64" t="s">
        <v>2279</v>
      </c>
      <c r="I64">
        <v>440454.3751</v>
      </c>
      <c r="J64">
        <v>1828022.6987000001</v>
      </c>
      <c r="K64">
        <v>440454.3751</v>
      </c>
      <c r="L64">
        <v>1828001.9399000001</v>
      </c>
      <c r="M64" t="s">
        <v>56</v>
      </c>
      <c r="N64" t="s">
        <v>57</v>
      </c>
      <c r="O64">
        <v>450</v>
      </c>
      <c r="P64" t="s">
        <v>3891</v>
      </c>
      <c r="Q64" t="s">
        <v>3892</v>
      </c>
      <c r="R64" t="s">
        <v>232</v>
      </c>
      <c r="S64" t="s">
        <v>452</v>
      </c>
      <c r="T64" t="s">
        <v>2281</v>
      </c>
      <c r="U64">
        <v>0.1784</v>
      </c>
      <c r="V64">
        <v>0.1784</v>
      </c>
      <c r="W64" t="s">
        <v>52</v>
      </c>
      <c r="X64">
        <v>0.88</v>
      </c>
      <c r="Y64">
        <v>0.96250000000000002</v>
      </c>
      <c r="Z64">
        <v>0.96250000000000002</v>
      </c>
      <c r="AA64">
        <v>0.88</v>
      </c>
      <c r="AB64">
        <v>20.758800000000001</v>
      </c>
      <c r="AC64">
        <v>20.759</v>
      </c>
      <c r="AD64">
        <v>19.561599999999999</v>
      </c>
      <c r="AE64">
        <v>19.561800000000002</v>
      </c>
      <c r="AF64" t="s">
        <v>3905</v>
      </c>
      <c r="AG64" t="s">
        <v>3905</v>
      </c>
      <c r="AH64" t="s">
        <v>3894</v>
      </c>
      <c r="AI64" t="s">
        <v>3894</v>
      </c>
      <c r="AJ64" t="s">
        <v>3895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3896</v>
      </c>
      <c r="AT64" t="s">
        <v>3890</v>
      </c>
      <c r="AU64" t="s">
        <v>3897</v>
      </c>
      <c r="AV64" t="s">
        <v>3898</v>
      </c>
      <c r="AW64">
        <v>2</v>
      </c>
      <c r="AX64">
        <v>0</v>
      </c>
    </row>
    <row r="65" spans="1:50" x14ac:dyDescent="0.25">
      <c r="A65" t="s">
        <v>4003</v>
      </c>
      <c r="B65" t="s">
        <v>4004</v>
      </c>
      <c r="C65" t="s">
        <v>3890</v>
      </c>
      <c r="D65">
        <v>29.917999999999999</v>
      </c>
      <c r="E65">
        <v>29.843</v>
      </c>
      <c r="F65" s="2">
        <v>4.1000000000000003E-3</v>
      </c>
      <c r="G65" t="s">
        <v>3394</v>
      </c>
      <c r="H65" t="s">
        <v>3407</v>
      </c>
      <c r="I65">
        <v>440295.8308</v>
      </c>
      <c r="J65">
        <v>1827374.9735999999</v>
      </c>
      <c r="K65">
        <v>440314.27490000002</v>
      </c>
      <c r="L65">
        <v>1827375.1236</v>
      </c>
      <c r="M65" t="s">
        <v>56</v>
      </c>
      <c r="N65" t="s">
        <v>57</v>
      </c>
      <c r="O65">
        <v>600</v>
      </c>
      <c r="P65" t="s">
        <v>58</v>
      </c>
      <c r="Q65" t="s">
        <v>3892</v>
      </c>
      <c r="R65" t="s">
        <v>3089</v>
      </c>
      <c r="S65" s="1" t="s">
        <v>3396</v>
      </c>
      <c r="T65" s="1" t="s">
        <v>3937</v>
      </c>
      <c r="U65">
        <v>-0.2</v>
      </c>
      <c r="V65">
        <v>-0.05</v>
      </c>
      <c r="W65" t="s">
        <v>52</v>
      </c>
      <c r="X65">
        <v>1.1443000000000001</v>
      </c>
      <c r="Y65">
        <v>1.3462000000000001</v>
      </c>
      <c r="Z65">
        <v>1.3462000000000001</v>
      </c>
      <c r="AA65">
        <v>1.1689000000000001</v>
      </c>
      <c r="AB65">
        <v>18.5562</v>
      </c>
      <c r="AC65">
        <v>18.5563</v>
      </c>
      <c r="AD65">
        <v>17.36</v>
      </c>
      <c r="AE65">
        <v>17.360199999999999</v>
      </c>
      <c r="AF65" t="s">
        <v>4005</v>
      </c>
      <c r="AG65" t="s">
        <v>4005</v>
      </c>
      <c r="AH65" t="s">
        <v>3894</v>
      </c>
      <c r="AI65" t="s">
        <v>3894</v>
      </c>
      <c r="AJ65" t="s">
        <v>3895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3896</v>
      </c>
      <c r="AT65" t="s">
        <v>3890</v>
      </c>
      <c r="AU65" t="s">
        <v>4006</v>
      </c>
      <c r="AV65" t="s">
        <v>3898</v>
      </c>
      <c r="AW65">
        <v>2</v>
      </c>
      <c r="AX65">
        <v>0</v>
      </c>
    </row>
    <row r="66" spans="1:50" x14ac:dyDescent="0.25">
      <c r="A66" t="s">
        <v>4007</v>
      </c>
      <c r="B66" t="s">
        <v>3889</v>
      </c>
      <c r="C66" t="s">
        <v>3890</v>
      </c>
      <c r="D66">
        <v>29.067</v>
      </c>
      <c r="E66">
        <v>28.984000000000002</v>
      </c>
      <c r="F66" s="2">
        <v>4.0000000000000001E-3</v>
      </c>
      <c r="G66" t="s">
        <v>120</v>
      </c>
      <c r="H66" t="s">
        <v>3505</v>
      </c>
      <c r="I66">
        <v>440398.47509999998</v>
      </c>
      <c r="J66">
        <v>1827510.9155999999</v>
      </c>
      <c r="K66">
        <v>440398.47509999998</v>
      </c>
      <c r="L66">
        <v>1827531.4338</v>
      </c>
      <c r="M66" t="s">
        <v>56</v>
      </c>
      <c r="N66" t="s">
        <v>57</v>
      </c>
      <c r="O66">
        <v>450</v>
      </c>
      <c r="P66" t="s">
        <v>3891</v>
      </c>
      <c r="Q66" t="s">
        <v>3892</v>
      </c>
      <c r="R66" t="s">
        <v>107</v>
      </c>
      <c r="S66" t="s">
        <v>122</v>
      </c>
      <c r="T66" s="1" t="s">
        <v>4008</v>
      </c>
      <c r="U66">
        <v>-2.0000000000000001E-4</v>
      </c>
      <c r="V66">
        <v>-2.0000000000000001E-4</v>
      </c>
      <c r="W66" t="s">
        <v>52</v>
      </c>
      <c r="X66">
        <v>0.85499999999999998</v>
      </c>
      <c r="Y66">
        <v>1.1154999999999999</v>
      </c>
      <c r="Z66">
        <v>1.1154999999999999</v>
      </c>
      <c r="AA66">
        <v>0.8649</v>
      </c>
      <c r="AB66">
        <v>20.743400000000001</v>
      </c>
      <c r="AC66">
        <v>20.743500000000001</v>
      </c>
      <c r="AD66">
        <v>19.771100000000001</v>
      </c>
      <c r="AE66">
        <v>19.7712</v>
      </c>
      <c r="AF66" t="s">
        <v>67</v>
      </c>
      <c r="AG66" t="s">
        <v>67</v>
      </c>
      <c r="AH66" t="s">
        <v>3894</v>
      </c>
      <c r="AI66" t="s">
        <v>3894</v>
      </c>
      <c r="AJ66" t="s">
        <v>3895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3896</v>
      </c>
      <c r="AT66" t="s">
        <v>3890</v>
      </c>
      <c r="AU66" t="s">
        <v>3897</v>
      </c>
      <c r="AV66" t="s">
        <v>3898</v>
      </c>
      <c r="AW66">
        <v>2</v>
      </c>
      <c r="AX66">
        <v>0</v>
      </c>
    </row>
    <row r="67" spans="1:50" x14ac:dyDescent="0.25">
      <c r="A67" t="s">
        <v>4009</v>
      </c>
      <c r="B67" t="s">
        <v>4010</v>
      </c>
      <c r="C67" t="s">
        <v>3890</v>
      </c>
      <c r="D67">
        <v>32.5</v>
      </c>
      <c r="E67">
        <v>32.420999999999999</v>
      </c>
      <c r="F67" s="2">
        <v>4.0000000000000001E-3</v>
      </c>
      <c r="G67" t="s">
        <v>1558</v>
      </c>
      <c r="H67" t="s">
        <v>1562</v>
      </c>
      <c r="I67">
        <v>439951.42479999998</v>
      </c>
      <c r="J67">
        <v>1827865.6044999999</v>
      </c>
      <c r="K67">
        <v>439951.42479999998</v>
      </c>
      <c r="L67">
        <v>1827845.8171000001</v>
      </c>
      <c r="M67" t="s">
        <v>56</v>
      </c>
      <c r="N67" t="s">
        <v>57</v>
      </c>
      <c r="O67">
        <v>900</v>
      </c>
      <c r="P67" t="s">
        <v>109</v>
      </c>
      <c r="Q67" t="s">
        <v>3919</v>
      </c>
      <c r="R67" t="s">
        <v>1510</v>
      </c>
      <c r="S67" t="s">
        <v>1560</v>
      </c>
      <c r="T67" t="s">
        <v>853</v>
      </c>
      <c r="U67">
        <v>-2.5000000000000001E-2</v>
      </c>
      <c r="V67">
        <v>-2.5000000000000001E-2</v>
      </c>
      <c r="W67" t="s">
        <v>52</v>
      </c>
      <c r="X67">
        <v>0.85209999999999997</v>
      </c>
      <c r="Y67">
        <v>0.86770000000000003</v>
      </c>
      <c r="Z67">
        <v>0.86770000000000003</v>
      </c>
      <c r="AA67">
        <v>0.85209999999999997</v>
      </c>
      <c r="AB67">
        <v>19.787400000000002</v>
      </c>
      <c r="AC67">
        <v>19.787500000000001</v>
      </c>
      <c r="AD67">
        <v>18.592099999999999</v>
      </c>
      <c r="AE67">
        <v>18.592300000000002</v>
      </c>
      <c r="AF67" t="s">
        <v>4011</v>
      </c>
      <c r="AG67" t="s">
        <v>4011</v>
      </c>
      <c r="AH67" t="s">
        <v>3894</v>
      </c>
      <c r="AI67" t="s">
        <v>3894</v>
      </c>
      <c r="AJ67" t="s">
        <v>3895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3896</v>
      </c>
      <c r="AT67" t="s">
        <v>3890</v>
      </c>
      <c r="AU67" t="s">
        <v>4012</v>
      </c>
      <c r="AV67" t="s">
        <v>3898</v>
      </c>
      <c r="AW67">
        <v>2</v>
      </c>
      <c r="AX67">
        <v>0</v>
      </c>
    </row>
    <row r="68" spans="1:50" x14ac:dyDescent="0.25">
      <c r="A68" t="s">
        <v>4013</v>
      </c>
      <c r="B68" t="s">
        <v>3889</v>
      </c>
      <c r="C68" t="s">
        <v>3890</v>
      </c>
      <c r="D68">
        <v>31.582999999999998</v>
      </c>
      <c r="E68">
        <v>31.515999999999998</v>
      </c>
      <c r="F68" s="2">
        <v>3.8999999999999998E-3</v>
      </c>
      <c r="G68" t="s">
        <v>3243</v>
      </c>
      <c r="H68" t="s">
        <v>48</v>
      </c>
      <c r="I68">
        <v>440117.47399999999</v>
      </c>
      <c r="J68">
        <v>1827384.5985999999</v>
      </c>
      <c r="K68">
        <v>440134.59769999998</v>
      </c>
      <c r="L68">
        <v>1827384.5985999999</v>
      </c>
      <c r="M68" t="s">
        <v>56</v>
      </c>
      <c r="N68" t="s">
        <v>57</v>
      </c>
      <c r="O68">
        <v>450</v>
      </c>
      <c r="P68" t="s">
        <v>3891</v>
      </c>
      <c r="Q68" t="s">
        <v>3892</v>
      </c>
      <c r="R68" t="s">
        <v>54</v>
      </c>
      <c r="S68" s="1" t="s">
        <v>3945</v>
      </c>
      <c r="T68" s="1" t="s">
        <v>55</v>
      </c>
      <c r="U68">
        <v>7.4999999999999997E-2</v>
      </c>
      <c r="V68">
        <v>7.4999999999999997E-2</v>
      </c>
      <c r="W68" t="s">
        <v>52</v>
      </c>
      <c r="X68">
        <v>0.88149999999999995</v>
      </c>
      <c r="Y68">
        <v>0.90790000000000004</v>
      </c>
      <c r="Z68">
        <v>0.88919999999999999</v>
      </c>
      <c r="AA68">
        <v>0.88149999999999995</v>
      </c>
      <c r="AB68">
        <v>16.6737</v>
      </c>
      <c r="AC68">
        <v>16.6738</v>
      </c>
      <c r="AD68">
        <v>15.4764</v>
      </c>
      <c r="AE68">
        <v>15.4765</v>
      </c>
      <c r="AF68" t="s">
        <v>183</v>
      </c>
      <c r="AG68" t="s">
        <v>183</v>
      </c>
      <c r="AH68" t="s">
        <v>3894</v>
      </c>
      <c r="AI68" t="s">
        <v>3894</v>
      </c>
      <c r="AJ68" t="s">
        <v>3895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3896</v>
      </c>
      <c r="AT68" t="s">
        <v>3890</v>
      </c>
      <c r="AU68" t="s">
        <v>3897</v>
      </c>
      <c r="AV68" t="s">
        <v>3898</v>
      </c>
      <c r="AW68">
        <v>2</v>
      </c>
      <c r="AX68">
        <v>0</v>
      </c>
    </row>
    <row r="69" spans="1:50" x14ac:dyDescent="0.25">
      <c r="A69" t="s">
        <v>4014</v>
      </c>
      <c r="B69" t="s">
        <v>4015</v>
      </c>
      <c r="C69" t="s">
        <v>3890</v>
      </c>
      <c r="D69">
        <v>31.343</v>
      </c>
      <c r="E69">
        <v>31.294</v>
      </c>
      <c r="F69" s="2">
        <v>3.5999999999999999E-3</v>
      </c>
      <c r="G69" t="s">
        <v>314</v>
      </c>
      <c r="H69" t="s">
        <v>519</v>
      </c>
      <c r="I69">
        <v>439938.70020000002</v>
      </c>
      <c r="J69">
        <v>1827517.8998</v>
      </c>
      <c r="K69">
        <v>439938.70020000002</v>
      </c>
      <c r="L69">
        <v>1827531.4338</v>
      </c>
      <c r="M69" t="s">
        <v>56</v>
      </c>
      <c r="N69" t="s">
        <v>57</v>
      </c>
      <c r="O69">
        <v>750</v>
      </c>
      <c r="P69" t="s">
        <v>109</v>
      </c>
      <c r="Q69" t="s">
        <v>3919</v>
      </c>
      <c r="R69" t="s">
        <v>75</v>
      </c>
      <c r="S69" t="s">
        <v>316</v>
      </c>
      <c r="T69" s="1" t="s">
        <v>3967</v>
      </c>
      <c r="U69">
        <v>2.3699999999999999E-2</v>
      </c>
      <c r="V69">
        <v>2.3699999999999999E-2</v>
      </c>
      <c r="W69" t="s">
        <v>52</v>
      </c>
      <c r="X69">
        <v>0.86880000000000002</v>
      </c>
      <c r="Y69">
        <v>1.2817000000000001</v>
      </c>
      <c r="Z69">
        <v>1.2817000000000001</v>
      </c>
      <c r="AA69">
        <v>0.86880000000000002</v>
      </c>
      <c r="AB69">
        <v>13.759</v>
      </c>
      <c r="AC69">
        <v>13.7591</v>
      </c>
      <c r="AD69">
        <v>12.787800000000001</v>
      </c>
      <c r="AE69">
        <v>12.7879</v>
      </c>
      <c r="AF69" t="s">
        <v>67</v>
      </c>
      <c r="AG69" t="s">
        <v>67</v>
      </c>
      <c r="AH69" t="s">
        <v>3894</v>
      </c>
      <c r="AI69" t="s">
        <v>3894</v>
      </c>
      <c r="AJ69" t="s">
        <v>3895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3896</v>
      </c>
      <c r="AT69" t="s">
        <v>3890</v>
      </c>
      <c r="AU69" t="s">
        <v>4016</v>
      </c>
      <c r="AV69" t="s">
        <v>3898</v>
      </c>
      <c r="AW69">
        <v>2</v>
      </c>
      <c r="AX69">
        <v>0</v>
      </c>
    </row>
    <row r="70" spans="1:50" x14ac:dyDescent="0.25">
      <c r="A70" t="s">
        <v>4017</v>
      </c>
      <c r="B70" t="s">
        <v>3889</v>
      </c>
      <c r="C70" t="s">
        <v>3890</v>
      </c>
      <c r="D70">
        <v>31.481999999999999</v>
      </c>
      <c r="E70">
        <v>31.419</v>
      </c>
      <c r="F70" s="2">
        <v>4.0000000000000001E-3</v>
      </c>
      <c r="G70" t="s">
        <v>48</v>
      </c>
      <c r="H70" t="s">
        <v>3247</v>
      </c>
      <c r="I70">
        <v>440134.59769999998</v>
      </c>
      <c r="J70">
        <v>1827384.5985999999</v>
      </c>
      <c r="K70">
        <v>440150.42509999999</v>
      </c>
      <c r="L70">
        <v>1827384.5985999999</v>
      </c>
      <c r="M70" t="s">
        <v>56</v>
      </c>
      <c r="N70" t="s">
        <v>57</v>
      </c>
      <c r="O70">
        <v>450</v>
      </c>
      <c r="P70" t="s">
        <v>3891</v>
      </c>
      <c r="Q70" t="s">
        <v>3892</v>
      </c>
      <c r="R70" t="s">
        <v>54</v>
      </c>
      <c r="S70" t="s">
        <v>55</v>
      </c>
      <c r="T70" t="s">
        <v>824</v>
      </c>
      <c r="U70">
        <v>7.4999999999999997E-2</v>
      </c>
      <c r="V70">
        <v>7.4999999999999997E-2</v>
      </c>
      <c r="W70" t="s">
        <v>52</v>
      </c>
      <c r="X70">
        <v>0.8821</v>
      </c>
      <c r="Y70">
        <v>0.91549999999999998</v>
      </c>
      <c r="Z70">
        <v>0.91549999999999998</v>
      </c>
      <c r="AA70">
        <v>0.8821</v>
      </c>
      <c r="AB70">
        <v>15.827400000000001</v>
      </c>
      <c r="AC70">
        <v>15.8276</v>
      </c>
      <c r="AD70">
        <v>14.6302</v>
      </c>
      <c r="AE70">
        <v>14.6303</v>
      </c>
      <c r="AF70" t="s">
        <v>183</v>
      </c>
      <c r="AG70" t="s">
        <v>183</v>
      </c>
      <c r="AH70" t="s">
        <v>3894</v>
      </c>
      <c r="AI70" t="s">
        <v>3894</v>
      </c>
      <c r="AJ70" t="s">
        <v>3895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3896</v>
      </c>
      <c r="AT70" t="s">
        <v>3890</v>
      </c>
      <c r="AU70" t="s">
        <v>3897</v>
      </c>
      <c r="AV70" t="s">
        <v>3898</v>
      </c>
      <c r="AW70">
        <v>2</v>
      </c>
      <c r="AX70">
        <v>0</v>
      </c>
    </row>
    <row r="71" spans="1:50" x14ac:dyDescent="0.25">
      <c r="A71" t="s">
        <v>4018</v>
      </c>
      <c r="B71" t="s">
        <v>3889</v>
      </c>
      <c r="C71" t="s">
        <v>3890</v>
      </c>
      <c r="D71">
        <v>29.96</v>
      </c>
      <c r="E71">
        <v>29.881</v>
      </c>
      <c r="F71" s="2">
        <v>4.1000000000000003E-3</v>
      </c>
      <c r="G71" t="s">
        <v>2257</v>
      </c>
      <c r="H71" t="s">
        <v>2292</v>
      </c>
      <c r="I71">
        <v>440435.03580000001</v>
      </c>
      <c r="J71">
        <v>1827935.2109000001</v>
      </c>
      <c r="K71">
        <v>440454.3751</v>
      </c>
      <c r="L71">
        <v>1827935.2109000001</v>
      </c>
      <c r="M71" t="s">
        <v>56</v>
      </c>
      <c r="N71" t="s">
        <v>57</v>
      </c>
      <c r="O71">
        <v>450</v>
      </c>
      <c r="P71" t="s">
        <v>3891</v>
      </c>
      <c r="Q71" t="s">
        <v>3892</v>
      </c>
      <c r="R71" t="s">
        <v>241</v>
      </c>
      <c r="S71" t="s">
        <v>2259</v>
      </c>
      <c r="T71" t="s">
        <v>2712</v>
      </c>
      <c r="U71">
        <v>0.25</v>
      </c>
      <c r="V71">
        <v>0.25</v>
      </c>
      <c r="W71" t="s">
        <v>52</v>
      </c>
      <c r="X71">
        <v>0.83489999999999998</v>
      </c>
      <c r="Y71">
        <v>0.9849</v>
      </c>
      <c r="Z71">
        <v>0.94710000000000005</v>
      </c>
      <c r="AA71">
        <v>0.86539999999999995</v>
      </c>
      <c r="AB71">
        <v>19.535399999999999</v>
      </c>
      <c r="AC71">
        <v>19.535499999999999</v>
      </c>
      <c r="AD71">
        <v>18.338200000000001</v>
      </c>
      <c r="AE71">
        <v>18.3384</v>
      </c>
      <c r="AF71" t="s">
        <v>183</v>
      </c>
      <c r="AG71" t="s">
        <v>183</v>
      </c>
      <c r="AH71" t="s">
        <v>3894</v>
      </c>
      <c r="AI71" t="s">
        <v>3894</v>
      </c>
      <c r="AJ71" t="s">
        <v>3895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3896</v>
      </c>
      <c r="AT71" t="s">
        <v>3890</v>
      </c>
      <c r="AU71" t="s">
        <v>3897</v>
      </c>
      <c r="AV71" t="s">
        <v>3898</v>
      </c>
      <c r="AW71">
        <v>2</v>
      </c>
      <c r="AX71">
        <v>0</v>
      </c>
    </row>
    <row r="72" spans="1:50" x14ac:dyDescent="0.25">
      <c r="A72" t="s">
        <v>4019</v>
      </c>
      <c r="B72" t="s">
        <v>3889</v>
      </c>
      <c r="C72" t="s">
        <v>3890</v>
      </c>
      <c r="D72">
        <v>30.687000000000001</v>
      </c>
      <c r="E72">
        <v>30.638999999999999</v>
      </c>
      <c r="F72" s="2">
        <v>4.0000000000000001E-3</v>
      </c>
      <c r="G72" t="s">
        <v>291</v>
      </c>
      <c r="H72" t="s">
        <v>760</v>
      </c>
      <c r="I72">
        <v>440183.07490000001</v>
      </c>
      <c r="J72">
        <v>1827467.4001</v>
      </c>
      <c r="K72">
        <v>440183.07490000001</v>
      </c>
      <c r="L72">
        <v>1827479.4838</v>
      </c>
      <c r="M72" t="s">
        <v>56</v>
      </c>
      <c r="N72" t="s">
        <v>57</v>
      </c>
      <c r="O72">
        <v>450</v>
      </c>
      <c r="P72" t="s">
        <v>3891</v>
      </c>
      <c r="Q72" t="s">
        <v>3892</v>
      </c>
      <c r="R72" t="s">
        <v>293</v>
      </c>
      <c r="S72" t="s">
        <v>294</v>
      </c>
      <c r="T72" t="s">
        <v>448</v>
      </c>
      <c r="U72">
        <v>-4.53E-2</v>
      </c>
      <c r="V72">
        <v>-4.53E-2</v>
      </c>
      <c r="W72" t="s">
        <v>52</v>
      </c>
      <c r="X72">
        <v>0.88190000000000002</v>
      </c>
      <c r="Y72">
        <v>0.91600000000000004</v>
      </c>
      <c r="Z72">
        <v>0.91600000000000004</v>
      </c>
      <c r="AA72">
        <v>0.88190000000000002</v>
      </c>
      <c r="AB72">
        <v>12.0837</v>
      </c>
      <c r="AC72">
        <v>12.0838</v>
      </c>
      <c r="AD72">
        <v>10.8864</v>
      </c>
      <c r="AE72">
        <v>10.8865</v>
      </c>
      <c r="AF72" t="s">
        <v>3973</v>
      </c>
      <c r="AG72" t="s">
        <v>3973</v>
      </c>
      <c r="AH72" t="s">
        <v>3894</v>
      </c>
      <c r="AI72" t="s">
        <v>3894</v>
      </c>
      <c r="AJ72" t="s">
        <v>3895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3896</v>
      </c>
      <c r="AT72" t="s">
        <v>3890</v>
      </c>
      <c r="AU72" t="s">
        <v>3897</v>
      </c>
      <c r="AV72" t="s">
        <v>3898</v>
      </c>
      <c r="AW72">
        <v>2</v>
      </c>
      <c r="AX72">
        <v>0</v>
      </c>
    </row>
    <row r="73" spans="1:50" x14ac:dyDescent="0.25">
      <c r="A73" t="s">
        <v>4020</v>
      </c>
      <c r="B73" t="s">
        <v>3889</v>
      </c>
      <c r="C73" t="s">
        <v>3890</v>
      </c>
      <c r="D73">
        <v>29.114000000000001</v>
      </c>
      <c r="E73">
        <v>29.064</v>
      </c>
      <c r="F73" s="2">
        <v>4.1000000000000003E-3</v>
      </c>
      <c r="G73" t="s">
        <v>2692</v>
      </c>
      <c r="H73" t="s">
        <v>203</v>
      </c>
      <c r="I73">
        <v>440430.42509999999</v>
      </c>
      <c r="J73">
        <v>1827768.9757000001</v>
      </c>
      <c r="K73">
        <v>440442.69650000002</v>
      </c>
      <c r="L73">
        <v>1827768.9757000001</v>
      </c>
      <c r="M73" t="s">
        <v>56</v>
      </c>
      <c r="N73" t="s">
        <v>57</v>
      </c>
      <c r="O73">
        <v>450</v>
      </c>
      <c r="P73" t="s">
        <v>3891</v>
      </c>
      <c r="Q73" t="s">
        <v>3892</v>
      </c>
      <c r="R73" t="s">
        <v>205</v>
      </c>
      <c r="S73" s="1" t="s">
        <v>424</v>
      </c>
      <c r="T73" t="s">
        <v>206</v>
      </c>
      <c r="U73">
        <v>-7.4999999999999997E-2</v>
      </c>
      <c r="V73">
        <v>-7.4999999999999997E-2</v>
      </c>
      <c r="W73" t="s">
        <v>52</v>
      </c>
      <c r="X73">
        <v>0.8841</v>
      </c>
      <c r="Y73">
        <v>0.97309999999999997</v>
      </c>
      <c r="Z73">
        <v>0.97309999999999997</v>
      </c>
      <c r="AA73">
        <v>0.8841</v>
      </c>
      <c r="AB73">
        <v>12.2714</v>
      </c>
      <c r="AC73">
        <v>12.2715</v>
      </c>
      <c r="AD73">
        <v>11.074199999999999</v>
      </c>
      <c r="AE73">
        <v>11.074299999999999</v>
      </c>
      <c r="AF73" t="s">
        <v>183</v>
      </c>
      <c r="AG73" t="s">
        <v>183</v>
      </c>
      <c r="AH73" t="s">
        <v>3894</v>
      </c>
      <c r="AI73" t="s">
        <v>3894</v>
      </c>
      <c r="AJ73" t="s">
        <v>3895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3896</v>
      </c>
      <c r="AT73" t="s">
        <v>3890</v>
      </c>
      <c r="AU73" t="s">
        <v>3897</v>
      </c>
      <c r="AV73" t="s">
        <v>3898</v>
      </c>
      <c r="AW73">
        <v>2</v>
      </c>
      <c r="AX73">
        <v>0</v>
      </c>
    </row>
    <row r="74" spans="1:50" x14ac:dyDescent="0.25">
      <c r="A74" t="s">
        <v>4021</v>
      </c>
      <c r="B74" t="s">
        <v>3889</v>
      </c>
      <c r="C74" t="s">
        <v>3890</v>
      </c>
      <c r="D74">
        <v>28.920999999999999</v>
      </c>
      <c r="E74">
        <v>28.905999999999999</v>
      </c>
      <c r="F74" s="2">
        <v>1.1000000000000001E-3</v>
      </c>
      <c r="G74" t="s">
        <v>2682</v>
      </c>
      <c r="H74" t="s">
        <v>258</v>
      </c>
      <c r="I74">
        <v>440568.08419999998</v>
      </c>
      <c r="J74">
        <v>1827894.6109</v>
      </c>
      <c r="K74">
        <v>440581.12920000002</v>
      </c>
      <c r="L74">
        <v>1827894.6109</v>
      </c>
      <c r="M74" t="s">
        <v>56</v>
      </c>
      <c r="N74" t="s">
        <v>57</v>
      </c>
      <c r="O74">
        <v>450</v>
      </c>
      <c r="P74" t="s">
        <v>3891</v>
      </c>
      <c r="Q74" t="s">
        <v>3892</v>
      </c>
      <c r="R74" t="s">
        <v>260</v>
      </c>
      <c r="S74" t="s">
        <v>2684</v>
      </c>
      <c r="T74" t="s">
        <v>261</v>
      </c>
      <c r="U74">
        <v>3.9600000000000003E-2</v>
      </c>
      <c r="V74">
        <v>3.1600000000000003E-2</v>
      </c>
      <c r="W74" t="s">
        <v>52</v>
      </c>
      <c r="X74">
        <v>0.88229999999999997</v>
      </c>
      <c r="Y74">
        <v>1.0719000000000001</v>
      </c>
      <c r="Z74">
        <v>1.0719000000000001</v>
      </c>
      <c r="AA74">
        <v>0.88229999999999997</v>
      </c>
      <c r="AB74">
        <v>13.0449</v>
      </c>
      <c r="AC74">
        <v>13.0449</v>
      </c>
      <c r="AD74">
        <v>11.845700000000001</v>
      </c>
      <c r="AE74">
        <v>11.845700000000001</v>
      </c>
      <c r="AF74" t="s">
        <v>3899</v>
      </c>
      <c r="AG74" t="s">
        <v>3899</v>
      </c>
      <c r="AH74" t="s">
        <v>3894</v>
      </c>
      <c r="AI74" t="s">
        <v>3894</v>
      </c>
      <c r="AJ74" t="s">
        <v>3895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3896</v>
      </c>
      <c r="AT74" t="s">
        <v>3890</v>
      </c>
      <c r="AU74" t="s">
        <v>3897</v>
      </c>
      <c r="AV74" t="s">
        <v>3898</v>
      </c>
      <c r="AW74">
        <v>2</v>
      </c>
      <c r="AX74">
        <v>0</v>
      </c>
    </row>
    <row r="75" spans="1:50" x14ac:dyDescent="0.25">
      <c r="A75" t="s">
        <v>4022</v>
      </c>
      <c r="B75" t="s">
        <v>3889</v>
      </c>
      <c r="C75" t="s">
        <v>3890</v>
      </c>
      <c r="D75">
        <v>28.71</v>
      </c>
      <c r="E75">
        <v>28.68</v>
      </c>
      <c r="F75" s="2">
        <v>1.4E-3</v>
      </c>
      <c r="G75" t="s">
        <v>217</v>
      </c>
      <c r="H75" t="s">
        <v>2136</v>
      </c>
      <c r="I75">
        <v>440314.27490000002</v>
      </c>
      <c r="J75">
        <v>1827715.3953</v>
      </c>
      <c r="K75">
        <v>440314.28370000003</v>
      </c>
      <c r="L75">
        <v>1827693.2365000001</v>
      </c>
      <c r="M75" t="s">
        <v>56</v>
      </c>
      <c r="N75" t="s">
        <v>57</v>
      </c>
      <c r="O75">
        <v>450</v>
      </c>
      <c r="P75" t="s">
        <v>3891</v>
      </c>
      <c r="Q75" t="s">
        <v>3892</v>
      </c>
      <c r="R75" t="s">
        <v>156</v>
      </c>
      <c r="S75" t="s">
        <v>219</v>
      </c>
      <c r="T75" s="1" t="s">
        <v>4023</v>
      </c>
      <c r="U75">
        <v>2.7E-2</v>
      </c>
      <c r="V75">
        <v>1.8200000000000001E-2</v>
      </c>
      <c r="W75" t="s">
        <v>52</v>
      </c>
      <c r="X75">
        <v>1.4834000000000001</v>
      </c>
      <c r="Y75">
        <v>1.6387</v>
      </c>
      <c r="Z75">
        <v>1.6387</v>
      </c>
      <c r="AA75">
        <v>1.5288999999999999</v>
      </c>
      <c r="AB75">
        <v>22.158799999999999</v>
      </c>
      <c r="AC75">
        <v>22.158799999999999</v>
      </c>
      <c r="AD75">
        <v>20.959700000000002</v>
      </c>
      <c r="AE75">
        <v>20.959800000000001</v>
      </c>
      <c r="AF75" t="s">
        <v>4024</v>
      </c>
      <c r="AG75" t="s">
        <v>4024</v>
      </c>
      <c r="AH75" t="s">
        <v>3894</v>
      </c>
      <c r="AI75" t="s">
        <v>3894</v>
      </c>
      <c r="AJ75" t="s">
        <v>3895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3896</v>
      </c>
      <c r="AT75" t="s">
        <v>3890</v>
      </c>
      <c r="AU75" t="s">
        <v>3897</v>
      </c>
      <c r="AV75" t="s">
        <v>3898</v>
      </c>
      <c r="AW75">
        <v>2</v>
      </c>
      <c r="AX75">
        <v>0</v>
      </c>
    </row>
    <row r="76" spans="1:50" x14ac:dyDescent="0.25">
      <c r="A76" t="s">
        <v>4025</v>
      </c>
      <c r="B76" t="s">
        <v>3928</v>
      </c>
      <c r="C76" t="s">
        <v>3890</v>
      </c>
      <c r="D76">
        <v>29.529</v>
      </c>
      <c r="E76">
        <v>29.452999999999999</v>
      </c>
      <c r="F76" s="2">
        <v>4.0000000000000001E-3</v>
      </c>
      <c r="G76" t="s">
        <v>1699</v>
      </c>
      <c r="H76" t="s">
        <v>2060</v>
      </c>
      <c r="I76">
        <v>440113.3921</v>
      </c>
      <c r="J76">
        <v>1827550.2588</v>
      </c>
      <c r="K76">
        <v>440132.49949999998</v>
      </c>
      <c r="L76">
        <v>1827550.2588</v>
      </c>
      <c r="M76" t="s">
        <v>56</v>
      </c>
      <c r="N76" t="s">
        <v>57</v>
      </c>
      <c r="O76">
        <v>900</v>
      </c>
      <c r="P76" t="s">
        <v>3929</v>
      </c>
      <c r="Q76" t="s">
        <v>3930</v>
      </c>
      <c r="R76" t="s">
        <v>132</v>
      </c>
      <c r="S76" s="1" t="s">
        <v>1701</v>
      </c>
      <c r="T76" t="s">
        <v>2062</v>
      </c>
      <c r="U76">
        <v>-0.05</v>
      </c>
      <c r="V76">
        <v>-0.05</v>
      </c>
      <c r="W76" t="s">
        <v>52</v>
      </c>
      <c r="X76">
        <v>1.2764</v>
      </c>
      <c r="Y76">
        <v>1.3091999999999999</v>
      </c>
      <c r="Z76">
        <v>1.3091999999999999</v>
      </c>
      <c r="AA76">
        <v>1.2764</v>
      </c>
      <c r="AB76">
        <v>19.107399999999998</v>
      </c>
      <c r="AC76">
        <v>19.107600000000001</v>
      </c>
      <c r="AD76">
        <v>17.912400000000002</v>
      </c>
      <c r="AE76">
        <v>17.912600000000001</v>
      </c>
      <c r="AF76" t="s">
        <v>3920</v>
      </c>
      <c r="AG76" t="s">
        <v>3920</v>
      </c>
      <c r="AH76" t="s">
        <v>3894</v>
      </c>
      <c r="AI76" t="s">
        <v>3894</v>
      </c>
      <c r="AJ76" t="s">
        <v>3895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3896</v>
      </c>
      <c r="AT76" t="s">
        <v>3890</v>
      </c>
      <c r="AU76" t="s">
        <v>3931</v>
      </c>
      <c r="AV76" t="s">
        <v>3898</v>
      </c>
      <c r="AW76">
        <v>2</v>
      </c>
      <c r="AX76">
        <v>0</v>
      </c>
    </row>
    <row r="77" spans="1:50" x14ac:dyDescent="0.25">
      <c r="A77" t="s">
        <v>4026</v>
      </c>
      <c r="B77" t="s">
        <v>3889</v>
      </c>
      <c r="C77" t="s">
        <v>3890</v>
      </c>
      <c r="D77">
        <v>31.053999999999998</v>
      </c>
      <c r="E77">
        <v>30.974</v>
      </c>
      <c r="F77" s="2">
        <v>4.0000000000000001E-3</v>
      </c>
      <c r="G77" t="s">
        <v>3379</v>
      </c>
      <c r="H77" t="s">
        <v>336</v>
      </c>
      <c r="I77">
        <v>440258.3749</v>
      </c>
      <c r="J77">
        <v>1827315.1217</v>
      </c>
      <c r="K77">
        <v>440258.3749</v>
      </c>
      <c r="L77">
        <v>1827335.0138999999</v>
      </c>
      <c r="M77" t="s">
        <v>56</v>
      </c>
      <c r="N77" t="s">
        <v>57</v>
      </c>
      <c r="O77">
        <v>450</v>
      </c>
      <c r="P77" t="s">
        <v>3891</v>
      </c>
      <c r="Q77" t="s">
        <v>3892</v>
      </c>
      <c r="R77" t="s">
        <v>338</v>
      </c>
      <c r="S77" t="s">
        <v>3381</v>
      </c>
      <c r="T77" t="s">
        <v>339</v>
      </c>
      <c r="U77">
        <v>0</v>
      </c>
      <c r="V77">
        <v>0</v>
      </c>
      <c r="W77" t="s">
        <v>52</v>
      </c>
      <c r="X77">
        <v>0.90269999999999995</v>
      </c>
      <c r="Y77">
        <v>0.9133</v>
      </c>
      <c r="Z77">
        <v>0.9133</v>
      </c>
      <c r="AA77">
        <v>0.90269999999999995</v>
      </c>
      <c r="AB77">
        <v>19.892199999999999</v>
      </c>
      <c r="AC77">
        <v>19.892299999999999</v>
      </c>
      <c r="AD77">
        <v>18.695</v>
      </c>
      <c r="AE77">
        <v>18.6951</v>
      </c>
      <c r="AF77" t="s">
        <v>67</v>
      </c>
      <c r="AG77" t="s">
        <v>67</v>
      </c>
      <c r="AH77" t="s">
        <v>3894</v>
      </c>
      <c r="AI77" t="s">
        <v>3894</v>
      </c>
      <c r="AJ77" t="s">
        <v>3895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3896</v>
      </c>
      <c r="AT77" t="s">
        <v>3890</v>
      </c>
      <c r="AU77" t="s">
        <v>3897</v>
      </c>
      <c r="AV77" t="s">
        <v>3898</v>
      </c>
      <c r="AW77">
        <v>2</v>
      </c>
      <c r="AX77">
        <v>0</v>
      </c>
    </row>
    <row r="78" spans="1:50" x14ac:dyDescent="0.25">
      <c r="A78" t="s">
        <v>4027</v>
      </c>
      <c r="B78" t="s">
        <v>3928</v>
      </c>
      <c r="C78" t="s">
        <v>3890</v>
      </c>
      <c r="D78">
        <v>29.315000000000001</v>
      </c>
      <c r="E78">
        <v>29.24</v>
      </c>
      <c r="F78" s="2">
        <v>4.0000000000000001E-3</v>
      </c>
      <c r="G78" t="s">
        <v>130</v>
      </c>
      <c r="H78" t="s">
        <v>2064</v>
      </c>
      <c r="I78">
        <v>440151.1139</v>
      </c>
      <c r="J78">
        <v>1827550.2588</v>
      </c>
      <c r="K78">
        <v>440170.06030000001</v>
      </c>
      <c r="L78">
        <v>1827550.2588</v>
      </c>
      <c r="M78" t="s">
        <v>56</v>
      </c>
      <c r="N78" t="s">
        <v>57</v>
      </c>
      <c r="O78">
        <v>900</v>
      </c>
      <c r="P78" t="s">
        <v>3929</v>
      </c>
      <c r="Q78" t="s">
        <v>3930</v>
      </c>
      <c r="R78" t="s">
        <v>132</v>
      </c>
      <c r="S78" t="s">
        <v>133</v>
      </c>
      <c r="T78" t="s">
        <v>4028</v>
      </c>
      <c r="U78">
        <v>-0.05</v>
      </c>
      <c r="V78">
        <v>-0.05</v>
      </c>
      <c r="W78" t="s">
        <v>52</v>
      </c>
      <c r="X78">
        <v>1.2757000000000001</v>
      </c>
      <c r="Y78">
        <v>1.3085</v>
      </c>
      <c r="Z78">
        <v>1.3085</v>
      </c>
      <c r="AA78">
        <v>1.2757000000000001</v>
      </c>
      <c r="AB78">
        <v>18.911100000000001</v>
      </c>
      <c r="AC78">
        <v>18.911200000000001</v>
      </c>
      <c r="AD78">
        <v>17.6675</v>
      </c>
      <c r="AE78">
        <v>17.6676</v>
      </c>
      <c r="AF78" t="s">
        <v>4029</v>
      </c>
      <c r="AG78" t="s">
        <v>4029</v>
      </c>
      <c r="AH78" t="s">
        <v>3894</v>
      </c>
      <c r="AI78" t="s">
        <v>3894</v>
      </c>
      <c r="AJ78" t="s">
        <v>3895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3896</v>
      </c>
      <c r="AT78" t="s">
        <v>3890</v>
      </c>
      <c r="AU78" t="s">
        <v>3931</v>
      </c>
      <c r="AV78" t="s">
        <v>3898</v>
      </c>
      <c r="AW78">
        <v>2</v>
      </c>
      <c r="AX78">
        <v>0</v>
      </c>
    </row>
    <row r="79" spans="1:50" x14ac:dyDescent="0.25">
      <c r="A79" t="s">
        <v>4030</v>
      </c>
      <c r="B79" t="s">
        <v>3889</v>
      </c>
      <c r="C79" t="s">
        <v>3890</v>
      </c>
      <c r="D79">
        <v>32.692999999999998</v>
      </c>
      <c r="E79">
        <v>32.64</v>
      </c>
      <c r="F79" s="2">
        <v>3.8999999999999998E-3</v>
      </c>
      <c r="G79" t="s">
        <v>72</v>
      </c>
      <c r="H79" t="s">
        <v>434</v>
      </c>
      <c r="I79">
        <v>439938.87520000001</v>
      </c>
      <c r="J79">
        <v>1827411.4247999999</v>
      </c>
      <c r="K79">
        <v>439938.87520000001</v>
      </c>
      <c r="L79">
        <v>1827424.8485999999</v>
      </c>
      <c r="M79" t="s">
        <v>56</v>
      </c>
      <c r="N79" t="s">
        <v>57</v>
      </c>
      <c r="O79">
        <v>450</v>
      </c>
      <c r="P79" t="s">
        <v>3891</v>
      </c>
      <c r="Q79" t="s">
        <v>3892</v>
      </c>
      <c r="R79" t="s">
        <v>75</v>
      </c>
      <c r="S79" t="s">
        <v>76</v>
      </c>
      <c r="T79" t="s">
        <v>436</v>
      </c>
      <c r="U79">
        <v>-0.15129999999999999</v>
      </c>
      <c r="V79">
        <v>-0.15129999999999999</v>
      </c>
      <c r="W79" t="s">
        <v>52</v>
      </c>
      <c r="X79">
        <v>0.78149999999999997</v>
      </c>
      <c r="Y79">
        <v>0.95860000000000001</v>
      </c>
      <c r="Z79">
        <v>0.95860000000000001</v>
      </c>
      <c r="AA79">
        <v>0.84050000000000002</v>
      </c>
      <c r="AB79">
        <v>13.4238</v>
      </c>
      <c r="AC79">
        <v>13.4239</v>
      </c>
      <c r="AD79">
        <v>12.2265</v>
      </c>
      <c r="AE79">
        <v>12.226599999999999</v>
      </c>
      <c r="AF79" t="s">
        <v>67</v>
      </c>
      <c r="AG79" t="s">
        <v>67</v>
      </c>
      <c r="AH79" t="s">
        <v>3894</v>
      </c>
      <c r="AI79" t="s">
        <v>3894</v>
      </c>
      <c r="AJ79" t="s">
        <v>3895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3896</v>
      </c>
      <c r="AT79" t="s">
        <v>3890</v>
      </c>
      <c r="AU79" t="s">
        <v>3897</v>
      </c>
      <c r="AV79" t="s">
        <v>3898</v>
      </c>
      <c r="AW79">
        <v>2</v>
      </c>
      <c r="AX79">
        <v>0</v>
      </c>
    </row>
    <row r="80" spans="1:50" x14ac:dyDescent="0.25">
      <c r="A80" t="s">
        <v>4031</v>
      </c>
      <c r="B80" t="s">
        <v>3889</v>
      </c>
      <c r="C80" t="s">
        <v>3890</v>
      </c>
      <c r="D80">
        <v>31.542000000000002</v>
      </c>
      <c r="E80">
        <v>31.488</v>
      </c>
      <c r="F80" s="2">
        <v>4.1000000000000003E-3</v>
      </c>
      <c r="G80" t="s">
        <v>92</v>
      </c>
      <c r="H80" t="s">
        <v>706</v>
      </c>
      <c r="I80">
        <v>440104.20980000001</v>
      </c>
      <c r="J80">
        <v>1827415.4986</v>
      </c>
      <c r="K80">
        <v>440117.47499999998</v>
      </c>
      <c r="L80">
        <v>1827415.4986</v>
      </c>
      <c r="M80" t="s">
        <v>56</v>
      </c>
      <c r="N80" t="s">
        <v>57</v>
      </c>
      <c r="O80">
        <v>450</v>
      </c>
      <c r="P80" t="s">
        <v>3891</v>
      </c>
      <c r="Q80" t="s">
        <v>3892</v>
      </c>
      <c r="R80" t="s">
        <v>85</v>
      </c>
      <c r="S80" t="s">
        <v>94</v>
      </c>
      <c r="T80" t="s">
        <v>3945</v>
      </c>
      <c r="U80">
        <v>-0.12870000000000001</v>
      </c>
      <c r="V80">
        <v>-0.12720000000000001</v>
      </c>
      <c r="W80" t="s">
        <v>52</v>
      </c>
      <c r="X80">
        <v>0.8841</v>
      </c>
      <c r="Y80">
        <v>0.91459999999999997</v>
      </c>
      <c r="Z80">
        <v>0.91459999999999997</v>
      </c>
      <c r="AA80">
        <v>0.8841</v>
      </c>
      <c r="AB80">
        <v>13.416700000000001</v>
      </c>
      <c r="AC80">
        <v>13.4168</v>
      </c>
      <c r="AD80">
        <v>12.5181</v>
      </c>
      <c r="AE80">
        <v>12.5182</v>
      </c>
      <c r="AF80" t="s">
        <v>183</v>
      </c>
      <c r="AG80" t="s">
        <v>183</v>
      </c>
      <c r="AH80" t="s">
        <v>3894</v>
      </c>
      <c r="AI80" t="s">
        <v>3894</v>
      </c>
      <c r="AJ80" t="s">
        <v>3895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3896</v>
      </c>
      <c r="AT80" t="s">
        <v>3890</v>
      </c>
      <c r="AU80" t="s">
        <v>3897</v>
      </c>
      <c r="AV80" t="s">
        <v>3898</v>
      </c>
      <c r="AW80">
        <v>2</v>
      </c>
      <c r="AX80">
        <v>0</v>
      </c>
    </row>
    <row r="81" spans="1:50" x14ac:dyDescent="0.25">
      <c r="A81" t="s">
        <v>4032</v>
      </c>
      <c r="B81" t="s">
        <v>3889</v>
      </c>
      <c r="C81" t="s">
        <v>3890</v>
      </c>
      <c r="D81">
        <v>30.213999999999999</v>
      </c>
      <c r="E81">
        <v>30.138000000000002</v>
      </c>
      <c r="F81" s="2">
        <v>4.0000000000000001E-3</v>
      </c>
      <c r="G81" t="s">
        <v>273</v>
      </c>
      <c r="H81" t="s">
        <v>1073</v>
      </c>
      <c r="I81">
        <v>440258.3749</v>
      </c>
      <c r="J81">
        <v>1827755.6129999999</v>
      </c>
      <c r="K81">
        <v>440258.3749</v>
      </c>
      <c r="L81">
        <v>1827736.4121000001</v>
      </c>
      <c r="M81" t="s">
        <v>56</v>
      </c>
      <c r="N81" t="s">
        <v>57</v>
      </c>
      <c r="O81">
        <v>450</v>
      </c>
      <c r="P81" t="s">
        <v>3891</v>
      </c>
      <c r="Q81" t="s">
        <v>3892</v>
      </c>
      <c r="R81" t="s">
        <v>275</v>
      </c>
      <c r="S81" t="s">
        <v>276</v>
      </c>
      <c r="T81" t="s">
        <v>1075</v>
      </c>
      <c r="U81">
        <v>2.1499999999999998E-2</v>
      </c>
      <c r="V81">
        <v>2.1499999999999998E-2</v>
      </c>
      <c r="W81" t="s">
        <v>52</v>
      </c>
      <c r="X81">
        <v>0.88160000000000005</v>
      </c>
      <c r="Y81">
        <v>0.9284</v>
      </c>
      <c r="Z81">
        <v>0.9284</v>
      </c>
      <c r="AA81">
        <v>0.88160000000000005</v>
      </c>
      <c r="AB81">
        <v>19.200900000000001</v>
      </c>
      <c r="AC81">
        <v>19.201000000000001</v>
      </c>
      <c r="AD81">
        <v>18.003599999999999</v>
      </c>
      <c r="AE81">
        <v>18.003799999999998</v>
      </c>
      <c r="AF81" t="s">
        <v>2233</v>
      </c>
      <c r="AG81" t="s">
        <v>2233</v>
      </c>
      <c r="AH81" t="s">
        <v>3894</v>
      </c>
      <c r="AI81" t="s">
        <v>3894</v>
      </c>
      <c r="AJ81" t="s">
        <v>3895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3896</v>
      </c>
      <c r="AT81" t="s">
        <v>3890</v>
      </c>
      <c r="AU81" t="s">
        <v>3897</v>
      </c>
      <c r="AV81" t="s">
        <v>3898</v>
      </c>
      <c r="AW81">
        <v>2</v>
      </c>
      <c r="AX81">
        <v>0</v>
      </c>
    </row>
    <row r="82" spans="1:50" x14ac:dyDescent="0.25">
      <c r="A82" t="s">
        <v>4033</v>
      </c>
      <c r="B82" t="s">
        <v>3947</v>
      </c>
      <c r="C82" t="s">
        <v>3890</v>
      </c>
      <c r="D82">
        <v>28.027000000000001</v>
      </c>
      <c r="E82">
        <v>28.004000000000001</v>
      </c>
      <c r="F82" s="2">
        <v>1.1000000000000001E-3</v>
      </c>
      <c r="G82" t="s">
        <v>3513</v>
      </c>
      <c r="H82" t="s">
        <v>3560</v>
      </c>
      <c r="I82">
        <v>440442.48080000002</v>
      </c>
      <c r="J82">
        <v>1827531.7823999999</v>
      </c>
      <c r="K82">
        <v>440464.0001</v>
      </c>
      <c r="L82">
        <v>1827531.7799</v>
      </c>
      <c r="M82" t="s">
        <v>56</v>
      </c>
      <c r="N82" t="s">
        <v>57</v>
      </c>
      <c r="O82">
        <v>1050</v>
      </c>
      <c r="P82" t="s">
        <v>3918</v>
      </c>
      <c r="Q82" t="s">
        <v>3930</v>
      </c>
      <c r="R82" t="s">
        <v>141</v>
      </c>
      <c r="S82" t="s">
        <v>3515</v>
      </c>
      <c r="T82" t="s">
        <v>3562</v>
      </c>
      <c r="U82">
        <v>0.23200000000000001</v>
      </c>
      <c r="V82">
        <v>0.22950000000000001</v>
      </c>
      <c r="W82" t="s">
        <v>52</v>
      </c>
      <c r="X82">
        <v>1.0250999999999999</v>
      </c>
      <c r="Y82">
        <v>1.1214</v>
      </c>
      <c r="Z82">
        <v>1.1214</v>
      </c>
      <c r="AA82">
        <v>1.0250999999999999</v>
      </c>
      <c r="AB82">
        <v>21.519300000000001</v>
      </c>
      <c r="AC82">
        <v>21.519300000000001</v>
      </c>
      <c r="AD82">
        <v>20.320799999999998</v>
      </c>
      <c r="AE82">
        <v>20.320799999999998</v>
      </c>
      <c r="AF82" t="s">
        <v>4034</v>
      </c>
      <c r="AG82" t="s">
        <v>4034</v>
      </c>
      <c r="AH82" t="s">
        <v>3894</v>
      </c>
      <c r="AI82" t="s">
        <v>3894</v>
      </c>
      <c r="AJ82" t="s">
        <v>3895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3896</v>
      </c>
      <c r="AT82" t="s">
        <v>3890</v>
      </c>
      <c r="AU82" t="s">
        <v>3950</v>
      </c>
      <c r="AV82" t="s">
        <v>3898</v>
      </c>
      <c r="AW82">
        <v>2</v>
      </c>
      <c r="AX82">
        <v>0</v>
      </c>
    </row>
    <row r="83" spans="1:50" x14ac:dyDescent="0.25">
      <c r="A83" t="s">
        <v>4035</v>
      </c>
      <c r="B83" t="s">
        <v>3889</v>
      </c>
      <c r="C83" t="s">
        <v>3890</v>
      </c>
      <c r="D83">
        <v>29.003</v>
      </c>
      <c r="E83">
        <v>28.957999999999998</v>
      </c>
      <c r="F83" s="2">
        <v>3.7000000000000002E-3</v>
      </c>
      <c r="G83" t="s">
        <v>2738</v>
      </c>
      <c r="H83" t="s">
        <v>208</v>
      </c>
      <c r="I83">
        <v>440464.07510000002</v>
      </c>
      <c r="J83">
        <v>1827802.6987000001</v>
      </c>
      <c r="K83">
        <v>440464.07510000002</v>
      </c>
      <c r="L83">
        <v>1827790.5674000001</v>
      </c>
      <c r="M83" t="s">
        <v>56</v>
      </c>
      <c r="N83" t="s">
        <v>57</v>
      </c>
      <c r="O83">
        <v>450</v>
      </c>
      <c r="P83" t="s">
        <v>3891</v>
      </c>
      <c r="Q83" t="s">
        <v>3892</v>
      </c>
      <c r="R83" t="s">
        <v>210</v>
      </c>
      <c r="S83" t="s">
        <v>525</v>
      </c>
      <c r="T83" s="1" t="s">
        <v>211</v>
      </c>
      <c r="U83">
        <v>0</v>
      </c>
      <c r="V83">
        <v>0</v>
      </c>
      <c r="W83" t="s">
        <v>52</v>
      </c>
      <c r="X83">
        <v>0.88219999999999998</v>
      </c>
      <c r="Y83">
        <v>0.89690000000000003</v>
      </c>
      <c r="Z83">
        <v>0.89690000000000003</v>
      </c>
      <c r="AA83">
        <v>0.88219999999999998</v>
      </c>
      <c r="AB83">
        <v>12.1312</v>
      </c>
      <c r="AC83">
        <v>12.1313</v>
      </c>
      <c r="AD83">
        <v>10.9338</v>
      </c>
      <c r="AE83">
        <v>10.9339</v>
      </c>
      <c r="AF83" t="s">
        <v>3905</v>
      </c>
      <c r="AG83" t="s">
        <v>3905</v>
      </c>
      <c r="AH83" t="s">
        <v>3894</v>
      </c>
      <c r="AI83" t="s">
        <v>3894</v>
      </c>
      <c r="AJ83" t="s">
        <v>3895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3896</v>
      </c>
      <c r="AT83" t="s">
        <v>3890</v>
      </c>
      <c r="AU83" t="s">
        <v>3897</v>
      </c>
      <c r="AV83" t="s">
        <v>3898</v>
      </c>
      <c r="AW83">
        <v>2</v>
      </c>
      <c r="AX83">
        <v>0</v>
      </c>
    </row>
    <row r="84" spans="1:50" x14ac:dyDescent="0.25">
      <c r="A84" t="s">
        <v>4036</v>
      </c>
      <c r="B84" t="s">
        <v>4015</v>
      </c>
      <c r="C84" t="s">
        <v>3890</v>
      </c>
      <c r="D84">
        <v>30.885000000000002</v>
      </c>
      <c r="E84">
        <v>30.824999999999999</v>
      </c>
      <c r="F84" s="2">
        <v>4.0000000000000001E-3</v>
      </c>
      <c r="G84" t="s">
        <v>124</v>
      </c>
      <c r="H84" t="s">
        <v>523</v>
      </c>
      <c r="I84">
        <v>439953.34389999998</v>
      </c>
      <c r="J84">
        <v>1827531.6088</v>
      </c>
      <c r="K84">
        <v>439968.22489999997</v>
      </c>
      <c r="L84">
        <v>1827531.6088</v>
      </c>
      <c r="M84" t="s">
        <v>56</v>
      </c>
      <c r="N84" t="s">
        <v>57</v>
      </c>
      <c r="O84">
        <v>750</v>
      </c>
      <c r="P84" t="s">
        <v>109</v>
      </c>
      <c r="Q84" t="s">
        <v>3919</v>
      </c>
      <c r="R84" t="s">
        <v>127</v>
      </c>
      <c r="S84" t="s">
        <v>128</v>
      </c>
      <c r="T84" t="s">
        <v>525</v>
      </c>
      <c r="U84">
        <v>5.8299999999999998E-2</v>
      </c>
      <c r="V84">
        <v>5.8299999999999998E-2</v>
      </c>
      <c r="W84" t="s">
        <v>52</v>
      </c>
      <c r="X84">
        <v>1.1537999999999999</v>
      </c>
      <c r="Y84">
        <v>1.1785000000000001</v>
      </c>
      <c r="Z84">
        <v>1.1785000000000001</v>
      </c>
      <c r="AA84">
        <v>1.1537999999999999</v>
      </c>
      <c r="AB84">
        <v>14.881</v>
      </c>
      <c r="AC84">
        <v>14.8812</v>
      </c>
      <c r="AD84">
        <v>13.6853</v>
      </c>
      <c r="AE84">
        <v>13.6854</v>
      </c>
      <c r="AF84" t="s">
        <v>3920</v>
      </c>
      <c r="AG84" t="s">
        <v>3920</v>
      </c>
      <c r="AH84" t="s">
        <v>3894</v>
      </c>
      <c r="AI84" t="s">
        <v>3894</v>
      </c>
      <c r="AJ84" t="s">
        <v>3895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3896</v>
      </c>
      <c r="AT84" t="s">
        <v>3890</v>
      </c>
      <c r="AU84" t="s">
        <v>4016</v>
      </c>
      <c r="AV84" t="s">
        <v>3898</v>
      </c>
      <c r="AW84">
        <v>2</v>
      </c>
      <c r="AX84">
        <v>0</v>
      </c>
    </row>
    <row r="85" spans="1:50" x14ac:dyDescent="0.25">
      <c r="A85" t="s">
        <v>4037</v>
      </c>
      <c r="B85" t="s">
        <v>4015</v>
      </c>
      <c r="C85" t="s">
        <v>3890</v>
      </c>
      <c r="D85">
        <v>30.96</v>
      </c>
      <c r="E85">
        <v>30.908999999999999</v>
      </c>
      <c r="F85" s="2">
        <v>3.5000000000000001E-3</v>
      </c>
      <c r="G85" t="s">
        <v>519</v>
      </c>
      <c r="H85" t="s">
        <v>124</v>
      </c>
      <c r="I85">
        <v>439938.75890000002</v>
      </c>
      <c r="J85">
        <v>1827531.6088</v>
      </c>
      <c r="K85">
        <v>439953.34389999998</v>
      </c>
      <c r="L85">
        <v>1827531.6088</v>
      </c>
      <c r="M85" t="s">
        <v>56</v>
      </c>
      <c r="N85" t="s">
        <v>57</v>
      </c>
      <c r="O85">
        <v>750</v>
      </c>
      <c r="P85" t="s">
        <v>109</v>
      </c>
      <c r="Q85" t="s">
        <v>3919</v>
      </c>
      <c r="R85" t="s">
        <v>127</v>
      </c>
      <c r="S85" t="s">
        <v>4038</v>
      </c>
      <c r="T85" t="s">
        <v>128</v>
      </c>
      <c r="U85">
        <v>5.8299999999999998E-2</v>
      </c>
      <c r="V85">
        <v>5.8299999999999998E-2</v>
      </c>
      <c r="W85" t="s">
        <v>52</v>
      </c>
      <c r="X85">
        <v>1.1545000000000001</v>
      </c>
      <c r="Y85">
        <v>1.1990000000000001</v>
      </c>
      <c r="Z85">
        <v>1.1990000000000001</v>
      </c>
      <c r="AA85">
        <v>1.1545000000000001</v>
      </c>
      <c r="AB85">
        <v>14.62</v>
      </c>
      <c r="AC85">
        <v>14.620100000000001</v>
      </c>
      <c r="AD85">
        <v>13.4237</v>
      </c>
      <c r="AE85">
        <v>13.4238</v>
      </c>
      <c r="AF85" t="s">
        <v>3920</v>
      </c>
      <c r="AG85" t="s">
        <v>3920</v>
      </c>
      <c r="AH85" t="s">
        <v>3894</v>
      </c>
      <c r="AI85" t="s">
        <v>3894</v>
      </c>
      <c r="AJ85" t="s">
        <v>3895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3896</v>
      </c>
      <c r="AT85" t="s">
        <v>3890</v>
      </c>
      <c r="AU85" t="s">
        <v>4016</v>
      </c>
      <c r="AV85" t="s">
        <v>3898</v>
      </c>
      <c r="AW85">
        <v>2</v>
      </c>
      <c r="AX85">
        <v>0</v>
      </c>
    </row>
    <row r="86" spans="1:50" x14ac:dyDescent="0.25">
      <c r="A86" t="s">
        <v>4039</v>
      </c>
      <c r="B86" t="s">
        <v>3889</v>
      </c>
      <c r="C86" t="s">
        <v>3890</v>
      </c>
      <c r="D86">
        <v>28.978000000000002</v>
      </c>
      <c r="E86">
        <v>28.93</v>
      </c>
      <c r="F86" s="2">
        <v>4.1000000000000003E-3</v>
      </c>
      <c r="G86" t="s">
        <v>203</v>
      </c>
      <c r="H86" t="s">
        <v>2714</v>
      </c>
      <c r="I86">
        <v>440442.69650000002</v>
      </c>
      <c r="J86">
        <v>1827768.9757000001</v>
      </c>
      <c r="K86">
        <v>440454.45010000002</v>
      </c>
      <c r="L86">
        <v>1827768.9757000001</v>
      </c>
      <c r="M86" t="s">
        <v>56</v>
      </c>
      <c r="N86" t="s">
        <v>57</v>
      </c>
      <c r="O86">
        <v>450</v>
      </c>
      <c r="P86" t="s">
        <v>3891</v>
      </c>
      <c r="Q86" t="s">
        <v>3892</v>
      </c>
      <c r="R86" t="s">
        <v>205</v>
      </c>
      <c r="S86" s="1" t="s">
        <v>206</v>
      </c>
      <c r="T86" t="s">
        <v>2716</v>
      </c>
      <c r="U86">
        <v>-7.4999999999999997E-2</v>
      </c>
      <c r="V86">
        <v>-7.4999999999999997E-2</v>
      </c>
      <c r="W86" t="s">
        <v>52</v>
      </c>
      <c r="X86">
        <v>0.88490000000000002</v>
      </c>
      <c r="Y86">
        <v>0.97009999999999996</v>
      </c>
      <c r="Z86">
        <v>0.97009999999999996</v>
      </c>
      <c r="AA86">
        <v>0.88490000000000002</v>
      </c>
      <c r="AB86">
        <v>11.7536</v>
      </c>
      <c r="AC86">
        <v>11.7537</v>
      </c>
      <c r="AD86">
        <v>10.5565</v>
      </c>
      <c r="AE86">
        <v>10.5566</v>
      </c>
      <c r="AF86" t="s">
        <v>183</v>
      </c>
      <c r="AG86" t="s">
        <v>183</v>
      </c>
      <c r="AH86" t="s">
        <v>3894</v>
      </c>
      <c r="AI86" t="s">
        <v>3894</v>
      </c>
      <c r="AJ86" t="s">
        <v>3895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3896</v>
      </c>
      <c r="AT86" t="s">
        <v>3890</v>
      </c>
      <c r="AU86" t="s">
        <v>3897</v>
      </c>
      <c r="AV86" t="s">
        <v>3898</v>
      </c>
      <c r="AW86">
        <v>2</v>
      </c>
      <c r="AX86">
        <v>0</v>
      </c>
    </row>
    <row r="87" spans="1:50" x14ac:dyDescent="0.25">
      <c r="A87" t="s">
        <v>4040</v>
      </c>
      <c r="B87" t="s">
        <v>3889</v>
      </c>
      <c r="C87" t="s">
        <v>3890</v>
      </c>
      <c r="D87">
        <v>29.468</v>
      </c>
      <c r="E87">
        <v>29.417999999999999</v>
      </c>
      <c r="F87" s="2">
        <v>4.0000000000000001E-3</v>
      </c>
      <c r="G87" t="s">
        <v>3537</v>
      </c>
      <c r="H87" t="s">
        <v>83</v>
      </c>
      <c r="I87">
        <v>440430.42509999999</v>
      </c>
      <c r="J87">
        <v>1827415.4986</v>
      </c>
      <c r="K87">
        <v>440442.78629999998</v>
      </c>
      <c r="L87">
        <v>1827415.4986</v>
      </c>
      <c r="M87" t="s">
        <v>56</v>
      </c>
      <c r="N87" t="s">
        <v>57</v>
      </c>
      <c r="O87">
        <v>450</v>
      </c>
      <c r="P87" t="s">
        <v>3891</v>
      </c>
      <c r="Q87" t="s">
        <v>3892</v>
      </c>
      <c r="R87" t="s">
        <v>85</v>
      </c>
      <c r="S87" t="s">
        <v>424</v>
      </c>
      <c r="T87" t="s">
        <v>86</v>
      </c>
      <c r="U87">
        <v>-9.3200000000000005E-2</v>
      </c>
      <c r="V87">
        <v>-9.1899999999999996E-2</v>
      </c>
      <c r="W87" t="s">
        <v>52</v>
      </c>
      <c r="X87">
        <v>0.88229999999999997</v>
      </c>
      <c r="Y87">
        <v>0.91100000000000003</v>
      </c>
      <c r="Z87">
        <v>0.91100000000000003</v>
      </c>
      <c r="AA87">
        <v>0.88229999999999997</v>
      </c>
      <c r="AB87">
        <v>12.3612</v>
      </c>
      <c r="AC87">
        <v>12.3613</v>
      </c>
      <c r="AD87">
        <v>11.164099999999999</v>
      </c>
      <c r="AE87">
        <v>11.164099999999999</v>
      </c>
      <c r="AF87" t="s">
        <v>183</v>
      </c>
      <c r="AG87" t="s">
        <v>183</v>
      </c>
      <c r="AH87" t="s">
        <v>3894</v>
      </c>
      <c r="AI87" t="s">
        <v>3894</v>
      </c>
      <c r="AJ87" t="s">
        <v>3895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3896</v>
      </c>
      <c r="AT87" t="s">
        <v>3890</v>
      </c>
      <c r="AU87" t="s">
        <v>3897</v>
      </c>
      <c r="AV87" t="s">
        <v>3898</v>
      </c>
      <c r="AW87">
        <v>2</v>
      </c>
      <c r="AX87">
        <v>0</v>
      </c>
    </row>
    <row r="88" spans="1:50" x14ac:dyDescent="0.25">
      <c r="A88" t="s">
        <v>4041</v>
      </c>
      <c r="B88" t="s">
        <v>3963</v>
      </c>
      <c r="C88" t="s">
        <v>3890</v>
      </c>
      <c r="D88">
        <v>28.661000000000001</v>
      </c>
      <c r="E88">
        <v>28.634</v>
      </c>
      <c r="F88" s="2">
        <v>3.3999999999999998E-3</v>
      </c>
      <c r="G88" t="s">
        <v>194</v>
      </c>
      <c r="H88" t="s">
        <v>2904</v>
      </c>
      <c r="I88">
        <v>440398.40010000003</v>
      </c>
      <c r="J88">
        <v>1827684.8063000001</v>
      </c>
      <c r="K88">
        <v>440398.40010000003</v>
      </c>
      <c r="L88">
        <v>1827692.6895000001</v>
      </c>
      <c r="M88" t="s">
        <v>56</v>
      </c>
      <c r="N88" t="s">
        <v>57</v>
      </c>
      <c r="O88">
        <v>600</v>
      </c>
      <c r="P88" t="s">
        <v>3891</v>
      </c>
      <c r="Q88" t="s">
        <v>3892</v>
      </c>
      <c r="R88" t="s">
        <v>107</v>
      </c>
      <c r="S88" t="s">
        <v>196</v>
      </c>
      <c r="T88" t="s">
        <v>4042</v>
      </c>
      <c r="U88">
        <v>7.4800000000000005E-2</v>
      </c>
      <c r="V88">
        <v>7.4800000000000005E-2</v>
      </c>
      <c r="W88" t="s">
        <v>52</v>
      </c>
      <c r="X88">
        <v>0.84409999999999996</v>
      </c>
      <c r="Y88">
        <v>1.0014000000000001</v>
      </c>
      <c r="Z88">
        <v>0.99350000000000005</v>
      </c>
      <c r="AA88">
        <v>0.86570000000000003</v>
      </c>
      <c r="AB88">
        <v>8.1082999999999998</v>
      </c>
      <c r="AC88">
        <v>8.1083999999999996</v>
      </c>
      <c r="AD88">
        <v>7.1360999999999999</v>
      </c>
      <c r="AE88">
        <v>7.1361999999999997</v>
      </c>
      <c r="AF88" t="s">
        <v>67</v>
      </c>
      <c r="AG88" t="s">
        <v>67</v>
      </c>
      <c r="AH88" t="s">
        <v>3894</v>
      </c>
      <c r="AI88" t="s">
        <v>3894</v>
      </c>
      <c r="AJ88" t="s">
        <v>3895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3896</v>
      </c>
      <c r="AT88" t="s">
        <v>3890</v>
      </c>
      <c r="AU88" t="s">
        <v>3964</v>
      </c>
      <c r="AV88" t="s">
        <v>3898</v>
      </c>
      <c r="AW88">
        <v>2</v>
      </c>
      <c r="AX88">
        <v>0</v>
      </c>
    </row>
    <row r="89" spans="1:50" x14ac:dyDescent="0.25">
      <c r="A89" t="s">
        <v>4043</v>
      </c>
      <c r="B89" t="s">
        <v>3889</v>
      </c>
      <c r="C89" t="s">
        <v>3890</v>
      </c>
      <c r="D89">
        <v>30.765999999999998</v>
      </c>
      <c r="E89">
        <v>30.72</v>
      </c>
      <c r="F89" s="2">
        <v>4.0000000000000001E-3</v>
      </c>
      <c r="G89" t="s">
        <v>744</v>
      </c>
      <c r="H89" t="s">
        <v>296</v>
      </c>
      <c r="I89">
        <v>440192.77490000002</v>
      </c>
      <c r="J89">
        <v>1827456.0003</v>
      </c>
      <c r="K89">
        <v>440192.77490000002</v>
      </c>
      <c r="L89">
        <v>1827467.5743</v>
      </c>
      <c r="M89" t="s">
        <v>56</v>
      </c>
      <c r="N89" t="s">
        <v>57</v>
      </c>
      <c r="O89">
        <v>450</v>
      </c>
      <c r="P89" t="s">
        <v>3891</v>
      </c>
      <c r="Q89" t="s">
        <v>3892</v>
      </c>
      <c r="R89" t="s">
        <v>298</v>
      </c>
      <c r="S89" t="s">
        <v>746</v>
      </c>
      <c r="T89" t="s">
        <v>299</v>
      </c>
      <c r="U89">
        <v>-0.15</v>
      </c>
      <c r="V89">
        <v>-0.15</v>
      </c>
      <c r="W89" t="s">
        <v>52</v>
      </c>
      <c r="X89">
        <v>0.88190000000000002</v>
      </c>
      <c r="Y89">
        <v>0.91459999999999997</v>
      </c>
      <c r="Z89">
        <v>0.91459999999999997</v>
      </c>
      <c r="AA89">
        <v>0.88190000000000002</v>
      </c>
      <c r="AB89">
        <v>11.5739</v>
      </c>
      <c r="AC89">
        <v>11.574</v>
      </c>
      <c r="AD89">
        <v>10.3767</v>
      </c>
      <c r="AE89">
        <v>10.376799999999999</v>
      </c>
      <c r="AF89" t="s">
        <v>67</v>
      </c>
      <c r="AG89" t="s">
        <v>67</v>
      </c>
      <c r="AH89" t="s">
        <v>3894</v>
      </c>
      <c r="AI89" t="s">
        <v>3894</v>
      </c>
      <c r="AJ89" t="s">
        <v>3895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3896</v>
      </c>
      <c r="AT89" t="s">
        <v>3890</v>
      </c>
      <c r="AU89" t="s">
        <v>3897</v>
      </c>
      <c r="AV89" t="s">
        <v>3898</v>
      </c>
      <c r="AW89">
        <v>2</v>
      </c>
      <c r="AX89">
        <v>0</v>
      </c>
    </row>
    <row r="90" spans="1:50" x14ac:dyDescent="0.25">
      <c r="A90" t="s">
        <v>4044</v>
      </c>
      <c r="B90" t="s">
        <v>3889</v>
      </c>
      <c r="C90" t="s">
        <v>3890</v>
      </c>
      <c r="D90">
        <v>29.338000000000001</v>
      </c>
      <c r="E90">
        <v>29.294</v>
      </c>
      <c r="F90" s="2">
        <v>4.0000000000000001E-3</v>
      </c>
      <c r="G90" t="s">
        <v>278</v>
      </c>
      <c r="H90" t="s">
        <v>2133</v>
      </c>
      <c r="I90">
        <v>440314.27490000002</v>
      </c>
      <c r="J90">
        <v>1827746.6684000001</v>
      </c>
      <c r="K90">
        <v>440314.27490000002</v>
      </c>
      <c r="L90">
        <v>1827735.5748000001</v>
      </c>
      <c r="M90" t="s">
        <v>56</v>
      </c>
      <c r="N90" t="s">
        <v>57</v>
      </c>
      <c r="O90">
        <v>450</v>
      </c>
      <c r="P90" t="s">
        <v>3891</v>
      </c>
      <c r="Q90" t="s">
        <v>3892</v>
      </c>
      <c r="R90" t="s">
        <v>156</v>
      </c>
      <c r="S90" t="s">
        <v>280</v>
      </c>
      <c r="T90" t="s">
        <v>440</v>
      </c>
      <c r="U90">
        <v>2.7E-2</v>
      </c>
      <c r="V90">
        <v>2.7E-2</v>
      </c>
      <c r="W90" t="s">
        <v>52</v>
      </c>
      <c r="X90">
        <v>1.1304000000000001</v>
      </c>
      <c r="Y90">
        <v>1.1317999999999999</v>
      </c>
      <c r="Z90">
        <v>1.1304000000000001</v>
      </c>
      <c r="AA90">
        <v>1.1317999999999999</v>
      </c>
      <c r="AB90">
        <v>11.0936</v>
      </c>
      <c r="AC90">
        <v>11.0937</v>
      </c>
      <c r="AD90">
        <v>9.8963999999999999</v>
      </c>
      <c r="AE90">
        <v>9.8963999999999999</v>
      </c>
      <c r="AF90" t="s">
        <v>2233</v>
      </c>
      <c r="AG90" t="s">
        <v>2233</v>
      </c>
      <c r="AH90" t="s">
        <v>3894</v>
      </c>
      <c r="AI90" t="s">
        <v>3894</v>
      </c>
      <c r="AJ90" t="s">
        <v>3895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3896</v>
      </c>
      <c r="AT90" t="s">
        <v>3890</v>
      </c>
      <c r="AU90" t="s">
        <v>3897</v>
      </c>
      <c r="AV90" t="s">
        <v>3898</v>
      </c>
      <c r="AW90">
        <v>2</v>
      </c>
      <c r="AX90">
        <v>0</v>
      </c>
    </row>
    <row r="91" spans="1:50" x14ac:dyDescent="0.25">
      <c r="A91" t="s">
        <v>495</v>
      </c>
      <c r="B91" t="s">
        <v>3889</v>
      </c>
      <c r="C91" t="s">
        <v>3890</v>
      </c>
      <c r="D91">
        <v>32.03</v>
      </c>
      <c r="E91">
        <v>31.96</v>
      </c>
      <c r="F91" s="2">
        <v>3.8E-3</v>
      </c>
      <c r="G91" t="s">
        <v>494</v>
      </c>
      <c r="H91" t="s">
        <v>487</v>
      </c>
      <c r="I91">
        <v>440044.07449999999</v>
      </c>
      <c r="J91">
        <v>1827904.5399</v>
      </c>
      <c r="K91">
        <v>440044.07449999999</v>
      </c>
      <c r="L91">
        <v>1827922.8370999999</v>
      </c>
      <c r="M91" t="s">
        <v>56</v>
      </c>
      <c r="N91" t="s">
        <v>57</v>
      </c>
      <c r="O91">
        <v>450</v>
      </c>
      <c r="P91" t="s">
        <v>3891</v>
      </c>
      <c r="Q91" t="s">
        <v>3892</v>
      </c>
      <c r="R91" t="s">
        <v>489</v>
      </c>
      <c r="S91" t="s">
        <v>496</v>
      </c>
      <c r="T91" t="s">
        <v>490</v>
      </c>
      <c r="U91">
        <v>0.15</v>
      </c>
      <c r="V91">
        <v>0.15</v>
      </c>
      <c r="W91" t="s">
        <v>52</v>
      </c>
      <c r="X91">
        <v>0.80069999999999997</v>
      </c>
      <c r="Y91">
        <v>0.80259999999999998</v>
      </c>
      <c r="Z91">
        <v>0.80259999999999998</v>
      </c>
      <c r="AA91">
        <v>0.80069999999999997</v>
      </c>
      <c r="AB91">
        <v>18.2972</v>
      </c>
      <c r="AC91">
        <v>18.2973</v>
      </c>
      <c r="AD91">
        <v>17.099799999999998</v>
      </c>
      <c r="AE91">
        <v>17.100000000000001</v>
      </c>
      <c r="AF91" t="s">
        <v>67</v>
      </c>
      <c r="AG91" t="s">
        <v>67</v>
      </c>
      <c r="AH91" t="s">
        <v>3894</v>
      </c>
      <c r="AI91" t="s">
        <v>3894</v>
      </c>
      <c r="AJ91" t="s">
        <v>3895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3896</v>
      </c>
      <c r="AT91" t="s">
        <v>3890</v>
      </c>
      <c r="AU91" t="s">
        <v>3897</v>
      </c>
      <c r="AV91" t="s">
        <v>3898</v>
      </c>
      <c r="AW91">
        <v>2</v>
      </c>
      <c r="AX91">
        <v>0</v>
      </c>
    </row>
    <row r="92" spans="1:50" x14ac:dyDescent="0.25">
      <c r="A92" t="s">
        <v>4045</v>
      </c>
      <c r="B92" t="s">
        <v>3889</v>
      </c>
      <c r="C92" t="s">
        <v>3890</v>
      </c>
      <c r="D92">
        <v>29.379000000000001</v>
      </c>
      <c r="E92">
        <v>29.338000000000001</v>
      </c>
      <c r="F92" s="2">
        <v>3.7000000000000002E-3</v>
      </c>
      <c r="G92" t="s">
        <v>2129</v>
      </c>
      <c r="H92" t="s">
        <v>278</v>
      </c>
      <c r="I92">
        <v>440314.27490000002</v>
      </c>
      <c r="J92">
        <v>1827757.6794</v>
      </c>
      <c r="K92">
        <v>440314.27490000002</v>
      </c>
      <c r="L92">
        <v>1827746.6684000001</v>
      </c>
      <c r="M92" t="s">
        <v>56</v>
      </c>
      <c r="N92" t="s">
        <v>57</v>
      </c>
      <c r="O92">
        <v>450</v>
      </c>
      <c r="P92" t="s">
        <v>3891</v>
      </c>
      <c r="Q92" t="s">
        <v>3892</v>
      </c>
      <c r="R92" t="s">
        <v>156</v>
      </c>
      <c r="S92" t="s">
        <v>2131</v>
      </c>
      <c r="T92" t="s">
        <v>280</v>
      </c>
      <c r="U92">
        <v>2.7E-2</v>
      </c>
      <c r="V92">
        <v>2.7E-2</v>
      </c>
      <c r="W92" t="s">
        <v>52</v>
      </c>
      <c r="X92">
        <v>1.1304000000000001</v>
      </c>
      <c r="Y92">
        <v>1.1316999999999999</v>
      </c>
      <c r="Z92">
        <v>1.1316999999999999</v>
      </c>
      <c r="AA92">
        <v>1.1304000000000001</v>
      </c>
      <c r="AB92">
        <v>11.010999999999999</v>
      </c>
      <c r="AC92">
        <v>11.011100000000001</v>
      </c>
      <c r="AD92">
        <v>9.8135999999999992</v>
      </c>
      <c r="AE92">
        <v>9.8137000000000008</v>
      </c>
      <c r="AF92" t="s">
        <v>2233</v>
      </c>
      <c r="AG92" t="s">
        <v>2233</v>
      </c>
      <c r="AH92" t="s">
        <v>3894</v>
      </c>
      <c r="AI92" t="s">
        <v>3894</v>
      </c>
      <c r="AJ92" t="s">
        <v>3895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3896</v>
      </c>
      <c r="AT92" t="s">
        <v>3890</v>
      </c>
      <c r="AU92" t="s">
        <v>3897</v>
      </c>
      <c r="AV92" t="s">
        <v>3898</v>
      </c>
      <c r="AW92">
        <v>2</v>
      </c>
      <c r="AX92">
        <v>0</v>
      </c>
    </row>
    <row r="93" spans="1:50" x14ac:dyDescent="0.25">
      <c r="A93" t="s">
        <v>785</v>
      </c>
      <c r="B93" t="s">
        <v>3889</v>
      </c>
      <c r="C93" t="s">
        <v>3890</v>
      </c>
      <c r="D93">
        <v>30.556000000000001</v>
      </c>
      <c r="E93">
        <v>30.486000000000001</v>
      </c>
      <c r="F93" s="2">
        <v>3.5000000000000001E-3</v>
      </c>
      <c r="G93" t="s">
        <v>784</v>
      </c>
      <c r="H93" t="s">
        <v>791</v>
      </c>
      <c r="I93">
        <v>440258.3749</v>
      </c>
      <c r="J93">
        <v>1827439.4838</v>
      </c>
      <c r="K93">
        <v>440258.3749</v>
      </c>
      <c r="L93">
        <v>1827459.3592000001</v>
      </c>
      <c r="M93" t="s">
        <v>56</v>
      </c>
      <c r="N93" t="s">
        <v>57</v>
      </c>
      <c r="O93">
        <v>450</v>
      </c>
      <c r="P93" t="s">
        <v>3891</v>
      </c>
      <c r="Q93" t="s">
        <v>3892</v>
      </c>
      <c r="R93" t="s">
        <v>367</v>
      </c>
      <c r="S93" t="s">
        <v>440</v>
      </c>
      <c r="T93" t="s">
        <v>793</v>
      </c>
      <c r="U93">
        <v>-0.17499999999999999</v>
      </c>
      <c r="V93">
        <v>-0.17499999999999999</v>
      </c>
      <c r="W93" t="s">
        <v>52</v>
      </c>
      <c r="X93">
        <v>0.88200000000000001</v>
      </c>
      <c r="Y93">
        <v>0.88229999999999997</v>
      </c>
      <c r="Z93">
        <v>0.88229999999999997</v>
      </c>
      <c r="AA93">
        <v>0.88200000000000001</v>
      </c>
      <c r="AB93">
        <v>19.875499999999999</v>
      </c>
      <c r="AC93">
        <v>19.875599999999999</v>
      </c>
      <c r="AD93">
        <v>18.677900000000001</v>
      </c>
      <c r="AE93">
        <v>18.678100000000001</v>
      </c>
      <c r="AF93" t="s">
        <v>67</v>
      </c>
      <c r="AG93" t="s">
        <v>67</v>
      </c>
      <c r="AH93" t="s">
        <v>3894</v>
      </c>
      <c r="AI93" t="s">
        <v>3894</v>
      </c>
      <c r="AJ93" t="s">
        <v>3895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3896</v>
      </c>
      <c r="AT93" t="s">
        <v>3890</v>
      </c>
      <c r="AU93" t="s">
        <v>3897</v>
      </c>
      <c r="AV93" t="s">
        <v>3898</v>
      </c>
      <c r="AW93">
        <v>2</v>
      </c>
      <c r="AX93">
        <v>0</v>
      </c>
    </row>
    <row r="94" spans="1:50" x14ac:dyDescent="0.25">
      <c r="A94" t="s">
        <v>4046</v>
      </c>
      <c r="B94" t="s">
        <v>3889</v>
      </c>
      <c r="C94" t="s">
        <v>3890</v>
      </c>
      <c r="D94">
        <v>29.815999999999999</v>
      </c>
      <c r="E94">
        <v>29.774000000000001</v>
      </c>
      <c r="F94" s="2">
        <v>3.3E-3</v>
      </c>
      <c r="G94" t="s">
        <v>213</v>
      </c>
      <c r="H94" t="s">
        <v>2177</v>
      </c>
      <c r="I94">
        <v>440323.97489999997</v>
      </c>
      <c r="J94">
        <v>1827808.2206999999</v>
      </c>
      <c r="K94">
        <v>440323.97489999997</v>
      </c>
      <c r="L94">
        <v>1827795.5748000001</v>
      </c>
      <c r="M94" t="s">
        <v>56</v>
      </c>
      <c r="N94" t="s">
        <v>57</v>
      </c>
      <c r="O94">
        <v>450</v>
      </c>
      <c r="P94" t="s">
        <v>3891</v>
      </c>
      <c r="Q94" t="s">
        <v>3892</v>
      </c>
      <c r="R94" t="s">
        <v>161</v>
      </c>
      <c r="S94" t="s">
        <v>215</v>
      </c>
      <c r="T94" t="s">
        <v>2179</v>
      </c>
      <c r="U94">
        <v>0</v>
      </c>
      <c r="V94">
        <v>0</v>
      </c>
      <c r="W94" t="s">
        <v>52</v>
      </c>
      <c r="X94">
        <v>0.88219999999999998</v>
      </c>
      <c r="Y94">
        <v>0.89129999999999998</v>
      </c>
      <c r="Z94">
        <v>0.88349999999999995</v>
      </c>
      <c r="AA94">
        <v>0.88219999999999998</v>
      </c>
      <c r="AB94">
        <v>12.645899999999999</v>
      </c>
      <c r="AC94">
        <v>12.646000000000001</v>
      </c>
      <c r="AD94">
        <v>11.4483</v>
      </c>
      <c r="AE94">
        <v>11.4483</v>
      </c>
      <c r="AF94" t="s">
        <v>2233</v>
      </c>
      <c r="AG94" t="s">
        <v>2233</v>
      </c>
      <c r="AH94" t="s">
        <v>3894</v>
      </c>
      <c r="AI94" t="s">
        <v>3894</v>
      </c>
      <c r="AJ94" t="s">
        <v>3895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3896</v>
      </c>
      <c r="AT94" t="s">
        <v>3890</v>
      </c>
      <c r="AU94" t="s">
        <v>3897</v>
      </c>
      <c r="AV94" t="s">
        <v>3898</v>
      </c>
      <c r="AW94">
        <v>2</v>
      </c>
      <c r="AX94">
        <v>0</v>
      </c>
    </row>
    <row r="95" spans="1:50" x14ac:dyDescent="0.25">
      <c r="A95" t="s">
        <v>185</v>
      </c>
      <c r="B95" t="s">
        <v>3889</v>
      </c>
      <c r="C95" t="s">
        <v>3890</v>
      </c>
      <c r="D95">
        <v>28.66</v>
      </c>
      <c r="E95">
        <v>28.629000000000001</v>
      </c>
      <c r="F95" s="2">
        <v>2E-3</v>
      </c>
      <c r="G95" t="s">
        <v>184</v>
      </c>
      <c r="H95" t="s">
        <v>3707</v>
      </c>
      <c r="I95">
        <v>440529.67509999999</v>
      </c>
      <c r="J95">
        <v>1827562.5209999999</v>
      </c>
      <c r="K95">
        <v>440529.67509999999</v>
      </c>
      <c r="L95">
        <v>1827578.2394999999</v>
      </c>
      <c r="M95" t="s">
        <v>56</v>
      </c>
      <c r="N95" t="s">
        <v>57</v>
      </c>
      <c r="O95">
        <v>450</v>
      </c>
      <c r="P95" t="s">
        <v>3891</v>
      </c>
      <c r="Q95" t="s">
        <v>3892</v>
      </c>
      <c r="R95" t="s">
        <v>186</v>
      </c>
      <c r="S95" t="s">
        <v>187</v>
      </c>
      <c r="T95" t="s">
        <v>432</v>
      </c>
      <c r="U95">
        <v>0</v>
      </c>
      <c r="V95">
        <v>0</v>
      </c>
      <c r="W95" t="s">
        <v>52</v>
      </c>
      <c r="X95">
        <v>0.88200000000000001</v>
      </c>
      <c r="Y95">
        <v>0.88239999999999996</v>
      </c>
      <c r="Z95">
        <v>0.88239999999999996</v>
      </c>
      <c r="AA95">
        <v>0.88200000000000001</v>
      </c>
      <c r="AB95">
        <v>15.718500000000001</v>
      </c>
      <c r="AC95">
        <v>15.718500000000001</v>
      </c>
      <c r="AD95">
        <v>14.5199</v>
      </c>
      <c r="AE95">
        <v>14.5199</v>
      </c>
      <c r="AF95" t="s">
        <v>67</v>
      </c>
      <c r="AG95" t="s">
        <v>67</v>
      </c>
      <c r="AH95" t="s">
        <v>3894</v>
      </c>
      <c r="AI95" t="s">
        <v>3894</v>
      </c>
      <c r="AJ95" t="s">
        <v>3895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3896</v>
      </c>
      <c r="AT95" t="s">
        <v>3890</v>
      </c>
      <c r="AU95" t="s">
        <v>3897</v>
      </c>
      <c r="AV95" t="s">
        <v>3898</v>
      </c>
      <c r="AW95">
        <v>2</v>
      </c>
      <c r="AX95">
        <v>0</v>
      </c>
    </row>
    <row r="96" spans="1:50" x14ac:dyDescent="0.25">
      <c r="A96" t="s">
        <v>4047</v>
      </c>
      <c r="B96" t="s">
        <v>3889</v>
      </c>
      <c r="C96" t="s">
        <v>3890</v>
      </c>
      <c r="D96">
        <v>31.382000000000001</v>
      </c>
      <c r="E96">
        <v>31.317</v>
      </c>
      <c r="F96" s="2">
        <v>3.2000000000000002E-3</v>
      </c>
      <c r="G96" t="s">
        <v>3331</v>
      </c>
      <c r="H96" t="s">
        <v>3335</v>
      </c>
      <c r="I96">
        <v>440192.77490000002</v>
      </c>
      <c r="J96">
        <v>1827314.1728000001</v>
      </c>
      <c r="K96">
        <v>440192.77490000002</v>
      </c>
      <c r="L96">
        <v>1827334.4693</v>
      </c>
      <c r="M96" t="s">
        <v>56</v>
      </c>
      <c r="N96" t="s">
        <v>57</v>
      </c>
      <c r="O96">
        <v>450</v>
      </c>
      <c r="P96" t="s">
        <v>3891</v>
      </c>
      <c r="Q96" t="s">
        <v>3892</v>
      </c>
      <c r="R96" t="s">
        <v>3327</v>
      </c>
      <c r="S96" t="s">
        <v>3333</v>
      </c>
      <c r="T96" t="s">
        <v>3315</v>
      </c>
      <c r="U96">
        <v>0</v>
      </c>
      <c r="V96">
        <v>0</v>
      </c>
      <c r="W96" t="s">
        <v>52</v>
      </c>
      <c r="X96">
        <v>0.89749999999999996</v>
      </c>
      <c r="Y96">
        <v>0.89859999999999995</v>
      </c>
      <c r="Z96">
        <v>0.89749999999999996</v>
      </c>
      <c r="AA96">
        <v>0.89859999999999995</v>
      </c>
      <c r="AB96">
        <v>20.296500000000002</v>
      </c>
      <c r="AC96">
        <v>20.296600000000002</v>
      </c>
      <c r="AD96">
        <v>19.098700000000001</v>
      </c>
      <c r="AE96">
        <v>19.098800000000001</v>
      </c>
      <c r="AF96" t="s">
        <v>67</v>
      </c>
      <c r="AG96" t="s">
        <v>67</v>
      </c>
      <c r="AH96" t="s">
        <v>3894</v>
      </c>
      <c r="AI96" t="s">
        <v>3894</v>
      </c>
      <c r="AJ96" t="s">
        <v>3895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3896</v>
      </c>
      <c r="AT96" t="s">
        <v>3890</v>
      </c>
      <c r="AU96" t="s">
        <v>3897</v>
      </c>
      <c r="AV96" t="s">
        <v>3898</v>
      </c>
      <c r="AW96">
        <v>2</v>
      </c>
      <c r="AX96">
        <v>0</v>
      </c>
    </row>
    <row r="97" spans="1:50" x14ac:dyDescent="0.25">
      <c r="A97" t="s">
        <v>190</v>
      </c>
      <c r="B97" t="s">
        <v>3889</v>
      </c>
      <c r="C97" t="s">
        <v>3890</v>
      </c>
      <c r="D97">
        <v>28.661000000000001</v>
      </c>
      <c r="E97">
        <v>28.629000000000001</v>
      </c>
      <c r="F97" s="2">
        <v>2E-3</v>
      </c>
      <c r="G97" t="s">
        <v>189</v>
      </c>
      <c r="H97" t="s">
        <v>3778</v>
      </c>
      <c r="I97">
        <v>440519.97509999998</v>
      </c>
      <c r="J97">
        <v>1827562.5629</v>
      </c>
      <c r="K97">
        <v>440519.97509999998</v>
      </c>
      <c r="L97">
        <v>1827578.2394999999</v>
      </c>
      <c r="M97" t="s">
        <v>56</v>
      </c>
      <c r="N97" t="s">
        <v>57</v>
      </c>
      <c r="O97">
        <v>450</v>
      </c>
      <c r="P97" t="s">
        <v>3891</v>
      </c>
      <c r="Q97" t="s">
        <v>3892</v>
      </c>
      <c r="R97" t="s">
        <v>191</v>
      </c>
      <c r="S97" t="s">
        <v>192</v>
      </c>
      <c r="T97" t="s">
        <v>432</v>
      </c>
      <c r="U97">
        <v>-7.5999999999999998E-2</v>
      </c>
      <c r="V97">
        <v>-7.5999999999999998E-2</v>
      </c>
      <c r="W97" t="s">
        <v>52</v>
      </c>
      <c r="X97">
        <v>0.88129999999999997</v>
      </c>
      <c r="Y97">
        <v>0.88200000000000001</v>
      </c>
      <c r="Z97">
        <v>0.88129999999999997</v>
      </c>
      <c r="AA97">
        <v>0.88200000000000001</v>
      </c>
      <c r="AB97">
        <v>15.6767</v>
      </c>
      <c r="AC97">
        <v>15.6767</v>
      </c>
      <c r="AD97">
        <v>14.4781</v>
      </c>
      <c r="AE97">
        <v>14.4781</v>
      </c>
      <c r="AF97" t="s">
        <v>67</v>
      </c>
      <c r="AG97" t="s">
        <v>67</v>
      </c>
      <c r="AH97" t="s">
        <v>3894</v>
      </c>
      <c r="AI97" t="s">
        <v>3894</v>
      </c>
      <c r="AJ97" t="s">
        <v>3895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3896</v>
      </c>
      <c r="AT97" t="s">
        <v>3890</v>
      </c>
      <c r="AU97" t="s">
        <v>3897</v>
      </c>
      <c r="AV97" t="s">
        <v>3898</v>
      </c>
      <c r="AW97">
        <v>2</v>
      </c>
      <c r="AX97">
        <v>0</v>
      </c>
    </row>
    <row r="98" spans="1:50" x14ac:dyDescent="0.25">
      <c r="A98" t="s">
        <v>4048</v>
      </c>
      <c r="B98" t="s">
        <v>3889</v>
      </c>
      <c r="C98" t="s">
        <v>3890</v>
      </c>
      <c r="D98">
        <v>31.38</v>
      </c>
      <c r="E98">
        <v>31.317</v>
      </c>
      <c r="F98" s="2">
        <v>3.2000000000000002E-3</v>
      </c>
      <c r="G98" t="s">
        <v>331</v>
      </c>
      <c r="H98" t="s">
        <v>3313</v>
      </c>
      <c r="I98">
        <v>440183.07490000001</v>
      </c>
      <c r="J98">
        <v>1827314.5144</v>
      </c>
      <c r="K98">
        <v>440183.07490000001</v>
      </c>
      <c r="L98">
        <v>1827334.4693</v>
      </c>
      <c r="M98" t="s">
        <v>56</v>
      </c>
      <c r="N98" t="s">
        <v>57</v>
      </c>
      <c r="O98">
        <v>450</v>
      </c>
      <c r="P98" t="s">
        <v>3891</v>
      </c>
      <c r="Q98" t="s">
        <v>3892</v>
      </c>
      <c r="R98" t="s">
        <v>333</v>
      </c>
      <c r="S98" t="s">
        <v>334</v>
      </c>
      <c r="T98" t="s">
        <v>3315</v>
      </c>
      <c r="U98">
        <v>-2.4199999999999999E-2</v>
      </c>
      <c r="V98">
        <v>-2.4199999999999999E-2</v>
      </c>
      <c r="W98" t="s">
        <v>52</v>
      </c>
      <c r="X98">
        <v>0.89839999999999998</v>
      </c>
      <c r="Y98">
        <v>0.89859999999999995</v>
      </c>
      <c r="Z98">
        <v>0.89839999999999998</v>
      </c>
      <c r="AA98">
        <v>0.89859999999999995</v>
      </c>
      <c r="AB98">
        <v>19.954899999999999</v>
      </c>
      <c r="AC98">
        <v>19.954999999999998</v>
      </c>
      <c r="AD98">
        <v>18.757100000000001</v>
      </c>
      <c r="AE98">
        <v>18.757200000000001</v>
      </c>
      <c r="AF98" t="s">
        <v>67</v>
      </c>
      <c r="AG98" t="s">
        <v>67</v>
      </c>
      <c r="AH98" t="s">
        <v>3894</v>
      </c>
      <c r="AI98" t="s">
        <v>3894</v>
      </c>
      <c r="AJ98" t="s">
        <v>3895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3896</v>
      </c>
      <c r="AT98" t="s">
        <v>3890</v>
      </c>
      <c r="AU98" t="s">
        <v>3897</v>
      </c>
      <c r="AV98" t="s">
        <v>3898</v>
      </c>
      <c r="AW98">
        <v>2</v>
      </c>
      <c r="AX98">
        <v>0</v>
      </c>
    </row>
    <row r="99" spans="1:50" x14ac:dyDescent="0.25">
      <c r="A99" t="s">
        <v>4049</v>
      </c>
      <c r="B99" t="s">
        <v>3889</v>
      </c>
      <c r="C99" t="s">
        <v>3890</v>
      </c>
      <c r="D99">
        <v>30.253</v>
      </c>
      <c r="E99">
        <v>30.195</v>
      </c>
      <c r="F99" s="2">
        <v>3.0999999999999999E-3</v>
      </c>
      <c r="G99" t="s">
        <v>244</v>
      </c>
      <c r="H99" t="s">
        <v>2393</v>
      </c>
      <c r="I99">
        <v>440387.3751</v>
      </c>
      <c r="J99">
        <v>1827944.331</v>
      </c>
      <c r="K99">
        <v>440387.3751</v>
      </c>
      <c r="L99">
        <v>1827925.5109000001</v>
      </c>
      <c r="M99" t="s">
        <v>56</v>
      </c>
      <c r="N99" t="s">
        <v>57</v>
      </c>
      <c r="O99">
        <v>450</v>
      </c>
      <c r="P99" t="s">
        <v>3891</v>
      </c>
      <c r="Q99" t="s">
        <v>3892</v>
      </c>
      <c r="R99" t="s">
        <v>246</v>
      </c>
      <c r="S99" t="s">
        <v>247</v>
      </c>
      <c r="T99" t="s">
        <v>4050</v>
      </c>
      <c r="U99">
        <v>0</v>
      </c>
      <c r="V99">
        <v>0</v>
      </c>
      <c r="W99" t="s">
        <v>52</v>
      </c>
      <c r="X99">
        <v>0.81030000000000002</v>
      </c>
      <c r="Y99">
        <v>0.8962</v>
      </c>
      <c r="Z99">
        <v>0.89580000000000004</v>
      </c>
      <c r="AA99">
        <v>0.8962</v>
      </c>
      <c r="AB99">
        <v>18.671500000000002</v>
      </c>
      <c r="AC99">
        <v>18.671600000000002</v>
      </c>
      <c r="AD99">
        <v>17.772300000000001</v>
      </c>
      <c r="AE99">
        <v>17.772400000000001</v>
      </c>
      <c r="AF99" t="s">
        <v>2233</v>
      </c>
      <c r="AG99" t="s">
        <v>2233</v>
      </c>
      <c r="AH99" t="s">
        <v>3894</v>
      </c>
      <c r="AI99" t="s">
        <v>3894</v>
      </c>
      <c r="AJ99" t="s">
        <v>3895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3896</v>
      </c>
      <c r="AT99" t="s">
        <v>3890</v>
      </c>
      <c r="AU99" t="s">
        <v>3897</v>
      </c>
      <c r="AV99" t="s">
        <v>3898</v>
      </c>
      <c r="AW99">
        <v>2</v>
      </c>
      <c r="AX99">
        <v>0</v>
      </c>
    </row>
    <row r="100" spans="1:50" x14ac:dyDescent="0.25">
      <c r="A100" t="s">
        <v>508</v>
      </c>
      <c r="B100" t="s">
        <v>3889</v>
      </c>
      <c r="C100" t="s">
        <v>3890</v>
      </c>
      <c r="D100">
        <v>32.020000000000003</v>
      </c>
      <c r="E100">
        <v>31.96</v>
      </c>
      <c r="F100" s="2">
        <v>3.0999999999999999E-3</v>
      </c>
      <c r="G100" t="s">
        <v>507</v>
      </c>
      <c r="H100" t="s">
        <v>500</v>
      </c>
      <c r="I100">
        <v>440053.7745</v>
      </c>
      <c r="J100">
        <v>1827904.2631000001</v>
      </c>
      <c r="K100">
        <v>440053.7745</v>
      </c>
      <c r="L100">
        <v>1827923.3133</v>
      </c>
      <c r="M100" t="s">
        <v>56</v>
      </c>
      <c r="N100" t="s">
        <v>57</v>
      </c>
      <c r="O100">
        <v>450</v>
      </c>
      <c r="P100" t="s">
        <v>3891</v>
      </c>
      <c r="Q100" t="s">
        <v>3892</v>
      </c>
      <c r="R100" t="s">
        <v>502</v>
      </c>
      <c r="S100" t="s">
        <v>509</v>
      </c>
      <c r="T100" t="s">
        <v>503</v>
      </c>
      <c r="U100">
        <v>1.15E-2</v>
      </c>
      <c r="V100">
        <v>1.15E-2</v>
      </c>
      <c r="W100" t="s">
        <v>52</v>
      </c>
      <c r="X100">
        <v>0.79100000000000004</v>
      </c>
      <c r="Y100">
        <v>0.7913</v>
      </c>
      <c r="Z100">
        <v>0.79100000000000004</v>
      </c>
      <c r="AA100">
        <v>0.7913</v>
      </c>
      <c r="AB100">
        <v>19.0502</v>
      </c>
      <c r="AC100">
        <v>19.0502</v>
      </c>
      <c r="AD100">
        <v>17.852399999999999</v>
      </c>
      <c r="AE100">
        <v>17.852399999999999</v>
      </c>
      <c r="AF100" t="s">
        <v>67</v>
      </c>
      <c r="AG100" t="s">
        <v>67</v>
      </c>
      <c r="AH100" t="s">
        <v>3894</v>
      </c>
      <c r="AI100" t="s">
        <v>3894</v>
      </c>
      <c r="AJ100" t="s">
        <v>3895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3896</v>
      </c>
      <c r="AT100" t="s">
        <v>3890</v>
      </c>
      <c r="AU100" t="s">
        <v>3897</v>
      </c>
      <c r="AV100" t="s">
        <v>3898</v>
      </c>
      <c r="AW100">
        <v>2</v>
      </c>
      <c r="AX100">
        <v>0</v>
      </c>
    </row>
    <row r="101" spans="1:50" x14ac:dyDescent="0.25">
      <c r="A101" t="s">
        <v>4051</v>
      </c>
      <c r="B101" t="s">
        <v>3924</v>
      </c>
      <c r="C101" t="s">
        <v>3890</v>
      </c>
      <c r="D101">
        <v>31.132000000000001</v>
      </c>
      <c r="E101">
        <v>31.099</v>
      </c>
      <c r="F101" s="2">
        <v>3.0999999999999999E-3</v>
      </c>
      <c r="G101" t="s">
        <v>608</v>
      </c>
      <c r="H101" t="s">
        <v>611</v>
      </c>
      <c r="I101">
        <v>440020.9252</v>
      </c>
      <c r="J101">
        <v>1827520.9838</v>
      </c>
      <c r="K101">
        <v>440020.9252</v>
      </c>
      <c r="L101">
        <v>1827531.6088</v>
      </c>
      <c r="M101" t="s">
        <v>56</v>
      </c>
      <c r="N101" t="s">
        <v>57</v>
      </c>
      <c r="O101">
        <v>750</v>
      </c>
      <c r="P101" t="s">
        <v>3891</v>
      </c>
      <c r="Q101" t="s">
        <v>3892</v>
      </c>
      <c r="R101" t="s">
        <v>596</v>
      </c>
      <c r="S101" t="s">
        <v>452</v>
      </c>
      <c r="T101" t="s">
        <v>4052</v>
      </c>
      <c r="U101">
        <v>0</v>
      </c>
      <c r="V101">
        <v>0</v>
      </c>
      <c r="W101" t="s">
        <v>52</v>
      </c>
      <c r="X101">
        <v>0.85219999999999996</v>
      </c>
      <c r="Y101">
        <v>1.0811999999999999</v>
      </c>
      <c r="Z101">
        <v>1.0811999999999999</v>
      </c>
      <c r="AA101">
        <v>0.87</v>
      </c>
      <c r="AB101">
        <v>10.6752</v>
      </c>
      <c r="AC101">
        <v>10.6753</v>
      </c>
      <c r="AD101">
        <v>9.7030999999999992</v>
      </c>
      <c r="AE101">
        <v>9.7030999999999992</v>
      </c>
      <c r="AF101" t="s">
        <v>67</v>
      </c>
      <c r="AG101" t="s">
        <v>67</v>
      </c>
      <c r="AH101" t="s">
        <v>3894</v>
      </c>
      <c r="AI101" t="s">
        <v>3894</v>
      </c>
      <c r="AJ101" t="s">
        <v>3895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3896</v>
      </c>
      <c r="AT101" t="s">
        <v>3890</v>
      </c>
      <c r="AU101" t="s">
        <v>3926</v>
      </c>
      <c r="AV101" t="s">
        <v>3898</v>
      </c>
      <c r="AW101">
        <v>2</v>
      </c>
      <c r="AX101">
        <v>0</v>
      </c>
    </row>
    <row r="102" spans="1:50" x14ac:dyDescent="0.25">
      <c r="A102" t="s">
        <v>4053</v>
      </c>
      <c r="B102" t="s">
        <v>3889</v>
      </c>
      <c r="C102" t="s">
        <v>3890</v>
      </c>
      <c r="D102">
        <v>27.67</v>
      </c>
      <c r="E102">
        <v>27.646000000000001</v>
      </c>
      <c r="F102" s="2">
        <v>3.0000000000000001E-3</v>
      </c>
      <c r="G102" t="s">
        <v>3815</v>
      </c>
      <c r="H102" t="s">
        <v>3818</v>
      </c>
      <c r="I102">
        <v>440595.27510000003</v>
      </c>
      <c r="J102">
        <v>1827558.2394999999</v>
      </c>
      <c r="K102">
        <v>440595.27510000003</v>
      </c>
      <c r="L102">
        <v>1827550.3088</v>
      </c>
      <c r="M102" t="s">
        <v>56</v>
      </c>
      <c r="N102" t="s">
        <v>57</v>
      </c>
      <c r="O102">
        <v>450</v>
      </c>
      <c r="P102" t="s">
        <v>3891</v>
      </c>
      <c r="Q102" t="s">
        <v>3892</v>
      </c>
      <c r="R102" t="s">
        <v>797</v>
      </c>
      <c r="S102" s="1" t="s">
        <v>428</v>
      </c>
      <c r="T102" t="s">
        <v>4054</v>
      </c>
      <c r="U102">
        <v>3.3099999999999997E-2</v>
      </c>
      <c r="V102">
        <v>3.3099999999999997E-2</v>
      </c>
      <c r="W102" t="s">
        <v>52</v>
      </c>
      <c r="X102">
        <v>0.84489999999999998</v>
      </c>
      <c r="Y102">
        <v>1.0295000000000001</v>
      </c>
      <c r="Z102">
        <v>1.0275000000000001</v>
      </c>
      <c r="AA102">
        <v>0.86539999999999995</v>
      </c>
      <c r="AB102">
        <v>7.9321000000000002</v>
      </c>
      <c r="AC102">
        <v>7.9321999999999999</v>
      </c>
      <c r="AD102">
        <v>6.9577999999999998</v>
      </c>
      <c r="AE102">
        <v>6.9579000000000004</v>
      </c>
      <c r="AF102" t="s">
        <v>3905</v>
      </c>
      <c r="AG102" t="s">
        <v>3905</v>
      </c>
      <c r="AH102" t="s">
        <v>3894</v>
      </c>
      <c r="AI102" t="s">
        <v>3894</v>
      </c>
      <c r="AJ102" t="s">
        <v>3895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3896</v>
      </c>
      <c r="AT102" t="s">
        <v>3890</v>
      </c>
      <c r="AU102" t="s">
        <v>3897</v>
      </c>
      <c r="AV102" t="s">
        <v>3898</v>
      </c>
      <c r="AW102">
        <v>2</v>
      </c>
      <c r="AX102">
        <v>0</v>
      </c>
    </row>
    <row r="103" spans="1:50" x14ac:dyDescent="0.25">
      <c r="A103" t="s">
        <v>4055</v>
      </c>
      <c r="B103" t="s">
        <v>3889</v>
      </c>
      <c r="C103" t="s">
        <v>3890</v>
      </c>
      <c r="D103">
        <v>28.71</v>
      </c>
      <c r="E103">
        <v>28.683</v>
      </c>
      <c r="F103" s="2">
        <v>2.8E-3</v>
      </c>
      <c r="G103" t="s">
        <v>3590</v>
      </c>
      <c r="H103" t="s">
        <v>3601</v>
      </c>
      <c r="I103">
        <v>440519.97509999998</v>
      </c>
      <c r="J103">
        <v>1827415.4986</v>
      </c>
      <c r="K103">
        <v>440519.97509999998</v>
      </c>
      <c r="L103">
        <v>1827425.1986</v>
      </c>
      <c r="M103" t="s">
        <v>56</v>
      </c>
      <c r="N103" t="s">
        <v>57</v>
      </c>
      <c r="O103">
        <v>450</v>
      </c>
      <c r="P103" t="s">
        <v>3891</v>
      </c>
      <c r="Q103" t="s">
        <v>3892</v>
      </c>
      <c r="R103" t="s">
        <v>3606</v>
      </c>
      <c r="S103" t="s">
        <v>4056</v>
      </c>
      <c r="T103" t="s">
        <v>4057</v>
      </c>
      <c r="U103">
        <v>0.13270000000000001</v>
      </c>
      <c r="V103">
        <v>0.13270000000000001</v>
      </c>
      <c r="W103" t="s">
        <v>52</v>
      </c>
      <c r="X103">
        <v>0.86499999999999999</v>
      </c>
      <c r="Y103">
        <v>1.0987</v>
      </c>
      <c r="Z103">
        <v>1.0987</v>
      </c>
      <c r="AA103">
        <v>0.86499999999999999</v>
      </c>
      <c r="AB103">
        <v>8.9512999999999998</v>
      </c>
      <c r="AC103">
        <v>8.9512999999999998</v>
      </c>
      <c r="AD103">
        <v>7.7531999999999996</v>
      </c>
      <c r="AE103">
        <v>7.7531999999999996</v>
      </c>
      <c r="AF103" t="s">
        <v>67</v>
      </c>
      <c r="AG103" t="s">
        <v>67</v>
      </c>
      <c r="AH103" t="s">
        <v>3894</v>
      </c>
      <c r="AI103" t="s">
        <v>3894</v>
      </c>
      <c r="AJ103" t="s">
        <v>3895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3896</v>
      </c>
      <c r="AT103" t="s">
        <v>3890</v>
      </c>
      <c r="AU103" t="s">
        <v>3897</v>
      </c>
      <c r="AV103" t="s">
        <v>3898</v>
      </c>
      <c r="AW103">
        <v>2</v>
      </c>
      <c r="AX103">
        <v>0</v>
      </c>
    </row>
    <row r="104" spans="1:50" x14ac:dyDescent="0.25">
      <c r="A104" t="s">
        <v>4058</v>
      </c>
      <c r="B104" t="s">
        <v>3889</v>
      </c>
      <c r="C104" t="s">
        <v>3890</v>
      </c>
      <c r="D104">
        <v>29.588999999999999</v>
      </c>
      <c r="E104">
        <v>29.562000000000001</v>
      </c>
      <c r="F104" s="2">
        <v>2.8E-3</v>
      </c>
      <c r="G104" t="s">
        <v>3479</v>
      </c>
      <c r="H104" t="s">
        <v>3483</v>
      </c>
      <c r="I104">
        <v>440387.3751</v>
      </c>
      <c r="J104">
        <v>1827415.4986</v>
      </c>
      <c r="K104">
        <v>440387.3751</v>
      </c>
      <c r="L104">
        <v>1827425.1986</v>
      </c>
      <c r="M104" t="s">
        <v>56</v>
      </c>
      <c r="N104" t="s">
        <v>57</v>
      </c>
      <c r="O104">
        <v>450</v>
      </c>
      <c r="P104" t="s">
        <v>3891</v>
      </c>
      <c r="Q104" t="s">
        <v>3892</v>
      </c>
      <c r="R104" t="s">
        <v>117</v>
      </c>
      <c r="S104" t="s">
        <v>4059</v>
      </c>
      <c r="T104" t="s">
        <v>4060</v>
      </c>
      <c r="U104">
        <v>3.6400000000000002E-2</v>
      </c>
      <c r="V104">
        <v>3.6400000000000002E-2</v>
      </c>
      <c r="W104" t="s">
        <v>52</v>
      </c>
      <c r="X104">
        <v>0.85740000000000005</v>
      </c>
      <c r="Y104">
        <v>0.98070000000000002</v>
      </c>
      <c r="Z104">
        <v>0.90310000000000001</v>
      </c>
      <c r="AA104">
        <v>0.85860000000000003</v>
      </c>
      <c r="AB104">
        <v>9.2806999999999995</v>
      </c>
      <c r="AC104">
        <v>9.2807999999999993</v>
      </c>
      <c r="AD104">
        <v>8.0827000000000009</v>
      </c>
      <c r="AE104">
        <v>8.0827000000000009</v>
      </c>
      <c r="AF104" t="s">
        <v>67</v>
      </c>
      <c r="AG104" t="s">
        <v>67</v>
      </c>
      <c r="AH104" t="s">
        <v>3894</v>
      </c>
      <c r="AI104" t="s">
        <v>3894</v>
      </c>
      <c r="AJ104" t="s">
        <v>3895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3896</v>
      </c>
      <c r="AT104" t="s">
        <v>3890</v>
      </c>
      <c r="AU104" t="s">
        <v>3897</v>
      </c>
      <c r="AV104" t="s">
        <v>3898</v>
      </c>
      <c r="AW104">
        <v>2</v>
      </c>
      <c r="AX104">
        <v>0</v>
      </c>
    </row>
    <row r="105" spans="1:50" x14ac:dyDescent="0.25">
      <c r="A105" t="s">
        <v>4061</v>
      </c>
      <c r="B105" t="s">
        <v>3889</v>
      </c>
      <c r="C105" t="s">
        <v>3890</v>
      </c>
      <c r="D105">
        <v>28.3</v>
      </c>
      <c r="E105">
        <v>28.273</v>
      </c>
      <c r="F105" s="2">
        <v>2.8E-3</v>
      </c>
      <c r="G105" t="s">
        <v>3648</v>
      </c>
      <c r="H105" t="s">
        <v>3660</v>
      </c>
      <c r="I105">
        <v>440585.57510000002</v>
      </c>
      <c r="J105">
        <v>1827415.4986</v>
      </c>
      <c r="K105">
        <v>440585.57510000002</v>
      </c>
      <c r="L105">
        <v>1827425.1986</v>
      </c>
      <c r="M105" t="s">
        <v>56</v>
      </c>
      <c r="N105" t="s">
        <v>57</v>
      </c>
      <c r="O105">
        <v>450</v>
      </c>
      <c r="P105" t="s">
        <v>3891</v>
      </c>
      <c r="Q105" t="s">
        <v>3892</v>
      </c>
      <c r="R105" t="s">
        <v>357</v>
      </c>
      <c r="S105" t="s">
        <v>4062</v>
      </c>
      <c r="T105" t="s">
        <v>4063</v>
      </c>
      <c r="U105">
        <v>7.1999999999999995E-2</v>
      </c>
      <c r="V105">
        <v>6.6699999999999995E-2</v>
      </c>
      <c r="W105" t="s">
        <v>52</v>
      </c>
      <c r="X105">
        <v>0.86470000000000002</v>
      </c>
      <c r="Y105">
        <v>1.0350999999999999</v>
      </c>
      <c r="Z105">
        <v>0.94069999999999998</v>
      </c>
      <c r="AA105">
        <v>0.86470000000000002</v>
      </c>
      <c r="AB105">
        <v>9.25</v>
      </c>
      <c r="AC105">
        <v>9.25</v>
      </c>
      <c r="AD105">
        <v>8.0518999999999998</v>
      </c>
      <c r="AE105">
        <v>8.0519999999999996</v>
      </c>
      <c r="AF105" t="s">
        <v>3973</v>
      </c>
      <c r="AG105" t="s">
        <v>3973</v>
      </c>
      <c r="AH105" t="s">
        <v>3894</v>
      </c>
      <c r="AI105" t="s">
        <v>3894</v>
      </c>
      <c r="AJ105" t="s">
        <v>3895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3896</v>
      </c>
      <c r="AT105" t="s">
        <v>3890</v>
      </c>
      <c r="AU105" t="s">
        <v>3897</v>
      </c>
      <c r="AV105" t="s">
        <v>3898</v>
      </c>
      <c r="AW105">
        <v>2</v>
      </c>
      <c r="AX105">
        <v>0</v>
      </c>
    </row>
    <row r="106" spans="1:50" x14ac:dyDescent="0.25">
      <c r="A106" t="s">
        <v>4064</v>
      </c>
      <c r="B106" t="s">
        <v>4065</v>
      </c>
      <c r="C106" t="s">
        <v>3890</v>
      </c>
      <c r="D106">
        <v>28.155000000000001</v>
      </c>
      <c r="E106">
        <v>28.145</v>
      </c>
      <c r="F106" s="2">
        <v>1E-3</v>
      </c>
      <c r="G106" t="s">
        <v>3187</v>
      </c>
      <c r="H106" t="s">
        <v>3200</v>
      </c>
      <c r="I106">
        <v>440519.97509999998</v>
      </c>
      <c r="J106">
        <v>1827375.1486</v>
      </c>
      <c r="K106">
        <v>440529.67509999999</v>
      </c>
      <c r="L106">
        <v>1827375.1486</v>
      </c>
      <c r="M106" t="s">
        <v>56</v>
      </c>
      <c r="N106" t="s">
        <v>57</v>
      </c>
      <c r="O106">
        <v>900</v>
      </c>
      <c r="P106" t="s">
        <v>58</v>
      </c>
      <c r="Q106" t="s">
        <v>3919</v>
      </c>
      <c r="R106" t="s">
        <v>3089</v>
      </c>
      <c r="S106" t="s">
        <v>2333</v>
      </c>
      <c r="T106" t="s">
        <v>2455</v>
      </c>
      <c r="U106">
        <v>-2.5000000000000001E-2</v>
      </c>
      <c r="V106">
        <v>-2.5000000000000001E-2</v>
      </c>
      <c r="W106" t="s">
        <v>52</v>
      </c>
      <c r="X106">
        <v>1.498</v>
      </c>
      <c r="Y106">
        <v>1.6383000000000001</v>
      </c>
      <c r="Z106">
        <v>1.5799000000000001</v>
      </c>
      <c r="AA106">
        <v>1.498</v>
      </c>
      <c r="AB106">
        <v>9.6999999999999993</v>
      </c>
      <c r="AC106">
        <v>9.6999999999999993</v>
      </c>
      <c r="AD106">
        <v>8.5012000000000008</v>
      </c>
      <c r="AE106">
        <v>8.5012000000000008</v>
      </c>
      <c r="AF106" t="s">
        <v>183</v>
      </c>
      <c r="AG106" t="s">
        <v>183</v>
      </c>
      <c r="AH106" t="s">
        <v>3894</v>
      </c>
      <c r="AI106" t="s">
        <v>3894</v>
      </c>
      <c r="AJ106" t="s">
        <v>3895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3896</v>
      </c>
      <c r="AT106" t="s">
        <v>3890</v>
      </c>
      <c r="AU106" t="s">
        <v>4066</v>
      </c>
      <c r="AV106" t="s">
        <v>3898</v>
      </c>
      <c r="AW106">
        <v>2</v>
      </c>
      <c r="AX106">
        <v>0</v>
      </c>
    </row>
    <row r="107" spans="1:50" x14ac:dyDescent="0.25">
      <c r="A107" t="s">
        <v>4067</v>
      </c>
      <c r="B107" t="s">
        <v>3924</v>
      </c>
      <c r="C107" t="s">
        <v>3890</v>
      </c>
      <c r="D107">
        <v>28.744</v>
      </c>
      <c r="E107">
        <v>28.716999999999999</v>
      </c>
      <c r="F107" s="2">
        <v>2.8E-3</v>
      </c>
      <c r="G107" t="s">
        <v>3137</v>
      </c>
      <c r="H107" t="s">
        <v>3155</v>
      </c>
      <c r="I107">
        <v>440454.3751</v>
      </c>
      <c r="J107">
        <v>1827375.0874000001</v>
      </c>
      <c r="K107">
        <v>440464.07510000002</v>
      </c>
      <c r="L107">
        <v>1827375.0486000001</v>
      </c>
      <c r="M107" t="s">
        <v>56</v>
      </c>
      <c r="N107" t="s">
        <v>57</v>
      </c>
      <c r="O107">
        <v>750</v>
      </c>
      <c r="P107" t="s">
        <v>3891</v>
      </c>
      <c r="Q107" t="s">
        <v>3892</v>
      </c>
      <c r="R107" t="s">
        <v>3089</v>
      </c>
      <c r="S107" t="s">
        <v>2712</v>
      </c>
      <c r="T107" t="s">
        <v>2316</v>
      </c>
      <c r="U107">
        <v>-8.6199999999999999E-2</v>
      </c>
      <c r="V107">
        <v>-0.125</v>
      </c>
      <c r="W107" t="s">
        <v>52</v>
      </c>
      <c r="X107">
        <v>1.4986999999999999</v>
      </c>
      <c r="Y107">
        <v>1.6275999999999999</v>
      </c>
      <c r="Z107">
        <v>1.5643</v>
      </c>
      <c r="AA107">
        <v>1.4986999999999999</v>
      </c>
      <c r="AB107">
        <v>9.7001000000000008</v>
      </c>
      <c r="AC107">
        <v>9.7001000000000008</v>
      </c>
      <c r="AD107">
        <v>8.5028000000000006</v>
      </c>
      <c r="AE107">
        <v>8.5029000000000003</v>
      </c>
      <c r="AF107" t="s">
        <v>4068</v>
      </c>
      <c r="AG107" t="s">
        <v>4068</v>
      </c>
      <c r="AH107" t="s">
        <v>3894</v>
      </c>
      <c r="AI107" t="s">
        <v>3894</v>
      </c>
      <c r="AJ107" t="s">
        <v>3895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3896</v>
      </c>
      <c r="AT107" t="s">
        <v>3890</v>
      </c>
      <c r="AU107" t="s">
        <v>3926</v>
      </c>
      <c r="AV107" t="s">
        <v>3898</v>
      </c>
      <c r="AW107">
        <v>2</v>
      </c>
      <c r="AX107">
        <v>0</v>
      </c>
    </row>
    <row r="108" spans="1:50" x14ac:dyDescent="0.25">
      <c r="A108" t="s">
        <v>4069</v>
      </c>
      <c r="B108" t="s">
        <v>3963</v>
      </c>
      <c r="C108" t="s">
        <v>3890</v>
      </c>
      <c r="D108">
        <v>28.388999999999999</v>
      </c>
      <c r="E108">
        <v>28.363</v>
      </c>
      <c r="F108" s="2">
        <v>2.7000000000000001E-3</v>
      </c>
      <c r="G108" t="s">
        <v>2920</v>
      </c>
      <c r="H108" t="s">
        <v>2923</v>
      </c>
      <c r="I108">
        <v>440454.3751</v>
      </c>
      <c r="J108">
        <v>1827692.7645</v>
      </c>
      <c r="K108">
        <v>440464.07510000002</v>
      </c>
      <c r="L108">
        <v>1827692.7645</v>
      </c>
      <c r="M108" t="s">
        <v>56</v>
      </c>
      <c r="N108" t="s">
        <v>57</v>
      </c>
      <c r="O108">
        <v>600</v>
      </c>
      <c r="P108" t="s">
        <v>3891</v>
      </c>
      <c r="Q108" t="s">
        <v>3892</v>
      </c>
      <c r="R108" t="s">
        <v>1112</v>
      </c>
      <c r="S108" t="s">
        <v>2294</v>
      </c>
      <c r="T108" t="s">
        <v>2925</v>
      </c>
      <c r="U108">
        <v>-4.1300000000000003E-2</v>
      </c>
      <c r="V108">
        <v>-3.8899999999999997E-2</v>
      </c>
      <c r="W108" t="s">
        <v>52</v>
      </c>
      <c r="X108">
        <v>0.86560000000000004</v>
      </c>
      <c r="Y108">
        <v>0.94059999999999999</v>
      </c>
      <c r="Z108">
        <v>0.88200000000000001</v>
      </c>
      <c r="AA108">
        <v>0.86560000000000004</v>
      </c>
      <c r="AB108">
        <v>9.6999999999999993</v>
      </c>
      <c r="AC108">
        <v>9.6999999999999993</v>
      </c>
      <c r="AD108">
        <v>8.5023</v>
      </c>
      <c r="AE108">
        <v>8.5023</v>
      </c>
      <c r="AF108" t="s">
        <v>183</v>
      </c>
      <c r="AG108" t="s">
        <v>183</v>
      </c>
      <c r="AH108" t="s">
        <v>3894</v>
      </c>
      <c r="AI108" t="s">
        <v>3894</v>
      </c>
      <c r="AJ108" t="s">
        <v>3895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3896</v>
      </c>
      <c r="AT108" t="s">
        <v>3890</v>
      </c>
      <c r="AU108" t="s">
        <v>3964</v>
      </c>
      <c r="AV108" t="s">
        <v>3898</v>
      </c>
      <c r="AW108">
        <v>2</v>
      </c>
      <c r="AX108">
        <v>0</v>
      </c>
    </row>
    <row r="109" spans="1:50" x14ac:dyDescent="0.25">
      <c r="A109" t="s">
        <v>4070</v>
      </c>
      <c r="B109" t="s">
        <v>3889</v>
      </c>
      <c r="C109" t="s">
        <v>3890</v>
      </c>
      <c r="D109">
        <v>31.911999999999999</v>
      </c>
      <c r="E109">
        <v>31.885000000000002</v>
      </c>
      <c r="F109" s="2">
        <v>2.8E-3</v>
      </c>
      <c r="G109" t="s">
        <v>577</v>
      </c>
      <c r="H109" t="s">
        <v>590</v>
      </c>
      <c r="I109">
        <v>440020.77519999997</v>
      </c>
      <c r="J109">
        <v>1827415.4986</v>
      </c>
      <c r="K109">
        <v>440020.77519999997</v>
      </c>
      <c r="L109">
        <v>1827425.1986</v>
      </c>
      <c r="M109" t="s">
        <v>56</v>
      </c>
      <c r="N109" t="s">
        <v>57</v>
      </c>
      <c r="O109">
        <v>450</v>
      </c>
      <c r="P109" t="s">
        <v>3891</v>
      </c>
      <c r="Q109" t="s">
        <v>3892</v>
      </c>
      <c r="R109" t="s">
        <v>536</v>
      </c>
      <c r="S109" t="s">
        <v>2477</v>
      </c>
      <c r="T109" s="1" t="s">
        <v>4071</v>
      </c>
      <c r="U109">
        <v>0.15</v>
      </c>
      <c r="V109">
        <v>0.15</v>
      </c>
      <c r="W109" t="s">
        <v>52</v>
      </c>
      <c r="X109">
        <v>0.85089999999999999</v>
      </c>
      <c r="Y109">
        <v>1.0317000000000001</v>
      </c>
      <c r="Z109">
        <v>0.92059999999999997</v>
      </c>
      <c r="AA109">
        <v>0.85370000000000001</v>
      </c>
      <c r="AB109">
        <v>9.1617999999999995</v>
      </c>
      <c r="AC109">
        <v>9.1617999999999995</v>
      </c>
      <c r="AD109">
        <v>7.9634</v>
      </c>
      <c r="AE109">
        <v>7.9634</v>
      </c>
      <c r="AF109" t="s">
        <v>4072</v>
      </c>
      <c r="AG109" t="s">
        <v>4072</v>
      </c>
      <c r="AH109" t="s">
        <v>3894</v>
      </c>
      <c r="AI109" t="s">
        <v>3894</v>
      </c>
      <c r="AJ109" t="s">
        <v>3895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3896</v>
      </c>
      <c r="AT109" t="s">
        <v>3890</v>
      </c>
      <c r="AU109" t="s">
        <v>3897</v>
      </c>
      <c r="AV109" t="s">
        <v>3898</v>
      </c>
      <c r="AW109">
        <v>2</v>
      </c>
      <c r="AX109">
        <v>0</v>
      </c>
    </row>
    <row r="110" spans="1:50" x14ac:dyDescent="0.25">
      <c r="A110" t="s">
        <v>4073</v>
      </c>
      <c r="B110" t="s">
        <v>3889</v>
      </c>
      <c r="C110" t="s">
        <v>3890</v>
      </c>
      <c r="D110">
        <v>31.305</v>
      </c>
      <c r="E110">
        <v>31.277999999999999</v>
      </c>
      <c r="F110" s="2">
        <v>2.8E-3</v>
      </c>
      <c r="G110" t="s">
        <v>706</v>
      </c>
      <c r="H110" t="s">
        <v>710</v>
      </c>
      <c r="I110">
        <v>440117.47499999998</v>
      </c>
      <c r="J110">
        <v>1827415.4986</v>
      </c>
      <c r="K110">
        <v>440117.47499999998</v>
      </c>
      <c r="L110">
        <v>1827425.1986</v>
      </c>
      <c r="M110" t="s">
        <v>56</v>
      </c>
      <c r="N110" t="s">
        <v>57</v>
      </c>
      <c r="O110">
        <v>450</v>
      </c>
      <c r="P110" t="s">
        <v>3891</v>
      </c>
      <c r="Q110" t="s">
        <v>3892</v>
      </c>
      <c r="R110" t="s">
        <v>715</v>
      </c>
      <c r="S110" t="s">
        <v>4074</v>
      </c>
      <c r="T110" t="s">
        <v>4075</v>
      </c>
      <c r="U110">
        <v>0.1923</v>
      </c>
      <c r="V110">
        <v>0.1923</v>
      </c>
      <c r="W110" t="s">
        <v>52</v>
      </c>
      <c r="X110">
        <v>0.86509999999999998</v>
      </c>
      <c r="Y110">
        <v>1.0670999999999999</v>
      </c>
      <c r="Z110">
        <v>1.0670999999999999</v>
      </c>
      <c r="AA110">
        <v>0.86550000000000005</v>
      </c>
      <c r="AB110">
        <v>9.0596999999999994</v>
      </c>
      <c r="AC110">
        <v>9.0596999999999994</v>
      </c>
      <c r="AD110">
        <v>7.8616000000000001</v>
      </c>
      <c r="AE110">
        <v>7.8616999999999999</v>
      </c>
      <c r="AF110" t="s">
        <v>67</v>
      </c>
      <c r="AG110" t="s">
        <v>67</v>
      </c>
      <c r="AH110" t="s">
        <v>3894</v>
      </c>
      <c r="AI110" t="s">
        <v>3894</v>
      </c>
      <c r="AJ110" t="s">
        <v>3895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3896</v>
      </c>
      <c r="AT110" t="s">
        <v>3890</v>
      </c>
      <c r="AU110" t="s">
        <v>3897</v>
      </c>
      <c r="AV110" t="s">
        <v>3898</v>
      </c>
      <c r="AW110">
        <v>2</v>
      </c>
      <c r="AX110">
        <v>0</v>
      </c>
    </row>
    <row r="111" spans="1:50" x14ac:dyDescent="0.25">
      <c r="A111" t="s">
        <v>4076</v>
      </c>
      <c r="B111" t="s">
        <v>3889</v>
      </c>
      <c r="C111" t="s">
        <v>3890</v>
      </c>
      <c r="D111">
        <v>30.481999999999999</v>
      </c>
      <c r="E111">
        <v>30.454999999999998</v>
      </c>
      <c r="F111" s="2">
        <v>2.8999999999999998E-3</v>
      </c>
      <c r="G111" t="s">
        <v>872</v>
      </c>
      <c r="H111" t="s">
        <v>876</v>
      </c>
      <c r="I111">
        <v>440248.67489999998</v>
      </c>
      <c r="J111">
        <v>1827415.9273999999</v>
      </c>
      <c r="K111">
        <v>440248.67489999998</v>
      </c>
      <c r="L111">
        <v>1827425.1986</v>
      </c>
      <c r="M111" t="s">
        <v>56</v>
      </c>
      <c r="N111" t="s">
        <v>57</v>
      </c>
      <c r="O111">
        <v>450</v>
      </c>
      <c r="P111" t="s">
        <v>3891</v>
      </c>
      <c r="Q111" t="s">
        <v>3892</v>
      </c>
      <c r="R111" t="s">
        <v>881</v>
      </c>
      <c r="S111" t="s">
        <v>4077</v>
      </c>
      <c r="T111" t="s">
        <v>4057</v>
      </c>
      <c r="U111">
        <v>0.15</v>
      </c>
      <c r="V111">
        <v>0.15</v>
      </c>
      <c r="W111" t="s">
        <v>52</v>
      </c>
      <c r="X111">
        <v>0.8599</v>
      </c>
      <c r="Y111">
        <v>1.046</v>
      </c>
      <c r="Z111">
        <v>1.046</v>
      </c>
      <c r="AA111">
        <v>0.8649</v>
      </c>
      <c r="AB111">
        <v>9.0955999999999992</v>
      </c>
      <c r="AC111">
        <v>9.0955999999999992</v>
      </c>
      <c r="AD111">
        <v>7.8975999999999997</v>
      </c>
      <c r="AE111">
        <v>7.8975999999999997</v>
      </c>
      <c r="AF111" t="s">
        <v>67</v>
      </c>
      <c r="AG111" t="s">
        <v>67</v>
      </c>
      <c r="AH111" t="s">
        <v>3894</v>
      </c>
      <c r="AI111" t="s">
        <v>3894</v>
      </c>
      <c r="AJ111" t="s">
        <v>3895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3896</v>
      </c>
      <c r="AT111" t="s">
        <v>3890</v>
      </c>
      <c r="AU111" t="s">
        <v>3897</v>
      </c>
      <c r="AV111" t="s">
        <v>3898</v>
      </c>
      <c r="AW111">
        <v>2</v>
      </c>
      <c r="AX111">
        <v>0</v>
      </c>
    </row>
    <row r="112" spans="1:50" x14ac:dyDescent="0.25">
      <c r="A112" t="s">
        <v>4078</v>
      </c>
      <c r="B112" t="s">
        <v>3889</v>
      </c>
      <c r="C112" t="s">
        <v>3890</v>
      </c>
      <c r="D112">
        <v>30.783999999999999</v>
      </c>
      <c r="E112">
        <v>30.751999999999999</v>
      </c>
      <c r="F112" s="2">
        <v>3.0999999999999999E-3</v>
      </c>
      <c r="G112" t="s">
        <v>2268</v>
      </c>
      <c r="H112" t="s">
        <v>2272</v>
      </c>
      <c r="I112">
        <v>440444.18689999997</v>
      </c>
      <c r="J112">
        <v>1828037.8473</v>
      </c>
      <c r="K112">
        <v>440454.3751</v>
      </c>
      <c r="L112">
        <v>1828037.8473</v>
      </c>
      <c r="M112" t="s">
        <v>56</v>
      </c>
      <c r="N112" t="s">
        <v>57</v>
      </c>
      <c r="O112">
        <v>450</v>
      </c>
      <c r="P112" t="s">
        <v>3891</v>
      </c>
      <c r="Q112" t="s">
        <v>3892</v>
      </c>
      <c r="R112" t="s">
        <v>2263</v>
      </c>
      <c r="S112" t="s">
        <v>2270</v>
      </c>
      <c r="T112" t="s">
        <v>2712</v>
      </c>
      <c r="U112">
        <v>-6.7400000000000002E-2</v>
      </c>
      <c r="V112">
        <v>-6.7400000000000002E-2</v>
      </c>
      <c r="W112" t="s">
        <v>52</v>
      </c>
      <c r="X112">
        <v>0.84460000000000002</v>
      </c>
      <c r="Y112">
        <v>1.0291999999999999</v>
      </c>
      <c r="Z112">
        <v>1.0291999999999999</v>
      </c>
      <c r="AA112">
        <v>0.86539999999999995</v>
      </c>
      <c r="AB112">
        <v>10.3666</v>
      </c>
      <c r="AC112">
        <v>10.3666</v>
      </c>
      <c r="AD112">
        <v>9.1687999999999992</v>
      </c>
      <c r="AE112">
        <v>9.1687999999999992</v>
      </c>
      <c r="AF112" t="s">
        <v>183</v>
      </c>
      <c r="AG112" t="s">
        <v>183</v>
      </c>
      <c r="AH112" t="s">
        <v>3894</v>
      </c>
      <c r="AI112" t="s">
        <v>3894</v>
      </c>
      <c r="AJ112" t="s">
        <v>3895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3896</v>
      </c>
      <c r="AT112" t="s">
        <v>3890</v>
      </c>
      <c r="AU112" t="s">
        <v>3897</v>
      </c>
      <c r="AV112" t="s">
        <v>3898</v>
      </c>
      <c r="AW112">
        <v>2</v>
      </c>
      <c r="AX112">
        <v>0</v>
      </c>
    </row>
    <row r="113" spans="1:50" x14ac:dyDescent="0.25">
      <c r="A113" t="s">
        <v>4079</v>
      </c>
      <c r="B113" t="s">
        <v>3889</v>
      </c>
      <c r="C113" t="s">
        <v>3890</v>
      </c>
      <c r="D113">
        <v>30.526</v>
      </c>
      <c r="E113">
        <v>30.486000000000001</v>
      </c>
      <c r="F113" s="2">
        <v>3.0000000000000001E-3</v>
      </c>
      <c r="G113" t="s">
        <v>3269</v>
      </c>
      <c r="H113" t="s">
        <v>3272</v>
      </c>
      <c r="I113">
        <v>440290.42509999999</v>
      </c>
      <c r="J113">
        <v>1827384.5985999999</v>
      </c>
      <c r="K113">
        <v>440303.64809999999</v>
      </c>
      <c r="L113">
        <v>1827384.5985999999</v>
      </c>
      <c r="M113" t="s">
        <v>56</v>
      </c>
      <c r="N113" t="s">
        <v>57</v>
      </c>
      <c r="O113">
        <v>450</v>
      </c>
      <c r="P113" t="s">
        <v>3891</v>
      </c>
      <c r="Q113" t="s">
        <v>3892</v>
      </c>
      <c r="R113" t="s">
        <v>54</v>
      </c>
      <c r="S113" t="s">
        <v>1061</v>
      </c>
      <c r="T113" t="s">
        <v>3274</v>
      </c>
      <c r="U113">
        <v>7.4999999999999997E-2</v>
      </c>
      <c r="V113">
        <v>7.4999999999999997E-2</v>
      </c>
      <c r="W113" t="s">
        <v>52</v>
      </c>
      <c r="X113">
        <v>0.8821</v>
      </c>
      <c r="Y113">
        <v>0.92259999999999998</v>
      </c>
      <c r="Z113">
        <v>0.92259999999999998</v>
      </c>
      <c r="AA113">
        <v>0.8821</v>
      </c>
      <c r="AB113">
        <v>13.223000000000001</v>
      </c>
      <c r="AC113">
        <v>13.223000000000001</v>
      </c>
      <c r="AD113">
        <v>12.0251</v>
      </c>
      <c r="AE113">
        <v>12.0251</v>
      </c>
      <c r="AF113" t="s">
        <v>183</v>
      </c>
      <c r="AG113" t="s">
        <v>183</v>
      </c>
      <c r="AH113" t="s">
        <v>3894</v>
      </c>
      <c r="AI113" t="s">
        <v>3894</v>
      </c>
      <c r="AJ113" t="s">
        <v>3895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3896</v>
      </c>
      <c r="AT113" t="s">
        <v>3890</v>
      </c>
      <c r="AU113" t="s">
        <v>3897</v>
      </c>
      <c r="AV113" t="s">
        <v>3898</v>
      </c>
      <c r="AW113">
        <v>2</v>
      </c>
      <c r="AX113">
        <v>0</v>
      </c>
    </row>
    <row r="114" spans="1:50" x14ac:dyDescent="0.25">
      <c r="A114" t="s">
        <v>4080</v>
      </c>
      <c r="B114" t="s">
        <v>4004</v>
      </c>
      <c r="C114" t="s">
        <v>3890</v>
      </c>
      <c r="D114">
        <v>30.08</v>
      </c>
      <c r="E114">
        <v>30.07</v>
      </c>
      <c r="F114" s="2">
        <v>1E-3</v>
      </c>
      <c r="G114" t="s">
        <v>3371</v>
      </c>
      <c r="H114" t="s">
        <v>3386</v>
      </c>
      <c r="I114">
        <v>440248.67489999998</v>
      </c>
      <c r="J114">
        <v>1827374.9735999999</v>
      </c>
      <c r="K114">
        <v>440258.3749</v>
      </c>
      <c r="L114">
        <v>1827374.9735999999</v>
      </c>
      <c r="M114" t="s">
        <v>56</v>
      </c>
      <c r="N114" t="s">
        <v>57</v>
      </c>
      <c r="O114">
        <v>600</v>
      </c>
      <c r="P114" t="s">
        <v>58</v>
      </c>
      <c r="Q114" t="s">
        <v>3892</v>
      </c>
      <c r="R114" t="s">
        <v>3089</v>
      </c>
      <c r="S114" t="s">
        <v>1101</v>
      </c>
      <c r="T114" t="s">
        <v>3388</v>
      </c>
      <c r="U114">
        <v>-0.2</v>
      </c>
      <c r="V114">
        <v>-0.2</v>
      </c>
      <c r="W114" t="s">
        <v>52</v>
      </c>
      <c r="X114">
        <v>1.2482</v>
      </c>
      <c r="Y114">
        <v>1.3835</v>
      </c>
      <c r="Z114">
        <v>1.3274999999999999</v>
      </c>
      <c r="AA114">
        <v>1.2482</v>
      </c>
      <c r="AB114">
        <v>9.6999999999999993</v>
      </c>
      <c r="AC114">
        <v>9.6999999999999993</v>
      </c>
      <c r="AD114">
        <v>8.5008999999999997</v>
      </c>
      <c r="AE114">
        <v>8.5008999999999997</v>
      </c>
      <c r="AF114" t="s">
        <v>183</v>
      </c>
      <c r="AG114" t="s">
        <v>183</v>
      </c>
      <c r="AH114" t="s">
        <v>3894</v>
      </c>
      <c r="AI114" t="s">
        <v>3894</v>
      </c>
      <c r="AJ114" t="s">
        <v>3895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3896</v>
      </c>
      <c r="AT114" t="s">
        <v>3890</v>
      </c>
      <c r="AU114" t="s">
        <v>4006</v>
      </c>
      <c r="AV114" t="s">
        <v>3898</v>
      </c>
      <c r="AW114">
        <v>2</v>
      </c>
      <c r="AX114">
        <v>0</v>
      </c>
    </row>
    <row r="115" spans="1:50" x14ac:dyDescent="0.25">
      <c r="A115" t="s">
        <v>4081</v>
      </c>
      <c r="B115" t="s">
        <v>3917</v>
      </c>
      <c r="C115" t="s">
        <v>3890</v>
      </c>
      <c r="D115">
        <v>28.75</v>
      </c>
      <c r="E115">
        <v>28.71</v>
      </c>
      <c r="F115" s="2">
        <v>2.5999999999999999E-3</v>
      </c>
      <c r="G115" t="s">
        <v>768</v>
      </c>
      <c r="H115" t="s">
        <v>772</v>
      </c>
      <c r="I115">
        <v>440192.6249</v>
      </c>
      <c r="J115">
        <v>1827531.6088</v>
      </c>
      <c r="K115">
        <v>440208.22489999997</v>
      </c>
      <c r="L115">
        <v>1827531.6088</v>
      </c>
      <c r="M115" t="s">
        <v>56</v>
      </c>
      <c r="N115" t="s">
        <v>57</v>
      </c>
      <c r="O115">
        <v>750</v>
      </c>
      <c r="P115" t="s">
        <v>3918</v>
      </c>
      <c r="Q115" t="s">
        <v>3919</v>
      </c>
      <c r="R115" t="s">
        <v>127</v>
      </c>
      <c r="S115" t="s">
        <v>770</v>
      </c>
      <c r="T115" t="s">
        <v>774</v>
      </c>
      <c r="U115">
        <v>5.8400000000000001E-2</v>
      </c>
      <c r="V115">
        <v>5.8400000000000001E-2</v>
      </c>
      <c r="W115" t="s">
        <v>52</v>
      </c>
      <c r="X115">
        <v>1.7529999999999999</v>
      </c>
      <c r="Y115">
        <v>1.8018000000000001</v>
      </c>
      <c r="Z115">
        <v>1.8018000000000001</v>
      </c>
      <c r="AA115">
        <v>1.7529999999999999</v>
      </c>
      <c r="AB115">
        <v>15.6</v>
      </c>
      <c r="AC115">
        <v>15.600099999999999</v>
      </c>
      <c r="AD115">
        <v>14.402699999999999</v>
      </c>
      <c r="AE115">
        <v>14.402699999999999</v>
      </c>
      <c r="AF115" t="s">
        <v>3920</v>
      </c>
      <c r="AG115" t="s">
        <v>3920</v>
      </c>
      <c r="AH115" t="s">
        <v>3894</v>
      </c>
      <c r="AI115" t="s">
        <v>3894</v>
      </c>
      <c r="AJ115" t="s">
        <v>3895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3896</v>
      </c>
      <c r="AT115" t="s">
        <v>3890</v>
      </c>
      <c r="AU115" t="s">
        <v>3921</v>
      </c>
      <c r="AV115" t="s">
        <v>3898</v>
      </c>
      <c r="AW115">
        <v>2</v>
      </c>
      <c r="AX115">
        <v>0</v>
      </c>
    </row>
    <row r="116" spans="1:50" x14ac:dyDescent="0.25">
      <c r="A116" t="s">
        <v>4082</v>
      </c>
      <c r="B116" t="s">
        <v>4010</v>
      </c>
      <c r="C116" t="s">
        <v>3890</v>
      </c>
      <c r="D116">
        <v>31.151</v>
      </c>
      <c r="E116">
        <v>31.103999999999999</v>
      </c>
      <c r="F116" s="2">
        <v>3.0000000000000001E-3</v>
      </c>
      <c r="G116" t="s">
        <v>1505</v>
      </c>
      <c r="H116" t="s">
        <v>1607</v>
      </c>
      <c r="I116">
        <v>439962.02480000001</v>
      </c>
      <c r="J116">
        <v>1827565.8171000001</v>
      </c>
      <c r="K116">
        <v>439962.02480000001</v>
      </c>
      <c r="L116">
        <v>1827550.3088</v>
      </c>
      <c r="M116" t="s">
        <v>56</v>
      </c>
      <c r="N116" t="s">
        <v>57</v>
      </c>
      <c r="O116">
        <v>900</v>
      </c>
      <c r="P116" t="s">
        <v>109</v>
      </c>
      <c r="Q116" t="s">
        <v>3919</v>
      </c>
      <c r="R116" t="s">
        <v>1404</v>
      </c>
      <c r="S116" t="s">
        <v>563</v>
      </c>
      <c r="T116" t="s">
        <v>4083</v>
      </c>
      <c r="U116">
        <v>6.8999999999999999E-3</v>
      </c>
      <c r="V116">
        <v>2.0000000000000001E-4</v>
      </c>
      <c r="W116" t="s">
        <v>52</v>
      </c>
      <c r="X116">
        <v>0.82379999999999998</v>
      </c>
      <c r="Y116">
        <v>1.0259</v>
      </c>
      <c r="Z116">
        <v>1.0259</v>
      </c>
      <c r="AA116">
        <v>0.84750000000000003</v>
      </c>
      <c r="AB116">
        <v>15.5083</v>
      </c>
      <c r="AC116">
        <v>15.5084</v>
      </c>
      <c r="AD116">
        <v>14.537000000000001</v>
      </c>
      <c r="AE116">
        <v>14.537000000000001</v>
      </c>
      <c r="AF116" t="s">
        <v>4011</v>
      </c>
      <c r="AG116" t="s">
        <v>4011</v>
      </c>
      <c r="AH116" t="s">
        <v>3894</v>
      </c>
      <c r="AI116" t="s">
        <v>3894</v>
      </c>
      <c r="AJ116" t="s">
        <v>3895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3896</v>
      </c>
      <c r="AT116" t="s">
        <v>3890</v>
      </c>
      <c r="AU116" t="s">
        <v>4012</v>
      </c>
      <c r="AV116" t="s">
        <v>3898</v>
      </c>
      <c r="AW116">
        <v>2</v>
      </c>
      <c r="AX116">
        <v>0</v>
      </c>
    </row>
    <row r="117" spans="1:50" x14ac:dyDescent="0.25">
      <c r="A117" t="s">
        <v>4084</v>
      </c>
      <c r="B117" t="s">
        <v>3889</v>
      </c>
      <c r="C117" t="s">
        <v>3890</v>
      </c>
      <c r="D117">
        <v>29.905000000000001</v>
      </c>
      <c r="E117">
        <v>29.881</v>
      </c>
      <c r="F117" s="2">
        <v>3.2000000000000002E-3</v>
      </c>
      <c r="G117" t="s">
        <v>2289</v>
      </c>
      <c r="H117" t="s">
        <v>2292</v>
      </c>
      <c r="I117">
        <v>440454.3751</v>
      </c>
      <c r="J117">
        <v>1827942.6987000001</v>
      </c>
      <c r="K117">
        <v>440454.3751</v>
      </c>
      <c r="L117">
        <v>1827935.1359000001</v>
      </c>
      <c r="M117" t="s">
        <v>56</v>
      </c>
      <c r="N117" t="s">
        <v>57</v>
      </c>
      <c r="O117">
        <v>450</v>
      </c>
      <c r="P117" t="s">
        <v>3891</v>
      </c>
      <c r="Q117" t="s">
        <v>3892</v>
      </c>
      <c r="R117" t="s">
        <v>232</v>
      </c>
      <c r="S117" t="s">
        <v>597</v>
      </c>
      <c r="T117" t="s">
        <v>4085</v>
      </c>
      <c r="U117">
        <v>0.1784</v>
      </c>
      <c r="V117">
        <v>0.1784</v>
      </c>
      <c r="W117" t="s">
        <v>52</v>
      </c>
      <c r="X117">
        <v>0.84660000000000002</v>
      </c>
      <c r="Y117">
        <v>1.0417000000000001</v>
      </c>
      <c r="Z117">
        <v>1.0417000000000001</v>
      </c>
      <c r="AA117">
        <v>0.85109999999999997</v>
      </c>
      <c r="AB117">
        <v>7.6379000000000001</v>
      </c>
      <c r="AC117">
        <v>7.6379000000000001</v>
      </c>
      <c r="AD117">
        <v>6.74</v>
      </c>
      <c r="AE117">
        <v>6.74</v>
      </c>
      <c r="AF117" t="s">
        <v>2233</v>
      </c>
      <c r="AG117" t="s">
        <v>2233</v>
      </c>
      <c r="AH117" t="s">
        <v>3894</v>
      </c>
      <c r="AI117" t="s">
        <v>3894</v>
      </c>
      <c r="AJ117" t="s">
        <v>3895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3896</v>
      </c>
      <c r="AT117" t="s">
        <v>3890</v>
      </c>
      <c r="AU117" t="s">
        <v>3897</v>
      </c>
      <c r="AV117" t="s">
        <v>3898</v>
      </c>
      <c r="AW117">
        <v>2</v>
      </c>
      <c r="AX117">
        <v>0</v>
      </c>
    </row>
    <row r="118" spans="1:50" x14ac:dyDescent="0.25">
      <c r="A118" t="s">
        <v>4086</v>
      </c>
      <c r="B118" t="s">
        <v>3889</v>
      </c>
      <c r="C118" t="s">
        <v>3890</v>
      </c>
      <c r="D118">
        <v>29.905000000000001</v>
      </c>
      <c r="E118">
        <v>29.881</v>
      </c>
      <c r="F118" s="2">
        <v>3.0999999999999999E-3</v>
      </c>
      <c r="G118" t="s">
        <v>2312</v>
      </c>
      <c r="H118" t="s">
        <v>2314</v>
      </c>
      <c r="I118">
        <v>440464.07510000002</v>
      </c>
      <c r="J118">
        <v>1827942.6987000001</v>
      </c>
      <c r="K118">
        <v>440464.07510000002</v>
      </c>
      <c r="L118">
        <v>1827935.0608999999</v>
      </c>
      <c r="M118" t="s">
        <v>56</v>
      </c>
      <c r="N118" t="s">
        <v>57</v>
      </c>
      <c r="O118">
        <v>450</v>
      </c>
      <c r="P118" t="s">
        <v>3891</v>
      </c>
      <c r="Q118" t="s">
        <v>3892</v>
      </c>
      <c r="R118" t="s">
        <v>210</v>
      </c>
      <c r="S118" t="s">
        <v>597</v>
      </c>
      <c r="T118" t="s">
        <v>4087</v>
      </c>
      <c r="U118">
        <v>-1E-4</v>
      </c>
      <c r="V118">
        <v>-1E-4</v>
      </c>
      <c r="W118" t="s">
        <v>52</v>
      </c>
      <c r="X118">
        <v>0.84640000000000004</v>
      </c>
      <c r="Y118">
        <v>1.0417000000000001</v>
      </c>
      <c r="Z118">
        <v>1.0417000000000001</v>
      </c>
      <c r="AA118">
        <v>0.86719999999999997</v>
      </c>
      <c r="AB118">
        <v>7.6391999999999998</v>
      </c>
      <c r="AC118">
        <v>7.6393000000000004</v>
      </c>
      <c r="AD118">
        <v>6.74</v>
      </c>
      <c r="AE118">
        <v>6.74</v>
      </c>
      <c r="AF118" t="s">
        <v>3905</v>
      </c>
      <c r="AG118" t="s">
        <v>3905</v>
      </c>
      <c r="AH118" t="s">
        <v>3894</v>
      </c>
      <c r="AI118" t="s">
        <v>3894</v>
      </c>
      <c r="AJ118" t="s">
        <v>3895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3896</v>
      </c>
      <c r="AT118" t="s">
        <v>3890</v>
      </c>
      <c r="AU118" t="s">
        <v>3897</v>
      </c>
      <c r="AV118" t="s">
        <v>3898</v>
      </c>
      <c r="AW118">
        <v>2</v>
      </c>
      <c r="AX118">
        <v>0</v>
      </c>
    </row>
    <row r="119" spans="1:50" x14ac:dyDescent="0.25">
      <c r="A119" t="s">
        <v>4088</v>
      </c>
      <c r="B119" t="s">
        <v>3889</v>
      </c>
      <c r="C119" t="s">
        <v>3890</v>
      </c>
      <c r="D119">
        <v>31.483000000000001</v>
      </c>
      <c r="E119">
        <v>31.442</v>
      </c>
      <c r="F119" s="2">
        <v>3.0000000000000001E-3</v>
      </c>
      <c r="G119" t="s">
        <v>1886</v>
      </c>
      <c r="H119" t="s">
        <v>1889</v>
      </c>
      <c r="I119">
        <v>440108.22489999997</v>
      </c>
      <c r="J119">
        <v>1827864.4741</v>
      </c>
      <c r="K119">
        <v>440121.92450000002</v>
      </c>
      <c r="L119">
        <v>1827864.4741</v>
      </c>
      <c r="M119" t="s">
        <v>56</v>
      </c>
      <c r="N119" t="s">
        <v>57</v>
      </c>
      <c r="O119">
        <v>450</v>
      </c>
      <c r="P119" t="s">
        <v>3891</v>
      </c>
      <c r="Q119" t="s">
        <v>3892</v>
      </c>
      <c r="R119" t="s">
        <v>1289</v>
      </c>
      <c r="S119" t="s">
        <v>597</v>
      </c>
      <c r="T119" t="s">
        <v>4089</v>
      </c>
      <c r="U119">
        <v>-1.6000000000000001E-3</v>
      </c>
      <c r="V119">
        <v>-1.6000000000000001E-3</v>
      </c>
      <c r="W119" t="s">
        <v>52</v>
      </c>
      <c r="X119">
        <v>0.84609999999999996</v>
      </c>
      <c r="Y119">
        <v>1.0953999999999999</v>
      </c>
      <c r="Z119">
        <v>1.0953999999999999</v>
      </c>
      <c r="AA119">
        <v>0.86850000000000005</v>
      </c>
      <c r="AB119">
        <v>13.676500000000001</v>
      </c>
      <c r="AC119">
        <v>13.676600000000001</v>
      </c>
      <c r="AD119">
        <v>12.7036</v>
      </c>
      <c r="AE119">
        <v>12.7037</v>
      </c>
      <c r="AF119" t="s">
        <v>183</v>
      </c>
      <c r="AG119" t="s">
        <v>183</v>
      </c>
      <c r="AH119" t="s">
        <v>3894</v>
      </c>
      <c r="AI119" t="s">
        <v>3894</v>
      </c>
      <c r="AJ119" t="s">
        <v>3895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3896</v>
      </c>
      <c r="AT119" t="s">
        <v>3890</v>
      </c>
      <c r="AU119" t="s">
        <v>3897</v>
      </c>
      <c r="AV119" t="s">
        <v>3898</v>
      </c>
      <c r="AW119">
        <v>2</v>
      </c>
      <c r="AX119">
        <v>0</v>
      </c>
    </row>
    <row r="120" spans="1:50" x14ac:dyDescent="0.25">
      <c r="A120" t="s">
        <v>4090</v>
      </c>
      <c r="B120" t="s">
        <v>3889</v>
      </c>
      <c r="C120" t="s">
        <v>3890</v>
      </c>
      <c r="D120">
        <v>29.186</v>
      </c>
      <c r="E120">
        <v>29.161999999999999</v>
      </c>
      <c r="F120" s="2">
        <v>3.2000000000000002E-3</v>
      </c>
      <c r="G120" t="s">
        <v>2493</v>
      </c>
      <c r="H120" t="s">
        <v>2496</v>
      </c>
      <c r="I120">
        <v>440585.57510000002</v>
      </c>
      <c r="J120">
        <v>1827942.6984000001</v>
      </c>
      <c r="K120">
        <v>440585.57510000002</v>
      </c>
      <c r="L120">
        <v>1827935.2109000001</v>
      </c>
      <c r="M120" t="s">
        <v>56</v>
      </c>
      <c r="N120" t="s">
        <v>57</v>
      </c>
      <c r="O120">
        <v>450</v>
      </c>
      <c r="P120" t="s">
        <v>3891</v>
      </c>
      <c r="Q120" t="s">
        <v>3892</v>
      </c>
      <c r="R120" t="s">
        <v>2481</v>
      </c>
      <c r="S120" t="s">
        <v>597</v>
      </c>
      <c r="T120" t="s">
        <v>3982</v>
      </c>
      <c r="U120">
        <v>0</v>
      </c>
      <c r="V120">
        <v>0</v>
      </c>
      <c r="W120" t="s">
        <v>52</v>
      </c>
      <c r="X120">
        <v>0.84770000000000001</v>
      </c>
      <c r="Y120">
        <v>1.0488999999999999</v>
      </c>
      <c r="Z120">
        <v>1.0488999999999999</v>
      </c>
      <c r="AA120">
        <v>0.86539999999999995</v>
      </c>
      <c r="AB120">
        <v>7.6382000000000003</v>
      </c>
      <c r="AC120">
        <v>7.6383000000000001</v>
      </c>
      <c r="AD120">
        <v>6.7397999999999998</v>
      </c>
      <c r="AE120">
        <v>6.7397999999999998</v>
      </c>
      <c r="AF120" t="s">
        <v>2233</v>
      </c>
      <c r="AG120" t="s">
        <v>2233</v>
      </c>
      <c r="AH120" t="s">
        <v>3894</v>
      </c>
      <c r="AI120" t="s">
        <v>3894</v>
      </c>
      <c r="AJ120" t="s">
        <v>3895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3896</v>
      </c>
      <c r="AT120" t="s">
        <v>3890</v>
      </c>
      <c r="AU120" t="s">
        <v>3897</v>
      </c>
      <c r="AV120" t="s">
        <v>3898</v>
      </c>
      <c r="AW120">
        <v>2</v>
      </c>
      <c r="AX120">
        <v>0</v>
      </c>
    </row>
    <row r="121" spans="1:50" x14ac:dyDescent="0.25">
      <c r="A121" t="s">
        <v>4091</v>
      </c>
      <c r="B121" t="s">
        <v>3889</v>
      </c>
      <c r="C121" t="s">
        <v>3890</v>
      </c>
      <c r="D121">
        <v>29.745000000000001</v>
      </c>
      <c r="E121">
        <v>29.721</v>
      </c>
      <c r="F121" s="2">
        <v>3.0999999999999999E-3</v>
      </c>
      <c r="G121" t="s">
        <v>2345</v>
      </c>
      <c r="H121" t="s">
        <v>2348</v>
      </c>
      <c r="I121">
        <v>440519.97509999998</v>
      </c>
      <c r="J121">
        <v>1827942.6984000001</v>
      </c>
      <c r="K121">
        <v>440519.97509999998</v>
      </c>
      <c r="L121">
        <v>1827934.9609000001</v>
      </c>
      <c r="M121" t="s">
        <v>56</v>
      </c>
      <c r="N121" t="s">
        <v>57</v>
      </c>
      <c r="O121">
        <v>450</v>
      </c>
      <c r="P121" t="s">
        <v>3891</v>
      </c>
      <c r="Q121" t="s">
        <v>3892</v>
      </c>
      <c r="R121" t="s">
        <v>265</v>
      </c>
      <c r="S121" t="s">
        <v>597</v>
      </c>
      <c r="T121" t="s">
        <v>4092</v>
      </c>
      <c r="U121">
        <v>0</v>
      </c>
      <c r="V121">
        <v>0</v>
      </c>
      <c r="W121" t="s">
        <v>52</v>
      </c>
      <c r="X121">
        <v>0.84499999999999997</v>
      </c>
      <c r="Y121">
        <v>1.0347</v>
      </c>
      <c r="Z121">
        <v>1.0347</v>
      </c>
      <c r="AA121">
        <v>0.8548</v>
      </c>
      <c r="AB121">
        <v>7.7374999999999998</v>
      </c>
      <c r="AC121">
        <v>7.7374999999999998</v>
      </c>
      <c r="AD121">
        <v>6.5396999999999998</v>
      </c>
      <c r="AE121">
        <v>6.5396999999999998</v>
      </c>
      <c r="AF121" t="s">
        <v>2233</v>
      </c>
      <c r="AG121" t="s">
        <v>2233</v>
      </c>
      <c r="AH121" t="s">
        <v>3894</v>
      </c>
      <c r="AI121" t="s">
        <v>3894</v>
      </c>
      <c r="AJ121" t="s">
        <v>3895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3896</v>
      </c>
      <c r="AT121" t="s">
        <v>3890</v>
      </c>
      <c r="AU121" t="s">
        <v>3897</v>
      </c>
      <c r="AV121" t="s">
        <v>3898</v>
      </c>
      <c r="AW121">
        <v>2</v>
      </c>
      <c r="AX121">
        <v>0</v>
      </c>
    </row>
    <row r="122" spans="1:50" x14ac:dyDescent="0.25">
      <c r="A122" t="s">
        <v>4093</v>
      </c>
      <c r="B122" t="s">
        <v>3889</v>
      </c>
      <c r="C122" t="s">
        <v>3890</v>
      </c>
      <c r="D122">
        <v>29.745000000000001</v>
      </c>
      <c r="E122">
        <v>29.721</v>
      </c>
      <c r="F122" s="2">
        <v>3.0999999999999999E-3</v>
      </c>
      <c r="G122" t="s">
        <v>2451</v>
      </c>
      <c r="H122" t="s">
        <v>2453</v>
      </c>
      <c r="I122">
        <v>440529.67509999999</v>
      </c>
      <c r="J122">
        <v>1827942.6984000001</v>
      </c>
      <c r="K122">
        <v>440529.67509999999</v>
      </c>
      <c r="L122">
        <v>1827935.0608999999</v>
      </c>
      <c r="M122" t="s">
        <v>56</v>
      </c>
      <c r="N122" t="s">
        <v>57</v>
      </c>
      <c r="O122">
        <v>450</v>
      </c>
      <c r="P122" t="s">
        <v>3891</v>
      </c>
      <c r="Q122" t="s">
        <v>3892</v>
      </c>
      <c r="R122" t="s">
        <v>2436</v>
      </c>
      <c r="S122" t="s">
        <v>597</v>
      </c>
      <c r="T122" t="s">
        <v>4087</v>
      </c>
      <c r="U122">
        <v>-2.3400000000000001E-2</v>
      </c>
      <c r="V122">
        <v>-2.3400000000000001E-2</v>
      </c>
      <c r="W122" t="s">
        <v>52</v>
      </c>
      <c r="X122">
        <v>0.84530000000000005</v>
      </c>
      <c r="Y122">
        <v>1.0347</v>
      </c>
      <c r="Z122">
        <v>1.0347</v>
      </c>
      <c r="AA122">
        <v>0.86699999999999999</v>
      </c>
      <c r="AB122">
        <v>7.6390000000000002</v>
      </c>
      <c r="AC122">
        <v>7.6390000000000002</v>
      </c>
      <c r="AD122">
        <v>6.7397</v>
      </c>
      <c r="AE122">
        <v>6.7397</v>
      </c>
      <c r="AF122" t="s">
        <v>2233</v>
      </c>
      <c r="AG122" t="s">
        <v>2233</v>
      </c>
      <c r="AH122" t="s">
        <v>3894</v>
      </c>
      <c r="AI122" t="s">
        <v>3894</v>
      </c>
      <c r="AJ122" t="s">
        <v>3895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3896</v>
      </c>
      <c r="AT122" t="s">
        <v>3890</v>
      </c>
      <c r="AU122" t="s">
        <v>3897</v>
      </c>
      <c r="AV122" t="s">
        <v>3898</v>
      </c>
      <c r="AW122">
        <v>2</v>
      </c>
      <c r="AX122">
        <v>0</v>
      </c>
    </row>
    <row r="123" spans="1:50" x14ac:dyDescent="0.25">
      <c r="A123" t="s">
        <v>4094</v>
      </c>
      <c r="B123" t="s">
        <v>3889</v>
      </c>
      <c r="C123" t="s">
        <v>3890</v>
      </c>
      <c r="D123">
        <v>31.638999999999999</v>
      </c>
      <c r="E123">
        <v>31.59</v>
      </c>
      <c r="F123" s="2">
        <v>2.8999999999999998E-3</v>
      </c>
      <c r="G123" t="s">
        <v>3239</v>
      </c>
      <c r="H123" t="s">
        <v>3243</v>
      </c>
      <c r="I123">
        <v>440117.47489999997</v>
      </c>
      <c r="J123">
        <v>1827367.8488</v>
      </c>
      <c r="K123">
        <v>440117.47399999999</v>
      </c>
      <c r="L123">
        <v>1827384.5985999999</v>
      </c>
      <c r="M123" t="s">
        <v>56</v>
      </c>
      <c r="N123" t="s">
        <v>57</v>
      </c>
      <c r="O123">
        <v>450</v>
      </c>
      <c r="P123" t="s">
        <v>3891</v>
      </c>
      <c r="Q123" t="s">
        <v>3892</v>
      </c>
      <c r="R123" t="s">
        <v>3220</v>
      </c>
      <c r="S123" t="s">
        <v>3241</v>
      </c>
      <c r="T123" s="1" t="s">
        <v>4071</v>
      </c>
      <c r="U123">
        <v>-1E-3</v>
      </c>
      <c r="V123">
        <v>0</v>
      </c>
      <c r="W123" t="s">
        <v>52</v>
      </c>
      <c r="X123">
        <v>0.87090000000000001</v>
      </c>
      <c r="Y123">
        <v>0.90559999999999996</v>
      </c>
      <c r="Z123">
        <v>0.90559999999999996</v>
      </c>
      <c r="AA123">
        <v>0.88219999999999998</v>
      </c>
      <c r="AB123">
        <v>16.602499999999999</v>
      </c>
      <c r="AC123">
        <v>16.602599999999999</v>
      </c>
      <c r="AD123">
        <v>15.7018</v>
      </c>
      <c r="AE123">
        <v>15.7019</v>
      </c>
      <c r="AF123" t="s">
        <v>4095</v>
      </c>
      <c r="AG123" t="s">
        <v>4095</v>
      </c>
      <c r="AH123" t="s">
        <v>3894</v>
      </c>
      <c r="AI123" t="s">
        <v>3894</v>
      </c>
      <c r="AJ123" t="s">
        <v>3895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3896</v>
      </c>
      <c r="AT123" t="s">
        <v>3890</v>
      </c>
      <c r="AU123" t="s">
        <v>3897</v>
      </c>
      <c r="AV123" t="s">
        <v>3898</v>
      </c>
      <c r="AW123">
        <v>2</v>
      </c>
      <c r="AX123">
        <v>0</v>
      </c>
    </row>
    <row r="124" spans="1:50" x14ac:dyDescent="0.25">
      <c r="A124" t="s">
        <v>4096</v>
      </c>
      <c r="B124" t="s">
        <v>3996</v>
      </c>
      <c r="C124" t="s">
        <v>3890</v>
      </c>
      <c r="D124">
        <v>26.582000000000001</v>
      </c>
      <c r="E124">
        <v>26.562999999999999</v>
      </c>
      <c r="F124" s="2">
        <v>1E-3</v>
      </c>
      <c r="G124" t="s">
        <v>3787</v>
      </c>
      <c r="H124" t="s">
        <v>178</v>
      </c>
      <c r="I124">
        <v>440549.49670000002</v>
      </c>
      <c r="J124">
        <v>1827549.98</v>
      </c>
      <c r="K124">
        <v>440568.5171</v>
      </c>
      <c r="L124">
        <v>1827549.9768000001</v>
      </c>
      <c r="M124" t="s">
        <v>56</v>
      </c>
      <c r="N124" t="s">
        <v>57</v>
      </c>
      <c r="O124">
        <v>1350</v>
      </c>
      <c r="P124" t="s">
        <v>3997</v>
      </c>
      <c r="Q124" t="s">
        <v>3998</v>
      </c>
      <c r="R124" t="s">
        <v>180</v>
      </c>
      <c r="S124" t="s">
        <v>3789</v>
      </c>
      <c r="T124" t="s">
        <v>181</v>
      </c>
      <c r="U124">
        <v>-0.55379999999999996</v>
      </c>
      <c r="V124">
        <v>-0.55700000000000005</v>
      </c>
      <c r="W124" t="s">
        <v>52</v>
      </c>
      <c r="X124">
        <v>0.9708</v>
      </c>
      <c r="Y124">
        <v>1.1757</v>
      </c>
      <c r="Z124">
        <v>1.1757</v>
      </c>
      <c r="AA124">
        <v>0.9708</v>
      </c>
      <c r="AB124">
        <v>19.020399999999999</v>
      </c>
      <c r="AC124">
        <v>19.020399999999999</v>
      </c>
      <c r="AD124">
        <v>17.822199999999999</v>
      </c>
      <c r="AE124">
        <v>17.822199999999999</v>
      </c>
      <c r="AF124" t="s">
        <v>4097</v>
      </c>
      <c r="AG124" t="s">
        <v>4097</v>
      </c>
      <c r="AH124" t="s">
        <v>3894</v>
      </c>
      <c r="AI124" t="s">
        <v>3894</v>
      </c>
      <c r="AJ124" t="s">
        <v>3895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3896</v>
      </c>
      <c r="AT124" t="s">
        <v>3890</v>
      </c>
      <c r="AU124" t="s">
        <v>4000</v>
      </c>
      <c r="AV124" t="s">
        <v>3898</v>
      </c>
      <c r="AW124">
        <v>2</v>
      </c>
      <c r="AX124">
        <v>0</v>
      </c>
    </row>
    <row r="125" spans="1:50" x14ac:dyDescent="0.25">
      <c r="A125" t="s">
        <v>4098</v>
      </c>
      <c r="B125" t="s">
        <v>4015</v>
      </c>
      <c r="C125" t="s">
        <v>3890</v>
      </c>
      <c r="D125">
        <v>30.538</v>
      </c>
      <c r="E125">
        <v>30.498999999999999</v>
      </c>
      <c r="F125" s="2">
        <v>3.0999999999999999E-3</v>
      </c>
      <c r="G125" t="s">
        <v>531</v>
      </c>
      <c r="H125" t="s">
        <v>611</v>
      </c>
      <c r="I125">
        <v>440008.22489999997</v>
      </c>
      <c r="J125">
        <v>1827531.6088</v>
      </c>
      <c r="K125">
        <v>440020.9252</v>
      </c>
      <c r="L125">
        <v>1827531.6588000001</v>
      </c>
      <c r="M125" t="s">
        <v>56</v>
      </c>
      <c r="N125" t="s">
        <v>57</v>
      </c>
      <c r="O125">
        <v>750</v>
      </c>
      <c r="P125" t="s">
        <v>109</v>
      </c>
      <c r="Q125" t="s">
        <v>3919</v>
      </c>
      <c r="R125" t="s">
        <v>127</v>
      </c>
      <c r="S125" t="s">
        <v>416</v>
      </c>
      <c r="T125" t="s">
        <v>613</v>
      </c>
      <c r="U125">
        <v>5.8299999999999998E-2</v>
      </c>
      <c r="V125">
        <v>0.10829999999999999</v>
      </c>
      <c r="W125" t="s">
        <v>52</v>
      </c>
      <c r="X125">
        <v>1.1173</v>
      </c>
      <c r="Y125">
        <v>1.2690999999999999</v>
      </c>
      <c r="Z125">
        <v>1.2256</v>
      </c>
      <c r="AA125">
        <v>1.1455</v>
      </c>
      <c r="AB125">
        <v>12.7003</v>
      </c>
      <c r="AC125">
        <v>12.7003</v>
      </c>
      <c r="AD125">
        <v>11.5036</v>
      </c>
      <c r="AE125">
        <v>11.5036</v>
      </c>
      <c r="AF125" t="s">
        <v>4099</v>
      </c>
      <c r="AG125" t="s">
        <v>4099</v>
      </c>
      <c r="AH125" t="s">
        <v>3894</v>
      </c>
      <c r="AI125" t="s">
        <v>3894</v>
      </c>
      <c r="AJ125" t="s">
        <v>3895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3896</v>
      </c>
      <c r="AT125" t="s">
        <v>3890</v>
      </c>
      <c r="AU125" t="s">
        <v>4016</v>
      </c>
      <c r="AV125" t="s">
        <v>3898</v>
      </c>
      <c r="AW125">
        <v>2</v>
      </c>
      <c r="AX125">
        <v>0</v>
      </c>
    </row>
    <row r="126" spans="1:50" x14ac:dyDescent="0.25">
      <c r="A126" t="s">
        <v>4100</v>
      </c>
      <c r="B126" t="s">
        <v>3933</v>
      </c>
      <c r="C126" t="s">
        <v>3890</v>
      </c>
      <c r="D126">
        <v>32.622</v>
      </c>
      <c r="E126">
        <v>32.581000000000003</v>
      </c>
      <c r="F126" s="2">
        <v>3.0000000000000001E-3</v>
      </c>
      <c r="G126" t="s">
        <v>1821</v>
      </c>
      <c r="H126" t="s">
        <v>1824</v>
      </c>
      <c r="I126">
        <v>440108.22489999997</v>
      </c>
      <c r="J126">
        <v>1828102.5588</v>
      </c>
      <c r="K126">
        <v>440121.67450000002</v>
      </c>
      <c r="L126">
        <v>1828102.5588</v>
      </c>
      <c r="M126" t="s">
        <v>56</v>
      </c>
      <c r="N126" t="s">
        <v>57</v>
      </c>
      <c r="O126">
        <v>750</v>
      </c>
      <c r="P126" t="s">
        <v>58</v>
      </c>
      <c r="Q126" t="s">
        <v>3919</v>
      </c>
      <c r="R126" t="s">
        <v>1220</v>
      </c>
      <c r="S126" t="s">
        <v>597</v>
      </c>
      <c r="T126" t="s">
        <v>4101</v>
      </c>
      <c r="U126">
        <v>-0.17499999999999999</v>
      </c>
      <c r="V126">
        <v>-0.17499999999999999</v>
      </c>
      <c r="W126" t="s">
        <v>52</v>
      </c>
      <c r="X126">
        <v>0.81899999999999995</v>
      </c>
      <c r="Y126">
        <v>1.0680000000000001</v>
      </c>
      <c r="Z126">
        <v>1.0680000000000001</v>
      </c>
      <c r="AA126">
        <v>0.83960000000000001</v>
      </c>
      <c r="AB126">
        <v>13.6747</v>
      </c>
      <c r="AC126">
        <v>13.674799999999999</v>
      </c>
      <c r="AD126">
        <v>12.7028</v>
      </c>
      <c r="AE126">
        <v>12.7029</v>
      </c>
      <c r="AF126" t="s">
        <v>183</v>
      </c>
      <c r="AG126" t="s">
        <v>183</v>
      </c>
      <c r="AH126" t="s">
        <v>3894</v>
      </c>
      <c r="AI126" t="s">
        <v>3894</v>
      </c>
      <c r="AJ126" t="s">
        <v>3895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3896</v>
      </c>
      <c r="AT126" t="s">
        <v>3890</v>
      </c>
      <c r="AU126" t="s">
        <v>3935</v>
      </c>
      <c r="AV126" t="s">
        <v>3898</v>
      </c>
      <c r="AW126">
        <v>2</v>
      </c>
      <c r="AX126">
        <v>0</v>
      </c>
    </row>
    <row r="127" spans="1:50" x14ac:dyDescent="0.25">
      <c r="A127" t="s">
        <v>535</v>
      </c>
      <c r="B127" t="s">
        <v>3889</v>
      </c>
      <c r="C127" t="s">
        <v>3890</v>
      </c>
      <c r="D127">
        <v>32.545000000000002</v>
      </c>
      <c r="E127">
        <v>32.49</v>
      </c>
      <c r="F127" s="2">
        <v>3.0000000000000001E-3</v>
      </c>
      <c r="G127" t="s">
        <v>534</v>
      </c>
      <c r="H127" t="s">
        <v>539</v>
      </c>
      <c r="I127">
        <v>440020.77519999997</v>
      </c>
      <c r="J127">
        <v>1827277.5666</v>
      </c>
      <c r="K127">
        <v>440020.77519999997</v>
      </c>
      <c r="L127">
        <v>1827295.8409</v>
      </c>
      <c r="M127" t="s">
        <v>56</v>
      </c>
      <c r="N127" t="s">
        <v>57</v>
      </c>
      <c r="O127">
        <v>450</v>
      </c>
      <c r="P127" t="s">
        <v>3891</v>
      </c>
      <c r="Q127" t="s">
        <v>3892</v>
      </c>
      <c r="R127" t="s">
        <v>536</v>
      </c>
      <c r="S127" t="s">
        <v>537</v>
      </c>
      <c r="T127" t="s">
        <v>541</v>
      </c>
      <c r="U127">
        <v>0.15</v>
      </c>
      <c r="V127">
        <v>0.15</v>
      </c>
      <c r="W127" t="s">
        <v>52</v>
      </c>
      <c r="X127">
        <v>0.90280000000000005</v>
      </c>
      <c r="Y127">
        <v>0.91169999999999995</v>
      </c>
      <c r="Z127">
        <v>0.91169999999999995</v>
      </c>
      <c r="AA127">
        <v>0.90280000000000005</v>
      </c>
      <c r="AB127">
        <v>18.2743</v>
      </c>
      <c r="AC127">
        <v>18.2744</v>
      </c>
      <c r="AD127">
        <v>17.0764</v>
      </c>
      <c r="AE127">
        <v>17.076499999999999</v>
      </c>
      <c r="AF127" t="s">
        <v>4102</v>
      </c>
      <c r="AG127" t="s">
        <v>4102</v>
      </c>
      <c r="AH127" t="s">
        <v>3894</v>
      </c>
      <c r="AI127" t="s">
        <v>3894</v>
      </c>
      <c r="AJ127" t="s">
        <v>3895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3896</v>
      </c>
      <c r="AT127" t="s">
        <v>3890</v>
      </c>
      <c r="AU127" t="s">
        <v>3897</v>
      </c>
      <c r="AV127" t="s">
        <v>3898</v>
      </c>
      <c r="AW127">
        <v>2</v>
      </c>
      <c r="AX127">
        <v>0</v>
      </c>
    </row>
    <row r="128" spans="1:50" x14ac:dyDescent="0.25">
      <c r="A128" t="s">
        <v>4103</v>
      </c>
      <c r="B128" t="s">
        <v>3889</v>
      </c>
      <c r="C128" t="s">
        <v>3890</v>
      </c>
      <c r="D128">
        <v>30.972000000000001</v>
      </c>
      <c r="E128">
        <v>30.931000000000001</v>
      </c>
      <c r="F128" s="2">
        <v>3.0000000000000001E-3</v>
      </c>
      <c r="G128" t="s">
        <v>2265</v>
      </c>
      <c r="H128" t="s">
        <v>2268</v>
      </c>
      <c r="I128">
        <v>440430.42509999999</v>
      </c>
      <c r="J128">
        <v>1828037.8473</v>
      </c>
      <c r="K128">
        <v>440444.18689999997</v>
      </c>
      <c r="L128">
        <v>1828037.8473</v>
      </c>
      <c r="M128" t="s">
        <v>56</v>
      </c>
      <c r="N128" t="s">
        <v>57</v>
      </c>
      <c r="O128">
        <v>450</v>
      </c>
      <c r="P128" t="s">
        <v>3891</v>
      </c>
      <c r="Q128" t="s">
        <v>3892</v>
      </c>
      <c r="R128" t="s">
        <v>2263</v>
      </c>
      <c r="S128" s="1" t="s">
        <v>424</v>
      </c>
      <c r="T128" s="1" t="s">
        <v>2270</v>
      </c>
      <c r="U128">
        <v>-6.7400000000000002E-2</v>
      </c>
      <c r="V128">
        <v>-6.7400000000000002E-2</v>
      </c>
      <c r="W128" t="s">
        <v>52</v>
      </c>
      <c r="X128">
        <v>0.88219999999999998</v>
      </c>
      <c r="Y128">
        <v>0.90459999999999996</v>
      </c>
      <c r="Z128">
        <v>0.90459999999999996</v>
      </c>
      <c r="AA128">
        <v>0.88219999999999998</v>
      </c>
      <c r="AB128">
        <v>13.761799999999999</v>
      </c>
      <c r="AC128">
        <v>13.761799999999999</v>
      </c>
      <c r="AD128">
        <v>12.5639</v>
      </c>
      <c r="AE128">
        <v>12.5639</v>
      </c>
      <c r="AF128" t="s">
        <v>183</v>
      </c>
      <c r="AG128" t="s">
        <v>183</v>
      </c>
      <c r="AH128" t="s">
        <v>3894</v>
      </c>
      <c r="AI128" t="s">
        <v>3894</v>
      </c>
      <c r="AJ128" t="s">
        <v>3895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3896</v>
      </c>
      <c r="AT128" t="s">
        <v>3890</v>
      </c>
      <c r="AU128" t="s">
        <v>3897</v>
      </c>
      <c r="AV128" t="s">
        <v>3898</v>
      </c>
      <c r="AW128">
        <v>2</v>
      </c>
      <c r="AX128">
        <v>0</v>
      </c>
    </row>
    <row r="129" spans="1:50" x14ac:dyDescent="0.25">
      <c r="A129" t="s">
        <v>4104</v>
      </c>
      <c r="B129" t="s">
        <v>3996</v>
      </c>
      <c r="C129" t="s">
        <v>3890</v>
      </c>
      <c r="D129">
        <v>27.105</v>
      </c>
      <c r="E129">
        <v>27.084</v>
      </c>
      <c r="F129" s="2">
        <v>1E-3</v>
      </c>
      <c r="G129" t="s">
        <v>3766</v>
      </c>
      <c r="H129" t="s">
        <v>3770</v>
      </c>
      <c r="I129">
        <v>440467.82770000002</v>
      </c>
      <c r="J129">
        <v>1827549.9754000001</v>
      </c>
      <c r="K129">
        <v>440488.03009999997</v>
      </c>
      <c r="L129">
        <v>1827549.9656</v>
      </c>
      <c r="M129" t="s">
        <v>56</v>
      </c>
      <c r="N129" t="s">
        <v>57</v>
      </c>
      <c r="O129">
        <v>1350</v>
      </c>
      <c r="P129" t="s">
        <v>3997</v>
      </c>
      <c r="Q129" t="s">
        <v>3998</v>
      </c>
      <c r="R129" t="s">
        <v>180</v>
      </c>
      <c r="S129" t="s">
        <v>3768</v>
      </c>
      <c r="T129" t="s">
        <v>3772</v>
      </c>
      <c r="U129">
        <v>-0.55840000000000001</v>
      </c>
      <c r="V129">
        <v>-0.56820000000000004</v>
      </c>
      <c r="W129" t="s">
        <v>52</v>
      </c>
      <c r="X129">
        <v>1.1575</v>
      </c>
      <c r="Y129">
        <v>1.2485999999999999</v>
      </c>
      <c r="Z129">
        <v>1.2485999999999999</v>
      </c>
      <c r="AA129">
        <v>1.1575</v>
      </c>
      <c r="AB129">
        <v>20.202400000000001</v>
      </c>
      <c r="AC129">
        <v>20.202400000000001</v>
      </c>
      <c r="AD129">
        <v>19.004300000000001</v>
      </c>
      <c r="AE129">
        <v>19.004300000000001</v>
      </c>
      <c r="AF129" t="s">
        <v>4105</v>
      </c>
      <c r="AG129" t="s">
        <v>4105</v>
      </c>
      <c r="AH129" t="s">
        <v>3894</v>
      </c>
      <c r="AI129" t="s">
        <v>3894</v>
      </c>
      <c r="AJ129" t="s">
        <v>3895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3896</v>
      </c>
      <c r="AT129" t="s">
        <v>3890</v>
      </c>
      <c r="AU129" t="s">
        <v>4000</v>
      </c>
      <c r="AV129" t="s">
        <v>3898</v>
      </c>
      <c r="AW129">
        <v>2</v>
      </c>
      <c r="AX129">
        <v>0</v>
      </c>
    </row>
    <row r="130" spans="1:50" x14ac:dyDescent="0.25">
      <c r="A130" t="s">
        <v>4106</v>
      </c>
      <c r="B130" t="s">
        <v>4065</v>
      </c>
      <c r="C130" t="s">
        <v>3890</v>
      </c>
      <c r="D130">
        <v>30.782</v>
      </c>
      <c r="E130">
        <v>30.722000000000001</v>
      </c>
      <c r="F130" s="2">
        <v>3.0000000000000001E-3</v>
      </c>
      <c r="G130" t="s">
        <v>1302</v>
      </c>
      <c r="H130" t="s">
        <v>1306</v>
      </c>
      <c r="I130">
        <v>440198.92479999998</v>
      </c>
      <c r="J130">
        <v>1827841.8171000001</v>
      </c>
      <c r="K130">
        <v>440198.92479999998</v>
      </c>
      <c r="L130">
        <v>1827821.8171000001</v>
      </c>
      <c r="M130" t="s">
        <v>56</v>
      </c>
      <c r="N130" t="s">
        <v>57</v>
      </c>
      <c r="O130">
        <v>900</v>
      </c>
      <c r="P130" t="s">
        <v>58</v>
      </c>
      <c r="Q130" t="s">
        <v>3919</v>
      </c>
      <c r="R130" t="s">
        <v>146</v>
      </c>
      <c r="S130" s="1" t="s">
        <v>1304</v>
      </c>
      <c r="T130" s="1" t="s">
        <v>1308</v>
      </c>
      <c r="U130">
        <v>-2.5000000000000001E-2</v>
      </c>
      <c r="V130">
        <v>-2.5000000000000001E-2</v>
      </c>
      <c r="W130" t="s">
        <v>52</v>
      </c>
      <c r="X130">
        <v>0.85229999999999995</v>
      </c>
      <c r="Y130">
        <v>0.88890000000000002</v>
      </c>
      <c r="Z130">
        <v>0.88890000000000002</v>
      </c>
      <c r="AA130">
        <v>0.85229999999999995</v>
      </c>
      <c r="AB130">
        <v>20</v>
      </c>
      <c r="AC130">
        <v>20.0001</v>
      </c>
      <c r="AD130">
        <v>18.803599999999999</v>
      </c>
      <c r="AE130">
        <v>18.803699999999999</v>
      </c>
      <c r="AF130" t="s">
        <v>2233</v>
      </c>
      <c r="AG130" t="s">
        <v>2233</v>
      </c>
      <c r="AH130" t="s">
        <v>3894</v>
      </c>
      <c r="AI130" t="s">
        <v>3894</v>
      </c>
      <c r="AJ130" t="s">
        <v>3895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3896</v>
      </c>
      <c r="AT130" t="s">
        <v>3890</v>
      </c>
      <c r="AU130" t="s">
        <v>4066</v>
      </c>
      <c r="AV130" t="s">
        <v>3898</v>
      </c>
      <c r="AW130">
        <v>2</v>
      </c>
      <c r="AX130">
        <v>0</v>
      </c>
    </row>
    <row r="131" spans="1:50" x14ac:dyDescent="0.25">
      <c r="A131" t="s">
        <v>4107</v>
      </c>
      <c r="B131" t="s">
        <v>3889</v>
      </c>
      <c r="C131" t="s">
        <v>3890</v>
      </c>
      <c r="D131">
        <v>32.234000000000002</v>
      </c>
      <c r="E131">
        <v>32.174999999999997</v>
      </c>
      <c r="F131" s="2">
        <v>3.0000000000000001E-3</v>
      </c>
      <c r="G131" t="s">
        <v>569</v>
      </c>
      <c r="H131" t="s">
        <v>573</v>
      </c>
      <c r="I131">
        <v>439990.42509999999</v>
      </c>
      <c r="J131">
        <v>1827415.4986</v>
      </c>
      <c r="K131">
        <v>440010.42509999999</v>
      </c>
      <c r="L131">
        <v>1827415.4986</v>
      </c>
      <c r="M131" t="s">
        <v>56</v>
      </c>
      <c r="N131" t="s">
        <v>57</v>
      </c>
      <c r="O131">
        <v>450</v>
      </c>
      <c r="P131" t="s">
        <v>3891</v>
      </c>
      <c r="Q131" t="s">
        <v>3892</v>
      </c>
      <c r="R131" t="s">
        <v>85</v>
      </c>
      <c r="S131" s="1" t="s">
        <v>571</v>
      </c>
      <c r="T131" s="1" t="s">
        <v>575</v>
      </c>
      <c r="U131">
        <v>-0.14099999999999999</v>
      </c>
      <c r="V131">
        <v>-0.1389</v>
      </c>
      <c r="W131" t="s">
        <v>52</v>
      </c>
      <c r="X131">
        <v>0.88160000000000005</v>
      </c>
      <c r="Y131">
        <v>0.96870000000000001</v>
      </c>
      <c r="Z131">
        <v>0.96870000000000001</v>
      </c>
      <c r="AA131">
        <v>0.88160000000000005</v>
      </c>
      <c r="AB131">
        <v>20</v>
      </c>
      <c r="AC131">
        <v>20.0001</v>
      </c>
      <c r="AD131">
        <v>18.802099999999999</v>
      </c>
      <c r="AE131">
        <v>18.802099999999999</v>
      </c>
      <c r="AF131" t="s">
        <v>183</v>
      </c>
      <c r="AG131" t="s">
        <v>183</v>
      </c>
      <c r="AH131" t="s">
        <v>3894</v>
      </c>
      <c r="AI131" t="s">
        <v>3894</v>
      </c>
      <c r="AJ131" t="s">
        <v>3895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3896</v>
      </c>
      <c r="AT131" t="s">
        <v>3890</v>
      </c>
      <c r="AU131" t="s">
        <v>3897</v>
      </c>
      <c r="AV131" t="s">
        <v>3898</v>
      </c>
      <c r="AW131">
        <v>2</v>
      </c>
      <c r="AX131">
        <v>0</v>
      </c>
    </row>
    <row r="132" spans="1:50" x14ac:dyDescent="0.25">
      <c r="A132" t="s">
        <v>4108</v>
      </c>
      <c r="B132" t="s">
        <v>3889</v>
      </c>
      <c r="C132" t="s">
        <v>3890</v>
      </c>
      <c r="D132">
        <v>32.234000000000002</v>
      </c>
      <c r="E132">
        <v>32.174999999999997</v>
      </c>
      <c r="F132" s="2">
        <v>3.0000000000000001E-3</v>
      </c>
      <c r="G132" t="s">
        <v>585</v>
      </c>
      <c r="H132" t="s">
        <v>587</v>
      </c>
      <c r="I132">
        <v>439990.42509999999</v>
      </c>
      <c r="J132">
        <v>1827425.1986</v>
      </c>
      <c r="K132">
        <v>440010.42509999999</v>
      </c>
      <c r="L132">
        <v>1827425.1986</v>
      </c>
      <c r="M132" t="s">
        <v>56</v>
      </c>
      <c r="N132" t="s">
        <v>57</v>
      </c>
      <c r="O132">
        <v>450</v>
      </c>
      <c r="P132" t="s">
        <v>3891</v>
      </c>
      <c r="Q132" t="s">
        <v>3892</v>
      </c>
      <c r="R132" t="s">
        <v>80</v>
      </c>
      <c r="S132" t="s">
        <v>571</v>
      </c>
      <c r="T132" s="1" t="s">
        <v>575</v>
      </c>
      <c r="U132">
        <v>0.123</v>
      </c>
      <c r="V132">
        <v>0.11650000000000001</v>
      </c>
      <c r="W132" t="s">
        <v>52</v>
      </c>
      <c r="X132">
        <v>0.88160000000000005</v>
      </c>
      <c r="Y132">
        <v>0.96870000000000001</v>
      </c>
      <c r="Z132">
        <v>0.96870000000000001</v>
      </c>
      <c r="AA132">
        <v>0.88160000000000005</v>
      </c>
      <c r="AB132">
        <v>20</v>
      </c>
      <c r="AC132">
        <v>20.0001</v>
      </c>
      <c r="AD132">
        <v>18.802099999999999</v>
      </c>
      <c r="AE132">
        <v>18.802099999999999</v>
      </c>
      <c r="AF132" t="s">
        <v>183</v>
      </c>
      <c r="AG132" t="s">
        <v>183</v>
      </c>
      <c r="AH132" t="s">
        <v>3894</v>
      </c>
      <c r="AI132" t="s">
        <v>3894</v>
      </c>
      <c r="AJ132" t="s">
        <v>3895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3896</v>
      </c>
      <c r="AT132" t="s">
        <v>3890</v>
      </c>
      <c r="AU132" t="s">
        <v>3897</v>
      </c>
      <c r="AV132" t="s">
        <v>3898</v>
      </c>
      <c r="AW132">
        <v>2</v>
      </c>
      <c r="AX132">
        <v>0</v>
      </c>
    </row>
    <row r="133" spans="1:50" x14ac:dyDescent="0.25">
      <c r="A133" t="s">
        <v>4109</v>
      </c>
      <c r="B133" t="s">
        <v>3889</v>
      </c>
      <c r="C133" t="s">
        <v>3890</v>
      </c>
      <c r="D133">
        <v>32.500999999999998</v>
      </c>
      <c r="E133">
        <v>32.441000000000003</v>
      </c>
      <c r="F133" s="2">
        <v>3.0000000000000001E-3</v>
      </c>
      <c r="G133" t="s">
        <v>1235</v>
      </c>
      <c r="H133" t="s">
        <v>1237</v>
      </c>
      <c r="I133">
        <v>440168.22489999997</v>
      </c>
      <c r="J133">
        <v>1828091.6338</v>
      </c>
      <c r="K133">
        <v>440188.22489999997</v>
      </c>
      <c r="L133">
        <v>1828091.6338</v>
      </c>
      <c r="M133" t="s">
        <v>56</v>
      </c>
      <c r="N133" t="s">
        <v>57</v>
      </c>
      <c r="O133">
        <v>450</v>
      </c>
      <c r="P133" t="s">
        <v>3891</v>
      </c>
      <c r="Q133" t="s">
        <v>3892</v>
      </c>
      <c r="R133" t="s">
        <v>1234</v>
      </c>
      <c r="S133" t="s">
        <v>448</v>
      </c>
      <c r="T133" t="s">
        <v>452</v>
      </c>
      <c r="U133">
        <v>0</v>
      </c>
      <c r="V133">
        <v>0</v>
      </c>
      <c r="W133" t="s">
        <v>52</v>
      </c>
      <c r="X133">
        <v>0.88229999999999997</v>
      </c>
      <c r="Y133">
        <v>0.95860000000000001</v>
      </c>
      <c r="Z133">
        <v>0.95860000000000001</v>
      </c>
      <c r="AA133">
        <v>0.88229999999999997</v>
      </c>
      <c r="AB133">
        <v>20</v>
      </c>
      <c r="AC133">
        <v>20.0001</v>
      </c>
      <c r="AD133">
        <v>18.802099999999999</v>
      </c>
      <c r="AE133">
        <v>18.802199999999999</v>
      </c>
      <c r="AF133" t="s">
        <v>183</v>
      </c>
      <c r="AG133" t="s">
        <v>183</v>
      </c>
      <c r="AH133" t="s">
        <v>3894</v>
      </c>
      <c r="AI133" t="s">
        <v>3894</v>
      </c>
      <c r="AJ133" t="s">
        <v>3895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3896</v>
      </c>
      <c r="AT133" t="s">
        <v>3890</v>
      </c>
      <c r="AU133" t="s">
        <v>3897</v>
      </c>
      <c r="AV133" t="s">
        <v>3898</v>
      </c>
      <c r="AW133">
        <v>2</v>
      </c>
      <c r="AX133">
        <v>0</v>
      </c>
    </row>
    <row r="134" spans="1:50" x14ac:dyDescent="0.25">
      <c r="A134" t="s">
        <v>4110</v>
      </c>
      <c r="B134" t="s">
        <v>3889</v>
      </c>
      <c r="C134" t="s">
        <v>3890</v>
      </c>
      <c r="D134">
        <v>32.500999999999998</v>
      </c>
      <c r="E134">
        <v>32.441000000000003</v>
      </c>
      <c r="F134" s="2">
        <v>3.0000000000000001E-3</v>
      </c>
      <c r="G134" t="s">
        <v>1222</v>
      </c>
      <c r="H134" t="s">
        <v>1225</v>
      </c>
      <c r="I134">
        <v>440168.22489999997</v>
      </c>
      <c r="J134">
        <v>1828102.7338</v>
      </c>
      <c r="K134">
        <v>440188.22489999997</v>
      </c>
      <c r="L134">
        <v>1828102.7338</v>
      </c>
      <c r="M134" t="s">
        <v>56</v>
      </c>
      <c r="N134" t="s">
        <v>57</v>
      </c>
      <c r="O134">
        <v>450</v>
      </c>
      <c r="P134" t="s">
        <v>3891</v>
      </c>
      <c r="Q134" t="s">
        <v>3892</v>
      </c>
      <c r="R134" t="s">
        <v>1220</v>
      </c>
      <c r="S134" t="s">
        <v>448</v>
      </c>
      <c r="T134" t="s">
        <v>452</v>
      </c>
      <c r="U134">
        <v>0</v>
      </c>
      <c r="V134">
        <v>0</v>
      </c>
      <c r="W134" t="s">
        <v>52</v>
      </c>
      <c r="X134">
        <v>0.88229999999999997</v>
      </c>
      <c r="Y134">
        <v>0.95860000000000001</v>
      </c>
      <c r="Z134">
        <v>0.95860000000000001</v>
      </c>
      <c r="AA134">
        <v>0.88229999999999997</v>
      </c>
      <c r="AB134">
        <v>20</v>
      </c>
      <c r="AC134">
        <v>20.0001</v>
      </c>
      <c r="AD134">
        <v>18.802099999999999</v>
      </c>
      <c r="AE134">
        <v>18.802199999999999</v>
      </c>
      <c r="AF134" t="s">
        <v>183</v>
      </c>
      <c r="AG134" t="s">
        <v>183</v>
      </c>
      <c r="AH134" t="s">
        <v>3894</v>
      </c>
      <c r="AI134" t="s">
        <v>3894</v>
      </c>
      <c r="AJ134" t="s">
        <v>3895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3896</v>
      </c>
      <c r="AT134" t="s">
        <v>3890</v>
      </c>
      <c r="AU134" t="s">
        <v>3897</v>
      </c>
      <c r="AV134" t="s">
        <v>3898</v>
      </c>
      <c r="AW134">
        <v>2</v>
      </c>
      <c r="AX134">
        <v>0</v>
      </c>
    </row>
    <row r="135" spans="1:50" x14ac:dyDescent="0.25">
      <c r="A135" t="s">
        <v>4111</v>
      </c>
      <c r="B135" t="s">
        <v>3889</v>
      </c>
      <c r="C135" t="s">
        <v>3890</v>
      </c>
      <c r="D135">
        <v>31.213000000000001</v>
      </c>
      <c r="E135">
        <v>31.152999999999999</v>
      </c>
      <c r="F135" s="2">
        <v>3.0000000000000001E-3</v>
      </c>
      <c r="G135" t="s">
        <v>822</v>
      </c>
      <c r="H135" t="s">
        <v>830</v>
      </c>
      <c r="I135">
        <v>440150.42509999999</v>
      </c>
      <c r="J135">
        <v>1827425.1986</v>
      </c>
      <c r="K135">
        <v>440170.42509999999</v>
      </c>
      <c r="L135">
        <v>1827425.1986</v>
      </c>
      <c r="M135" t="s">
        <v>56</v>
      </c>
      <c r="N135" t="s">
        <v>57</v>
      </c>
      <c r="O135">
        <v>450</v>
      </c>
      <c r="P135" t="s">
        <v>3891</v>
      </c>
      <c r="Q135" t="s">
        <v>3892</v>
      </c>
      <c r="R135" t="s">
        <v>80</v>
      </c>
      <c r="S135" t="s">
        <v>824</v>
      </c>
      <c r="T135" s="1" t="s">
        <v>832</v>
      </c>
      <c r="U135">
        <v>7.0599999999999996E-2</v>
      </c>
      <c r="V135">
        <v>6.4100000000000004E-2</v>
      </c>
      <c r="W135" t="s">
        <v>52</v>
      </c>
      <c r="X135">
        <v>0.88190000000000002</v>
      </c>
      <c r="Y135">
        <v>0.94930000000000003</v>
      </c>
      <c r="Z135">
        <v>0.94930000000000003</v>
      </c>
      <c r="AA135">
        <v>0.88190000000000002</v>
      </c>
      <c r="AB135">
        <v>20</v>
      </c>
      <c r="AC135">
        <v>20.0001</v>
      </c>
      <c r="AD135">
        <v>18.802099999999999</v>
      </c>
      <c r="AE135">
        <v>18.802199999999999</v>
      </c>
      <c r="AF135" t="s">
        <v>2299</v>
      </c>
      <c r="AG135" t="s">
        <v>2299</v>
      </c>
      <c r="AH135" t="s">
        <v>3894</v>
      </c>
      <c r="AI135" t="s">
        <v>3894</v>
      </c>
      <c r="AJ135" t="s">
        <v>3895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3896</v>
      </c>
      <c r="AT135" t="s">
        <v>3890</v>
      </c>
      <c r="AU135" t="s">
        <v>3897</v>
      </c>
      <c r="AV135" t="s">
        <v>3898</v>
      </c>
      <c r="AW135">
        <v>2</v>
      </c>
      <c r="AX135">
        <v>0</v>
      </c>
    </row>
    <row r="136" spans="1:50" x14ac:dyDescent="0.25">
      <c r="A136" t="s">
        <v>4112</v>
      </c>
      <c r="B136" t="s">
        <v>3963</v>
      </c>
      <c r="C136" t="s">
        <v>3890</v>
      </c>
      <c r="D136">
        <v>29.009</v>
      </c>
      <c r="E136">
        <v>28.949000000000002</v>
      </c>
      <c r="F136" s="2">
        <v>3.3E-3</v>
      </c>
      <c r="G136" t="s">
        <v>2992</v>
      </c>
      <c r="H136" t="s">
        <v>2995</v>
      </c>
      <c r="I136">
        <v>440387.45010000002</v>
      </c>
      <c r="J136">
        <v>1827729.7609000001</v>
      </c>
      <c r="K136">
        <v>440387.45010000002</v>
      </c>
      <c r="L136">
        <v>1827711.32</v>
      </c>
      <c r="M136" t="s">
        <v>56</v>
      </c>
      <c r="N136" t="s">
        <v>57</v>
      </c>
      <c r="O136">
        <v>600</v>
      </c>
      <c r="P136" t="s">
        <v>3891</v>
      </c>
      <c r="Q136" t="s">
        <v>3892</v>
      </c>
      <c r="R136" t="s">
        <v>117</v>
      </c>
      <c r="S136" t="s">
        <v>424</v>
      </c>
      <c r="T136" t="s">
        <v>2997</v>
      </c>
      <c r="U136">
        <v>-3.8600000000000002E-2</v>
      </c>
      <c r="V136">
        <v>-3.8600000000000002E-2</v>
      </c>
      <c r="W136" t="s">
        <v>52</v>
      </c>
      <c r="X136">
        <v>0.91479999999999995</v>
      </c>
      <c r="Y136">
        <v>1.0531999999999999</v>
      </c>
      <c r="Z136">
        <v>1.0531999999999999</v>
      </c>
      <c r="AA136">
        <v>0.91479999999999995</v>
      </c>
      <c r="AB136">
        <v>18.440899999999999</v>
      </c>
      <c r="AC136">
        <v>18.440999999999999</v>
      </c>
      <c r="AD136">
        <v>17.2437</v>
      </c>
      <c r="AE136">
        <v>17.2438</v>
      </c>
      <c r="AF136" t="s">
        <v>2233</v>
      </c>
      <c r="AG136" t="s">
        <v>2233</v>
      </c>
      <c r="AH136" t="s">
        <v>3894</v>
      </c>
      <c r="AI136" t="s">
        <v>3894</v>
      </c>
      <c r="AJ136" t="s">
        <v>3895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3896</v>
      </c>
      <c r="AT136" t="s">
        <v>3890</v>
      </c>
      <c r="AU136" t="s">
        <v>3964</v>
      </c>
      <c r="AV136" t="s">
        <v>3898</v>
      </c>
      <c r="AW136">
        <v>2</v>
      </c>
      <c r="AX136">
        <v>0</v>
      </c>
    </row>
    <row r="137" spans="1:50" x14ac:dyDescent="0.25">
      <c r="A137" t="s">
        <v>4113</v>
      </c>
      <c r="B137" t="s">
        <v>3889</v>
      </c>
      <c r="C137" t="s">
        <v>3890</v>
      </c>
      <c r="D137">
        <v>31.722999999999999</v>
      </c>
      <c r="E137">
        <v>31.663</v>
      </c>
      <c r="F137" s="2">
        <v>3.0000000000000001E-3</v>
      </c>
      <c r="G137" t="s">
        <v>3288</v>
      </c>
      <c r="H137" t="s">
        <v>3290</v>
      </c>
      <c r="I137">
        <v>440127.17489999998</v>
      </c>
      <c r="J137">
        <v>1827347.8488</v>
      </c>
      <c r="K137">
        <v>440127.17489999998</v>
      </c>
      <c r="L137">
        <v>1827367.8488</v>
      </c>
      <c r="M137" t="s">
        <v>56</v>
      </c>
      <c r="N137" t="s">
        <v>57</v>
      </c>
      <c r="O137">
        <v>450</v>
      </c>
      <c r="P137" t="s">
        <v>3891</v>
      </c>
      <c r="Q137" t="s">
        <v>3892</v>
      </c>
      <c r="R137" t="s">
        <v>3278</v>
      </c>
      <c r="S137" t="s">
        <v>3237</v>
      </c>
      <c r="T137" t="s">
        <v>3241</v>
      </c>
      <c r="U137">
        <v>-6.9999999999999999E-4</v>
      </c>
      <c r="V137">
        <v>-6.9999999999999999E-4</v>
      </c>
      <c r="W137" t="s">
        <v>52</v>
      </c>
      <c r="X137">
        <v>0.88160000000000005</v>
      </c>
      <c r="Y137">
        <v>0.94440000000000002</v>
      </c>
      <c r="Z137">
        <v>0.94440000000000002</v>
      </c>
      <c r="AA137">
        <v>0.88160000000000005</v>
      </c>
      <c r="AB137">
        <v>20</v>
      </c>
      <c r="AC137">
        <v>20.0001</v>
      </c>
      <c r="AD137">
        <v>18.802099999999999</v>
      </c>
      <c r="AE137">
        <v>18.802199999999999</v>
      </c>
      <c r="AF137" t="s">
        <v>67</v>
      </c>
      <c r="AG137" t="s">
        <v>67</v>
      </c>
      <c r="AH137" t="s">
        <v>3894</v>
      </c>
      <c r="AI137" t="s">
        <v>3894</v>
      </c>
      <c r="AJ137" t="s">
        <v>3895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3896</v>
      </c>
      <c r="AT137" t="s">
        <v>3890</v>
      </c>
      <c r="AU137" t="s">
        <v>3897</v>
      </c>
      <c r="AV137" t="s">
        <v>3898</v>
      </c>
      <c r="AW137">
        <v>2</v>
      </c>
      <c r="AX137">
        <v>0</v>
      </c>
    </row>
    <row r="138" spans="1:50" x14ac:dyDescent="0.25">
      <c r="A138" t="s">
        <v>4114</v>
      </c>
      <c r="B138" t="s">
        <v>3963</v>
      </c>
      <c r="C138" t="s">
        <v>3890</v>
      </c>
      <c r="D138">
        <v>31.19</v>
      </c>
      <c r="E138">
        <v>31.13</v>
      </c>
      <c r="F138" s="2">
        <v>3.0000000000000001E-3</v>
      </c>
      <c r="G138" t="s">
        <v>1675</v>
      </c>
      <c r="H138" t="s">
        <v>1679</v>
      </c>
      <c r="I138">
        <v>440044.1495</v>
      </c>
      <c r="J138">
        <v>1827581.0604999999</v>
      </c>
      <c r="K138">
        <v>440044.1495</v>
      </c>
      <c r="L138">
        <v>1827561.0521</v>
      </c>
      <c r="M138" t="s">
        <v>56</v>
      </c>
      <c r="N138" t="s">
        <v>57</v>
      </c>
      <c r="O138">
        <v>600</v>
      </c>
      <c r="P138" t="s">
        <v>3891</v>
      </c>
      <c r="Q138" t="s">
        <v>3892</v>
      </c>
      <c r="R138" t="s">
        <v>390</v>
      </c>
      <c r="S138" t="s">
        <v>1677</v>
      </c>
      <c r="T138" t="s">
        <v>1681</v>
      </c>
      <c r="U138">
        <v>7.4999999999999997E-2</v>
      </c>
      <c r="V138">
        <v>7.4999999999999997E-2</v>
      </c>
      <c r="W138" t="s">
        <v>52</v>
      </c>
      <c r="X138">
        <v>0.8921</v>
      </c>
      <c r="Y138">
        <v>0.9405</v>
      </c>
      <c r="Z138">
        <v>0.9405</v>
      </c>
      <c r="AA138">
        <v>0.8921</v>
      </c>
      <c r="AB138">
        <v>20.008400000000002</v>
      </c>
      <c r="AC138">
        <v>20.008400000000002</v>
      </c>
      <c r="AD138">
        <v>18.8109</v>
      </c>
      <c r="AE138">
        <v>18.811</v>
      </c>
      <c r="AF138" t="s">
        <v>2233</v>
      </c>
      <c r="AG138" t="s">
        <v>2233</v>
      </c>
      <c r="AH138" t="s">
        <v>3894</v>
      </c>
      <c r="AI138" t="s">
        <v>3894</v>
      </c>
      <c r="AJ138" t="s">
        <v>3895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3896</v>
      </c>
      <c r="AT138" t="s">
        <v>3890</v>
      </c>
      <c r="AU138" t="s">
        <v>3964</v>
      </c>
      <c r="AV138" t="s">
        <v>3898</v>
      </c>
      <c r="AW138">
        <v>2</v>
      </c>
      <c r="AX138">
        <v>0</v>
      </c>
    </row>
    <row r="139" spans="1:50" x14ac:dyDescent="0.25">
      <c r="A139" t="s">
        <v>4115</v>
      </c>
      <c r="B139" t="s">
        <v>3889</v>
      </c>
      <c r="C139" t="s">
        <v>3890</v>
      </c>
      <c r="D139">
        <v>31.393999999999998</v>
      </c>
      <c r="E139">
        <v>31.334</v>
      </c>
      <c r="F139" s="2">
        <v>3.0000000000000001E-3</v>
      </c>
      <c r="G139" t="s">
        <v>654</v>
      </c>
      <c r="H139" t="s">
        <v>656</v>
      </c>
      <c r="I139">
        <v>440031.87520000001</v>
      </c>
      <c r="J139">
        <v>1827500.9838</v>
      </c>
      <c r="K139">
        <v>440031.87520000001</v>
      </c>
      <c r="L139">
        <v>1827520.9838</v>
      </c>
      <c r="M139" t="s">
        <v>56</v>
      </c>
      <c r="N139" t="s">
        <v>57</v>
      </c>
      <c r="O139">
        <v>450</v>
      </c>
      <c r="P139" t="s">
        <v>3891</v>
      </c>
      <c r="Q139" t="s">
        <v>3892</v>
      </c>
      <c r="R139" t="s">
        <v>645</v>
      </c>
      <c r="S139" s="1" t="s">
        <v>448</v>
      </c>
      <c r="T139" s="1" t="s">
        <v>452</v>
      </c>
      <c r="U139">
        <v>2.8500000000000001E-2</v>
      </c>
      <c r="V139">
        <v>2.8500000000000001E-2</v>
      </c>
      <c r="W139" t="s">
        <v>52</v>
      </c>
      <c r="X139">
        <v>0.88219999999999998</v>
      </c>
      <c r="Y139">
        <v>0.97340000000000004</v>
      </c>
      <c r="Z139">
        <v>0.97340000000000004</v>
      </c>
      <c r="AA139">
        <v>0.88219999999999998</v>
      </c>
      <c r="AB139">
        <v>20</v>
      </c>
      <c r="AC139">
        <v>20.0001</v>
      </c>
      <c r="AD139">
        <v>18.802099999999999</v>
      </c>
      <c r="AE139">
        <v>18.802199999999999</v>
      </c>
      <c r="AF139" t="s">
        <v>67</v>
      </c>
      <c r="AG139" t="s">
        <v>67</v>
      </c>
      <c r="AH139" t="s">
        <v>3894</v>
      </c>
      <c r="AI139" t="s">
        <v>3894</v>
      </c>
      <c r="AJ139" t="s">
        <v>3895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3896</v>
      </c>
      <c r="AT139" t="s">
        <v>3890</v>
      </c>
      <c r="AU139" t="s">
        <v>3897</v>
      </c>
      <c r="AV139" t="s">
        <v>3898</v>
      </c>
      <c r="AW139">
        <v>2</v>
      </c>
      <c r="AX139">
        <v>0</v>
      </c>
    </row>
    <row r="140" spans="1:50" x14ac:dyDescent="0.25">
      <c r="A140" t="s">
        <v>4116</v>
      </c>
      <c r="B140" t="s">
        <v>3924</v>
      </c>
      <c r="C140" t="s">
        <v>3890</v>
      </c>
      <c r="D140">
        <v>31.393999999999998</v>
      </c>
      <c r="E140">
        <v>31.334</v>
      </c>
      <c r="F140" s="2">
        <v>3.0000000000000001E-3</v>
      </c>
      <c r="G140" t="s">
        <v>605</v>
      </c>
      <c r="H140" t="s">
        <v>608</v>
      </c>
      <c r="I140">
        <v>440020.9252</v>
      </c>
      <c r="J140">
        <v>1827500.9838</v>
      </c>
      <c r="K140">
        <v>440020.9252</v>
      </c>
      <c r="L140">
        <v>1827520.9838</v>
      </c>
      <c r="M140" t="s">
        <v>56</v>
      </c>
      <c r="N140" t="s">
        <v>57</v>
      </c>
      <c r="O140">
        <v>750</v>
      </c>
      <c r="P140" t="s">
        <v>3891</v>
      </c>
      <c r="Q140" t="s">
        <v>3892</v>
      </c>
      <c r="R140" t="s">
        <v>596</v>
      </c>
      <c r="S140" t="s">
        <v>448</v>
      </c>
      <c r="T140" s="1" t="s">
        <v>452</v>
      </c>
      <c r="U140">
        <v>0</v>
      </c>
      <c r="V140">
        <v>0</v>
      </c>
      <c r="W140" t="s">
        <v>52</v>
      </c>
      <c r="X140">
        <v>0.87919999999999998</v>
      </c>
      <c r="Y140">
        <v>0.97040000000000004</v>
      </c>
      <c r="Z140">
        <v>0.97040000000000004</v>
      </c>
      <c r="AA140">
        <v>0.87919999999999998</v>
      </c>
      <c r="AB140">
        <v>20</v>
      </c>
      <c r="AC140">
        <v>20.0001</v>
      </c>
      <c r="AD140">
        <v>18.803000000000001</v>
      </c>
      <c r="AE140">
        <v>18.803100000000001</v>
      </c>
      <c r="AF140" t="s">
        <v>67</v>
      </c>
      <c r="AG140" t="s">
        <v>67</v>
      </c>
      <c r="AH140" t="s">
        <v>3894</v>
      </c>
      <c r="AI140" t="s">
        <v>3894</v>
      </c>
      <c r="AJ140" t="s">
        <v>3895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3896</v>
      </c>
      <c r="AT140" t="s">
        <v>3890</v>
      </c>
      <c r="AU140" t="s">
        <v>3926</v>
      </c>
      <c r="AV140" t="s">
        <v>3898</v>
      </c>
      <c r="AW140">
        <v>2</v>
      </c>
      <c r="AX140">
        <v>0</v>
      </c>
    </row>
    <row r="141" spans="1:50" x14ac:dyDescent="0.25">
      <c r="A141" t="s">
        <v>2773</v>
      </c>
      <c r="B141" t="s">
        <v>3889</v>
      </c>
      <c r="C141" t="s">
        <v>3890</v>
      </c>
      <c r="D141">
        <v>28.759</v>
      </c>
      <c r="E141">
        <v>28.739000000000001</v>
      </c>
      <c r="F141" s="2">
        <v>1E-3</v>
      </c>
      <c r="G141" t="s">
        <v>2772</v>
      </c>
      <c r="H141" t="s">
        <v>2770</v>
      </c>
      <c r="I141">
        <v>440529.67509999999</v>
      </c>
      <c r="J141">
        <v>1827789.7609000001</v>
      </c>
      <c r="K141">
        <v>440529.67509999999</v>
      </c>
      <c r="L141">
        <v>1827809.7609000001</v>
      </c>
      <c r="M141" t="s">
        <v>56</v>
      </c>
      <c r="N141" t="s">
        <v>57</v>
      </c>
      <c r="O141">
        <v>450</v>
      </c>
      <c r="P141" t="s">
        <v>3891</v>
      </c>
      <c r="Q141" t="s">
        <v>3892</v>
      </c>
      <c r="R141" t="s">
        <v>2583</v>
      </c>
      <c r="S141" t="s">
        <v>597</v>
      </c>
      <c r="T141" t="s">
        <v>440</v>
      </c>
      <c r="U141">
        <v>0</v>
      </c>
      <c r="V141">
        <v>0</v>
      </c>
      <c r="W141" t="s">
        <v>52</v>
      </c>
      <c r="X141">
        <v>0.88160000000000005</v>
      </c>
      <c r="Y141">
        <v>1.0692999999999999</v>
      </c>
      <c r="Z141">
        <v>0.88160000000000005</v>
      </c>
      <c r="AA141">
        <v>1.0692999999999999</v>
      </c>
      <c r="AB141">
        <v>20</v>
      </c>
      <c r="AC141">
        <v>20</v>
      </c>
      <c r="AD141">
        <v>18.800699999999999</v>
      </c>
      <c r="AE141">
        <v>18.800699999999999</v>
      </c>
      <c r="AF141" t="s">
        <v>67</v>
      </c>
      <c r="AG141" t="s">
        <v>67</v>
      </c>
      <c r="AH141" t="s">
        <v>3894</v>
      </c>
      <c r="AI141" t="s">
        <v>3894</v>
      </c>
      <c r="AJ141" t="s">
        <v>3895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3896</v>
      </c>
      <c r="AT141" t="s">
        <v>3890</v>
      </c>
      <c r="AU141" t="s">
        <v>3897</v>
      </c>
      <c r="AV141" t="s">
        <v>3898</v>
      </c>
      <c r="AW141">
        <v>2</v>
      </c>
      <c r="AX141">
        <v>0</v>
      </c>
    </row>
    <row r="142" spans="1:50" x14ac:dyDescent="0.25">
      <c r="A142" t="s">
        <v>2760</v>
      </c>
      <c r="B142" t="s">
        <v>3889</v>
      </c>
      <c r="C142" t="s">
        <v>3890</v>
      </c>
      <c r="D142">
        <v>28.759</v>
      </c>
      <c r="E142">
        <v>28.739000000000001</v>
      </c>
      <c r="F142" s="2">
        <v>1E-3</v>
      </c>
      <c r="G142" t="s">
        <v>2759</v>
      </c>
      <c r="H142" t="s">
        <v>2756</v>
      </c>
      <c r="I142">
        <v>440519.97509999998</v>
      </c>
      <c r="J142">
        <v>1827789.7609000001</v>
      </c>
      <c r="K142">
        <v>440519.97509999998</v>
      </c>
      <c r="L142">
        <v>1827809.7609000001</v>
      </c>
      <c r="M142" t="s">
        <v>56</v>
      </c>
      <c r="N142" t="s">
        <v>57</v>
      </c>
      <c r="O142">
        <v>450</v>
      </c>
      <c r="P142" t="s">
        <v>3891</v>
      </c>
      <c r="Q142" t="s">
        <v>3892</v>
      </c>
      <c r="R142" t="s">
        <v>2591</v>
      </c>
      <c r="S142" t="s">
        <v>597</v>
      </c>
      <c r="T142" t="s">
        <v>440</v>
      </c>
      <c r="U142">
        <v>-9.8000000000000004E-2</v>
      </c>
      <c r="V142">
        <v>-9.8000000000000004E-2</v>
      </c>
      <c r="W142" t="s">
        <v>52</v>
      </c>
      <c r="X142">
        <v>0.88160000000000005</v>
      </c>
      <c r="Y142">
        <v>1.0692999999999999</v>
      </c>
      <c r="Z142">
        <v>0.88160000000000005</v>
      </c>
      <c r="AA142">
        <v>1.0692999999999999</v>
      </c>
      <c r="AB142">
        <v>20</v>
      </c>
      <c r="AC142">
        <v>20</v>
      </c>
      <c r="AD142">
        <v>18.800699999999999</v>
      </c>
      <c r="AE142">
        <v>18.800699999999999</v>
      </c>
      <c r="AF142" t="s">
        <v>67</v>
      </c>
      <c r="AG142" t="s">
        <v>67</v>
      </c>
      <c r="AH142" t="s">
        <v>3894</v>
      </c>
      <c r="AI142" t="s">
        <v>3894</v>
      </c>
      <c r="AJ142" t="s">
        <v>3895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3896</v>
      </c>
      <c r="AT142" t="s">
        <v>3890</v>
      </c>
      <c r="AU142" t="s">
        <v>3897</v>
      </c>
      <c r="AV142" t="s">
        <v>3898</v>
      </c>
      <c r="AW142">
        <v>2</v>
      </c>
      <c r="AX142">
        <v>0</v>
      </c>
    </row>
    <row r="143" spans="1:50" x14ac:dyDescent="0.25">
      <c r="A143" t="s">
        <v>4117</v>
      </c>
      <c r="B143" t="s">
        <v>3933</v>
      </c>
      <c r="C143" t="s">
        <v>3890</v>
      </c>
      <c r="D143">
        <v>30.282</v>
      </c>
      <c r="E143">
        <v>30.222000000000001</v>
      </c>
      <c r="F143" s="2">
        <v>3.0000000000000001E-3</v>
      </c>
      <c r="G143" t="s">
        <v>1021</v>
      </c>
      <c r="H143" t="s">
        <v>1025</v>
      </c>
      <c r="I143">
        <v>440217.59980000003</v>
      </c>
      <c r="J143">
        <v>1827841.8171000001</v>
      </c>
      <c r="K143">
        <v>440217.59980000003</v>
      </c>
      <c r="L143">
        <v>1827821.8171000001</v>
      </c>
      <c r="M143" t="s">
        <v>56</v>
      </c>
      <c r="N143" t="s">
        <v>57</v>
      </c>
      <c r="O143">
        <v>750</v>
      </c>
      <c r="P143" t="s">
        <v>58</v>
      </c>
      <c r="Q143" t="s">
        <v>3919</v>
      </c>
      <c r="R143" t="s">
        <v>151</v>
      </c>
      <c r="S143" s="1" t="s">
        <v>1023</v>
      </c>
      <c r="T143" s="1" t="s">
        <v>1027</v>
      </c>
      <c r="U143">
        <v>4.3299999999999998E-2</v>
      </c>
      <c r="V143">
        <v>3.2399999999999998E-2</v>
      </c>
      <c r="W143" t="s">
        <v>52</v>
      </c>
      <c r="X143">
        <v>1.3537999999999999</v>
      </c>
      <c r="Y143">
        <v>1.3904000000000001</v>
      </c>
      <c r="Z143">
        <v>1.3904000000000001</v>
      </c>
      <c r="AA143">
        <v>1.3537999999999999</v>
      </c>
      <c r="AB143">
        <v>20</v>
      </c>
      <c r="AC143">
        <v>20.0001</v>
      </c>
      <c r="AD143">
        <v>18.803100000000001</v>
      </c>
      <c r="AE143">
        <v>18.8032</v>
      </c>
      <c r="AF143" t="s">
        <v>2233</v>
      </c>
      <c r="AG143" t="s">
        <v>2233</v>
      </c>
      <c r="AH143" t="s">
        <v>3894</v>
      </c>
      <c r="AI143" t="s">
        <v>3894</v>
      </c>
      <c r="AJ143" t="s">
        <v>3895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3896</v>
      </c>
      <c r="AT143" t="s">
        <v>3890</v>
      </c>
      <c r="AU143" t="s">
        <v>3935</v>
      </c>
      <c r="AV143" t="s">
        <v>3898</v>
      </c>
      <c r="AW143">
        <v>2</v>
      </c>
      <c r="AX143">
        <v>0</v>
      </c>
    </row>
    <row r="144" spans="1:50" x14ac:dyDescent="0.25">
      <c r="A144" t="s">
        <v>4118</v>
      </c>
      <c r="B144" t="s">
        <v>3889</v>
      </c>
      <c r="C144" t="s">
        <v>3890</v>
      </c>
      <c r="D144">
        <v>28.177</v>
      </c>
      <c r="E144">
        <v>28.117000000000001</v>
      </c>
      <c r="F144" s="2">
        <v>3.0000000000000001E-3</v>
      </c>
      <c r="G144" t="s">
        <v>3663</v>
      </c>
      <c r="H144" t="s">
        <v>3666</v>
      </c>
      <c r="I144">
        <v>440585.57510000002</v>
      </c>
      <c r="J144">
        <v>1827438.2394999999</v>
      </c>
      <c r="K144">
        <v>440585.57510000002</v>
      </c>
      <c r="L144">
        <v>1827458.2394999999</v>
      </c>
      <c r="M144" t="s">
        <v>56</v>
      </c>
      <c r="N144" t="s">
        <v>57</v>
      </c>
      <c r="O144">
        <v>450</v>
      </c>
      <c r="P144" t="s">
        <v>3891</v>
      </c>
      <c r="Q144" t="s">
        <v>3892</v>
      </c>
      <c r="R144" t="s">
        <v>357</v>
      </c>
      <c r="S144" t="s">
        <v>1444</v>
      </c>
      <c r="T144" t="s">
        <v>525</v>
      </c>
      <c r="U144">
        <v>5.9499999999999997E-2</v>
      </c>
      <c r="V144">
        <v>4.8399999999999999E-2</v>
      </c>
      <c r="W144" t="s">
        <v>52</v>
      </c>
      <c r="X144">
        <v>0.88229999999999997</v>
      </c>
      <c r="Y144">
        <v>1.0261</v>
      </c>
      <c r="Z144">
        <v>1.0261</v>
      </c>
      <c r="AA144">
        <v>0.88229999999999997</v>
      </c>
      <c r="AB144">
        <v>20</v>
      </c>
      <c r="AC144">
        <v>20.0001</v>
      </c>
      <c r="AD144">
        <v>18.802099999999999</v>
      </c>
      <c r="AE144">
        <v>18.802199999999999</v>
      </c>
      <c r="AF144" t="s">
        <v>3973</v>
      </c>
      <c r="AG144" t="s">
        <v>3973</v>
      </c>
      <c r="AH144" t="s">
        <v>3894</v>
      </c>
      <c r="AI144" t="s">
        <v>3894</v>
      </c>
      <c r="AJ144" t="s">
        <v>3895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3896</v>
      </c>
      <c r="AT144" t="s">
        <v>3890</v>
      </c>
      <c r="AU144" t="s">
        <v>3897</v>
      </c>
      <c r="AV144" t="s">
        <v>3898</v>
      </c>
      <c r="AW144">
        <v>2</v>
      </c>
      <c r="AX144">
        <v>0</v>
      </c>
    </row>
    <row r="145" spans="1:50" x14ac:dyDescent="0.25">
      <c r="A145" t="s">
        <v>4119</v>
      </c>
      <c r="B145" t="s">
        <v>3889</v>
      </c>
      <c r="C145" t="s">
        <v>3890</v>
      </c>
      <c r="D145">
        <v>30.942</v>
      </c>
      <c r="E145">
        <v>30.882000000000001</v>
      </c>
      <c r="F145" s="2">
        <v>3.0000000000000001E-3</v>
      </c>
      <c r="G145" t="s">
        <v>3363</v>
      </c>
      <c r="H145" t="s">
        <v>3367</v>
      </c>
      <c r="I145">
        <v>440248.67489999998</v>
      </c>
      <c r="J145">
        <v>1827335.2449</v>
      </c>
      <c r="K145">
        <v>440248.67489999998</v>
      </c>
      <c r="L145">
        <v>1827355.1909</v>
      </c>
      <c r="M145" t="s">
        <v>56</v>
      </c>
      <c r="N145" t="s">
        <v>57</v>
      </c>
      <c r="O145">
        <v>450</v>
      </c>
      <c r="P145" t="s">
        <v>3891</v>
      </c>
      <c r="Q145" t="s">
        <v>3892</v>
      </c>
      <c r="R145" t="s">
        <v>3352</v>
      </c>
      <c r="S145" s="1" t="s">
        <v>3365</v>
      </c>
      <c r="T145" t="s">
        <v>3369</v>
      </c>
      <c r="U145">
        <v>-0.17960000000000001</v>
      </c>
      <c r="V145">
        <v>-0.17960000000000001</v>
      </c>
      <c r="W145" t="s">
        <v>52</v>
      </c>
      <c r="X145">
        <v>0.90280000000000005</v>
      </c>
      <c r="Y145">
        <v>0.93369999999999997</v>
      </c>
      <c r="Z145">
        <v>0.93369999999999997</v>
      </c>
      <c r="AA145">
        <v>0.90280000000000005</v>
      </c>
      <c r="AB145">
        <v>19.946000000000002</v>
      </c>
      <c r="AC145">
        <v>19.946100000000001</v>
      </c>
      <c r="AD145">
        <v>18.748100000000001</v>
      </c>
      <c r="AE145">
        <v>18.748200000000001</v>
      </c>
      <c r="AF145" t="s">
        <v>67</v>
      </c>
      <c r="AG145" t="s">
        <v>67</v>
      </c>
      <c r="AH145" t="s">
        <v>3894</v>
      </c>
      <c r="AI145" t="s">
        <v>3894</v>
      </c>
      <c r="AJ145" t="s">
        <v>3895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3896</v>
      </c>
      <c r="AT145" t="s">
        <v>3890</v>
      </c>
      <c r="AU145" t="s">
        <v>3897</v>
      </c>
      <c r="AV145" t="s">
        <v>3898</v>
      </c>
      <c r="AW145">
        <v>2</v>
      </c>
      <c r="AX145">
        <v>0</v>
      </c>
    </row>
    <row r="146" spans="1:50" x14ac:dyDescent="0.25">
      <c r="A146" t="s">
        <v>4120</v>
      </c>
      <c r="B146" t="s">
        <v>3889</v>
      </c>
      <c r="C146" t="s">
        <v>3890</v>
      </c>
      <c r="D146">
        <v>31.314</v>
      </c>
      <c r="E146">
        <v>31.254000000000001</v>
      </c>
      <c r="F146" s="2">
        <v>3.0000000000000001E-3</v>
      </c>
      <c r="G146" t="s">
        <v>3335</v>
      </c>
      <c r="H146" t="s">
        <v>3337</v>
      </c>
      <c r="I146">
        <v>440192.77490000002</v>
      </c>
      <c r="J146">
        <v>1827334.4693</v>
      </c>
      <c r="K146">
        <v>440192.77490000002</v>
      </c>
      <c r="L146">
        <v>1827354.4693</v>
      </c>
      <c r="M146" t="s">
        <v>56</v>
      </c>
      <c r="N146" t="s">
        <v>57</v>
      </c>
      <c r="O146">
        <v>450</v>
      </c>
      <c r="P146" t="s">
        <v>3891</v>
      </c>
      <c r="Q146" t="s">
        <v>3892</v>
      </c>
      <c r="R146" t="s">
        <v>3327</v>
      </c>
      <c r="S146" t="s">
        <v>3315</v>
      </c>
      <c r="T146" t="s">
        <v>3319</v>
      </c>
      <c r="U146">
        <v>0</v>
      </c>
      <c r="V146">
        <v>0</v>
      </c>
      <c r="W146" t="s">
        <v>52</v>
      </c>
      <c r="X146">
        <v>0.89859999999999995</v>
      </c>
      <c r="Y146">
        <v>0.90159999999999996</v>
      </c>
      <c r="Z146">
        <v>0.90159999999999996</v>
      </c>
      <c r="AA146">
        <v>0.89859999999999995</v>
      </c>
      <c r="AB146">
        <v>20</v>
      </c>
      <c r="AC146">
        <v>20.0001</v>
      </c>
      <c r="AD146">
        <v>18.802099999999999</v>
      </c>
      <c r="AE146">
        <v>18.802199999999999</v>
      </c>
      <c r="AF146" t="s">
        <v>3973</v>
      </c>
      <c r="AG146" t="s">
        <v>3973</v>
      </c>
      <c r="AH146" t="s">
        <v>3894</v>
      </c>
      <c r="AI146" t="s">
        <v>3894</v>
      </c>
      <c r="AJ146" t="s">
        <v>3895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3896</v>
      </c>
      <c r="AT146" t="s">
        <v>3890</v>
      </c>
      <c r="AU146" t="s">
        <v>3897</v>
      </c>
      <c r="AV146" t="s">
        <v>3898</v>
      </c>
      <c r="AW146">
        <v>2</v>
      </c>
      <c r="AX146">
        <v>0</v>
      </c>
    </row>
    <row r="147" spans="1:50" x14ac:dyDescent="0.25">
      <c r="A147" t="s">
        <v>4121</v>
      </c>
      <c r="B147" t="s">
        <v>3889</v>
      </c>
      <c r="C147" t="s">
        <v>3890</v>
      </c>
      <c r="D147">
        <v>32.707999999999998</v>
      </c>
      <c r="E147">
        <v>32.648000000000003</v>
      </c>
      <c r="F147" s="2">
        <v>3.0000000000000001E-3</v>
      </c>
      <c r="G147" t="s">
        <v>1981</v>
      </c>
      <c r="H147" t="s">
        <v>1984</v>
      </c>
      <c r="I147">
        <v>440132.7745</v>
      </c>
      <c r="J147">
        <v>1828082.8171999999</v>
      </c>
      <c r="K147">
        <v>440132.7745</v>
      </c>
      <c r="L147">
        <v>1828062.8171999999</v>
      </c>
      <c r="M147" t="s">
        <v>56</v>
      </c>
      <c r="N147" t="s">
        <v>57</v>
      </c>
      <c r="O147">
        <v>450</v>
      </c>
      <c r="P147" t="s">
        <v>3891</v>
      </c>
      <c r="Q147" t="s">
        <v>3892</v>
      </c>
      <c r="R147" t="s">
        <v>1968</v>
      </c>
      <c r="S147" t="s">
        <v>432</v>
      </c>
      <c r="T147" t="s">
        <v>428</v>
      </c>
      <c r="U147">
        <v>-3.2300000000000002E-2</v>
      </c>
      <c r="V147">
        <v>-4.1399999999999999E-2</v>
      </c>
      <c r="W147" t="s">
        <v>52</v>
      </c>
      <c r="X147">
        <v>0.88190000000000002</v>
      </c>
      <c r="Y147">
        <v>0.94340000000000002</v>
      </c>
      <c r="Z147">
        <v>0.94340000000000002</v>
      </c>
      <c r="AA147">
        <v>0.88190000000000002</v>
      </c>
      <c r="AB147">
        <v>20</v>
      </c>
      <c r="AC147">
        <v>20.0001</v>
      </c>
      <c r="AD147">
        <v>18.802099999999999</v>
      </c>
      <c r="AE147">
        <v>18.802199999999999</v>
      </c>
      <c r="AF147" t="s">
        <v>2233</v>
      </c>
      <c r="AG147" t="s">
        <v>2233</v>
      </c>
      <c r="AH147" t="s">
        <v>3894</v>
      </c>
      <c r="AI147" t="s">
        <v>3894</v>
      </c>
      <c r="AJ147" t="s">
        <v>3895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3896</v>
      </c>
      <c r="AT147" t="s">
        <v>3890</v>
      </c>
      <c r="AU147" t="s">
        <v>3897</v>
      </c>
      <c r="AV147" t="s">
        <v>3898</v>
      </c>
      <c r="AW147">
        <v>2</v>
      </c>
      <c r="AX147">
        <v>0</v>
      </c>
    </row>
    <row r="148" spans="1:50" x14ac:dyDescent="0.25">
      <c r="A148" t="s">
        <v>4122</v>
      </c>
      <c r="B148" t="s">
        <v>3889</v>
      </c>
      <c r="C148" t="s">
        <v>3890</v>
      </c>
      <c r="D148">
        <v>32.465000000000003</v>
      </c>
      <c r="E148">
        <v>32.405000000000001</v>
      </c>
      <c r="F148" s="2">
        <v>3.0000000000000001E-3</v>
      </c>
      <c r="G148" t="s">
        <v>1987</v>
      </c>
      <c r="H148" t="s">
        <v>1990</v>
      </c>
      <c r="I148">
        <v>440132.7745</v>
      </c>
      <c r="J148">
        <v>1828042.8171999999</v>
      </c>
      <c r="K148">
        <v>440132.7745</v>
      </c>
      <c r="L148">
        <v>1828022.8171999999</v>
      </c>
      <c r="M148" t="s">
        <v>56</v>
      </c>
      <c r="N148" t="s">
        <v>57</v>
      </c>
      <c r="O148">
        <v>450</v>
      </c>
      <c r="P148" t="s">
        <v>3891</v>
      </c>
      <c r="Q148" t="s">
        <v>3892</v>
      </c>
      <c r="R148" t="s">
        <v>1968</v>
      </c>
      <c r="S148" t="s">
        <v>424</v>
      </c>
      <c r="T148" t="s">
        <v>420</v>
      </c>
      <c r="U148">
        <v>-5.0500000000000003E-2</v>
      </c>
      <c r="V148">
        <v>-5.96E-2</v>
      </c>
      <c r="W148" t="s">
        <v>52</v>
      </c>
      <c r="X148">
        <v>0.88190000000000002</v>
      </c>
      <c r="Y148">
        <v>0.94340000000000002</v>
      </c>
      <c r="Z148">
        <v>0.94340000000000002</v>
      </c>
      <c r="AA148">
        <v>0.88190000000000002</v>
      </c>
      <c r="AB148">
        <v>20</v>
      </c>
      <c r="AC148">
        <v>20.0001</v>
      </c>
      <c r="AD148">
        <v>18.802099999999999</v>
      </c>
      <c r="AE148">
        <v>18.802199999999999</v>
      </c>
      <c r="AF148" t="s">
        <v>2233</v>
      </c>
      <c r="AG148" t="s">
        <v>2233</v>
      </c>
      <c r="AH148" t="s">
        <v>3894</v>
      </c>
      <c r="AI148" t="s">
        <v>3894</v>
      </c>
      <c r="AJ148" t="s">
        <v>3895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3896</v>
      </c>
      <c r="AT148" t="s">
        <v>3890</v>
      </c>
      <c r="AU148" t="s">
        <v>3897</v>
      </c>
      <c r="AV148" t="s">
        <v>3898</v>
      </c>
      <c r="AW148">
        <v>2</v>
      </c>
      <c r="AX148">
        <v>0</v>
      </c>
    </row>
    <row r="149" spans="1:50" x14ac:dyDescent="0.25">
      <c r="A149" t="s">
        <v>4123</v>
      </c>
      <c r="B149" t="s">
        <v>3889</v>
      </c>
      <c r="C149" t="s">
        <v>3890</v>
      </c>
      <c r="D149">
        <v>29.981000000000002</v>
      </c>
      <c r="E149">
        <v>29.920999999999999</v>
      </c>
      <c r="F149" s="2">
        <v>3.0000000000000001E-3</v>
      </c>
      <c r="G149" t="s">
        <v>910</v>
      </c>
      <c r="H149" t="s">
        <v>913</v>
      </c>
      <c r="I149">
        <v>440323.97489999997</v>
      </c>
      <c r="J149">
        <v>1827459.4838</v>
      </c>
      <c r="K149">
        <v>440323.97489999997</v>
      </c>
      <c r="L149">
        <v>1827479.4838</v>
      </c>
      <c r="M149" t="s">
        <v>56</v>
      </c>
      <c r="N149" t="s">
        <v>57</v>
      </c>
      <c r="O149">
        <v>450</v>
      </c>
      <c r="P149" t="s">
        <v>3891</v>
      </c>
      <c r="Q149" t="s">
        <v>3892</v>
      </c>
      <c r="R149" t="s">
        <v>372</v>
      </c>
      <c r="S149" t="s">
        <v>444</v>
      </c>
      <c r="T149" t="s">
        <v>448</v>
      </c>
      <c r="U149">
        <v>-0.15</v>
      </c>
      <c r="V149">
        <v>-0.15</v>
      </c>
      <c r="W149" t="s">
        <v>52</v>
      </c>
      <c r="X149">
        <v>0.88249999999999995</v>
      </c>
      <c r="Y149">
        <v>0.91869999999999996</v>
      </c>
      <c r="Z149">
        <v>0.91869999999999996</v>
      </c>
      <c r="AA149">
        <v>0.88249999999999995</v>
      </c>
      <c r="AB149">
        <v>20</v>
      </c>
      <c r="AC149">
        <v>20.0001</v>
      </c>
      <c r="AD149">
        <v>18.802099999999999</v>
      </c>
      <c r="AE149">
        <v>18.802199999999999</v>
      </c>
      <c r="AF149" t="s">
        <v>67</v>
      </c>
      <c r="AG149" t="s">
        <v>67</v>
      </c>
      <c r="AH149" t="s">
        <v>3894</v>
      </c>
      <c r="AI149" t="s">
        <v>3894</v>
      </c>
      <c r="AJ149" t="s">
        <v>3895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3896</v>
      </c>
      <c r="AT149" t="s">
        <v>3890</v>
      </c>
      <c r="AU149" t="s">
        <v>3897</v>
      </c>
      <c r="AV149" t="s">
        <v>3898</v>
      </c>
      <c r="AW149">
        <v>2</v>
      </c>
      <c r="AX149">
        <v>0</v>
      </c>
    </row>
    <row r="150" spans="1:50" x14ac:dyDescent="0.25">
      <c r="A150" t="s">
        <v>4124</v>
      </c>
      <c r="B150" t="s">
        <v>3889</v>
      </c>
      <c r="C150" t="s">
        <v>3890</v>
      </c>
      <c r="D150">
        <v>32.484999999999999</v>
      </c>
      <c r="E150">
        <v>32.424999999999997</v>
      </c>
      <c r="F150" s="2">
        <v>3.0000000000000001E-3</v>
      </c>
      <c r="G150" t="s">
        <v>620</v>
      </c>
      <c r="H150" t="s">
        <v>623</v>
      </c>
      <c r="I150">
        <v>440030.47519999999</v>
      </c>
      <c r="J150">
        <v>1827297.2726</v>
      </c>
      <c r="K150">
        <v>440030.47519999999</v>
      </c>
      <c r="L150">
        <v>1827317.2726</v>
      </c>
      <c r="M150" t="s">
        <v>56</v>
      </c>
      <c r="N150" t="s">
        <v>57</v>
      </c>
      <c r="O150">
        <v>450</v>
      </c>
      <c r="P150" t="s">
        <v>3891</v>
      </c>
      <c r="Q150" t="s">
        <v>3892</v>
      </c>
      <c r="R150" t="s">
        <v>617</v>
      </c>
      <c r="S150" t="s">
        <v>622</v>
      </c>
      <c r="T150" t="s">
        <v>625</v>
      </c>
      <c r="U150">
        <v>-0.15</v>
      </c>
      <c r="V150">
        <v>-0.15</v>
      </c>
      <c r="W150" t="s">
        <v>52</v>
      </c>
      <c r="X150">
        <v>0.89280000000000004</v>
      </c>
      <c r="Y150">
        <v>0.90280000000000005</v>
      </c>
      <c r="Z150">
        <v>0.90280000000000005</v>
      </c>
      <c r="AA150">
        <v>0.89280000000000004</v>
      </c>
      <c r="AB150">
        <v>20</v>
      </c>
      <c r="AC150">
        <v>20.0001</v>
      </c>
      <c r="AD150">
        <v>18.802099999999999</v>
      </c>
      <c r="AE150">
        <v>18.802199999999999</v>
      </c>
      <c r="AF150" t="s">
        <v>4102</v>
      </c>
      <c r="AG150" t="s">
        <v>4102</v>
      </c>
      <c r="AH150" t="s">
        <v>3894</v>
      </c>
      <c r="AI150" t="s">
        <v>3894</v>
      </c>
      <c r="AJ150" t="s">
        <v>3895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3896</v>
      </c>
      <c r="AT150" t="s">
        <v>3890</v>
      </c>
      <c r="AU150" t="s">
        <v>3897</v>
      </c>
      <c r="AV150" t="s">
        <v>3898</v>
      </c>
      <c r="AW150">
        <v>2</v>
      </c>
      <c r="AX150">
        <v>0</v>
      </c>
    </row>
    <row r="151" spans="1:50" x14ac:dyDescent="0.25">
      <c r="A151" t="s">
        <v>616</v>
      </c>
      <c r="B151" t="s">
        <v>3889</v>
      </c>
      <c r="C151" t="s">
        <v>3890</v>
      </c>
      <c r="D151">
        <v>32.555</v>
      </c>
      <c r="E151">
        <v>32.494999999999997</v>
      </c>
      <c r="F151" s="2">
        <v>3.0000000000000001E-3</v>
      </c>
      <c r="G151" t="s">
        <v>615</v>
      </c>
      <c r="H151" t="s">
        <v>620</v>
      </c>
      <c r="I151">
        <v>440030.47519999999</v>
      </c>
      <c r="J151">
        <v>1827277.2726</v>
      </c>
      <c r="K151">
        <v>440030.47519999999</v>
      </c>
      <c r="L151">
        <v>1827297.2726</v>
      </c>
      <c r="M151" t="s">
        <v>56</v>
      </c>
      <c r="N151" t="s">
        <v>57</v>
      </c>
      <c r="O151">
        <v>450</v>
      </c>
      <c r="P151" t="s">
        <v>3891</v>
      </c>
      <c r="Q151" t="s">
        <v>3892</v>
      </c>
      <c r="R151" t="s">
        <v>617</v>
      </c>
      <c r="S151" t="s">
        <v>618</v>
      </c>
      <c r="T151" t="s">
        <v>622</v>
      </c>
      <c r="U151">
        <v>-0.15</v>
      </c>
      <c r="V151">
        <v>-0.15</v>
      </c>
      <c r="W151" t="s">
        <v>52</v>
      </c>
      <c r="X151">
        <v>0.89280000000000004</v>
      </c>
      <c r="Y151">
        <v>0.90280000000000005</v>
      </c>
      <c r="Z151">
        <v>0.90280000000000005</v>
      </c>
      <c r="AA151">
        <v>0.89280000000000004</v>
      </c>
      <c r="AB151">
        <v>20</v>
      </c>
      <c r="AC151">
        <v>20.0001</v>
      </c>
      <c r="AD151">
        <v>18.802099999999999</v>
      </c>
      <c r="AE151">
        <v>18.802199999999999</v>
      </c>
      <c r="AF151" t="s">
        <v>4102</v>
      </c>
      <c r="AG151" t="s">
        <v>4102</v>
      </c>
      <c r="AH151" t="s">
        <v>3894</v>
      </c>
      <c r="AI151" t="s">
        <v>3894</v>
      </c>
      <c r="AJ151" t="s">
        <v>3895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3896</v>
      </c>
      <c r="AT151" t="s">
        <v>3890</v>
      </c>
      <c r="AU151" t="s">
        <v>3897</v>
      </c>
      <c r="AV151" t="s">
        <v>3898</v>
      </c>
      <c r="AW151">
        <v>2</v>
      </c>
      <c r="AX151">
        <v>0</v>
      </c>
    </row>
    <row r="152" spans="1:50" x14ac:dyDescent="0.25">
      <c r="A152" t="s">
        <v>4125</v>
      </c>
      <c r="B152" t="s">
        <v>3889</v>
      </c>
      <c r="C152" t="s">
        <v>3890</v>
      </c>
      <c r="D152">
        <v>31.696000000000002</v>
      </c>
      <c r="E152">
        <v>31.637</v>
      </c>
      <c r="F152" s="2">
        <v>3.0000000000000001E-3</v>
      </c>
      <c r="G152" t="s">
        <v>650</v>
      </c>
      <c r="H152" t="s">
        <v>652</v>
      </c>
      <c r="I152">
        <v>440031.87520000001</v>
      </c>
      <c r="J152">
        <v>1827460.9838</v>
      </c>
      <c r="K152">
        <v>440031.87520000001</v>
      </c>
      <c r="L152">
        <v>1827480.9838</v>
      </c>
      <c r="M152" t="s">
        <v>56</v>
      </c>
      <c r="N152" t="s">
        <v>57</v>
      </c>
      <c r="O152">
        <v>450</v>
      </c>
      <c r="P152" t="s">
        <v>3891</v>
      </c>
      <c r="Q152" t="s">
        <v>3892</v>
      </c>
      <c r="R152" t="s">
        <v>645</v>
      </c>
      <c r="S152" t="s">
        <v>440</v>
      </c>
      <c r="T152" t="s">
        <v>444</v>
      </c>
      <c r="U152">
        <v>2.8500000000000001E-2</v>
      </c>
      <c r="V152">
        <v>2.8500000000000001E-2</v>
      </c>
      <c r="W152" t="s">
        <v>52</v>
      </c>
      <c r="X152">
        <v>0.88160000000000005</v>
      </c>
      <c r="Y152">
        <v>0.9738</v>
      </c>
      <c r="Z152">
        <v>0.9738</v>
      </c>
      <c r="AA152">
        <v>0.88160000000000005</v>
      </c>
      <c r="AB152">
        <v>20</v>
      </c>
      <c r="AC152">
        <v>20.0001</v>
      </c>
      <c r="AD152">
        <v>18.802099999999999</v>
      </c>
      <c r="AE152">
        <v>18.802099999999999</v>
      </c>
      <c r="AF152" t="s">
        <v>67</v>
      </c>
      <c r="AG152" t="s">
        <v>67</v>
      </c>
      <c r="AH152" t="s">
        <v>3894</v>
      </c>
      <c r="AI152" t="s">
        <v>3894</v>
      </c>
      <c r="AJ152" t="s">
        <v>3895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3896</v>
      </c>
      <c r="AT152" t="s">
        <v>3890</v>
      </c>
      <c r="AU152" t="s">
        <v>3897</v>
      </c>
      <c r="AV152" t="s">
        <v>3898</v>
      </c>
      <c r="AW152">
        <v>2</v>
      </c>
      <c r="AX152">
        <v>0</v>
      </c>
    </row>
    <row r="153" spans="1:50" x14ac:dyDescent="0.25">
      <c r="A153" t="s">
        <v>4126</v>
      </c>
      <c r="B153" t="s">
        <v>3889</v>
      </c>
      <c r="C153" t="s">
        <v>3890</v>
      </c>
      <c r="D153">
        <v>31.847999999999999</v>
      </c>
      <c r="E153">
        <v>31.788</v>
      </c>
      <c r="F153" s="2">
        <v>3.0000000000000001E-3</v>
      </c>
      <c r="G153" t="s">
        <v>648</v>
      </c>
      <c r="H153" t="s">
        <v>650</v>
      </c>
      <c r="I153">
        <v>440031.87520000001</v>
      </c>
      <c r="J153">
        <v>1827440.9838</v>
      </c>
      <c r="K153">
        <v>440031.87520000001</v>
      </c>
      <c r="L153">
        <v>1827460.9838</v>
      </c>
      <c r="M153" t="s">
        <v>56</v>
      </c>
      <c r="N153" t="s">
        <v>57</v>
      </c>
      <c r="O153">
        <v>450</v>
      </c>
      <c r="P153" t="s">
        <v>3891</v>
      </c>
      <c r="Q153" t="s">
        <v>3892</v>
      </c>
      <c r="R153" t="s">
        <v>645</v>
      </c>
      <c r="S153" t="s">
        <v>597</v>
      </c>
      <c r="T153" s="1" t="s">
        <v>440</v>
      </c>
      <c r="U153">
        <v>2.8500000000000001E-2</v>
      </c>
      <c r="V153">
        <v>2.8500000000000001E-2</v>
      </c>
      <c r="W153" t="s">
        <v>52</v>
      </c>
      <c r="X153">
        <v>0.88180000000000003</v>
      </c>
      <c r="Y153">
        <v>0.97299999999999998</v>
      </c>
      <c r="Z153">
        <v>0.97299999999999998</v>
      </c>
      <c r="AA153">
        <v>0.88180000000000003</v>
      </c>
      <c r="AB153">
        <v>20</v>
      </c>
      <c r="AC153">
        <v>20.0001</v>
      </c>
      <c r="AD153">
        <v>18.802099999999999</v>
      </c>
      <c r="AE153">
        <v>18.802199999999999</v>
      </c>
      <c r="AF153" t="s">
        <v>67</v>
      </c>
      <c r="AG153" t="s">
        <v>67</v>
      </c>
      <c r="AH153" t="s">
        <v>3894</v>
      </c>
      <c r="AI153" t="s">
        <v>3894</v>
      </c>
      <c r="AJ153" t="s">
        <v>3895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3896</v>
      </c>
      <c r="AT153" t="s">
        <v>3890</v>
      </c>
      <c r="AU153" t="s">
        <v>3897</v>
      </c>
      <c r="AV153" t="s">
        <v>3898</v>
      </c>
      <c r="AW153">
        <v>2</v>
      </c>
      <c r="AX153">
        <v>0</v>
      </c>
    </row>
    <row r="154" spans="1:50" x14ac:dyDescent="0.25">
      <c r="A154" t="s">
        <v>4127</v>
      </c>
      <c r="B154" t="s">
        <v>3889</v>
      </c>
      <c r="C154" t="s">
        <v>3890</v>
      </c>
      <c r="D154">
        <v>32.204999999999998</v>
      </c>
      <c r="E154">
        <v>32.145000000000003</v>
      </c>
      <c r="F154" s="2">
        <v>3.0000000000000001E-3</v>
      </c>
      <c r="G154" t="s">
        <v>632</v>
      </c>
      <c r="H154" t="s">
        <v>635</v>
      </c>
      <c r="I154">
        <v>440030.47519999999</v>
      </c>
      <c r="J154">
        <v>1827377.2726</v>
      </c>
      <c r="K154">
        <v>440030.47519999999</v>
      </c>
      <c r="L154">
        <v>1827397.2726</v>
      </c>
      <c r="M154" t="s">
        <v>56</v>
      </c>
      <c r="N154" t="s">
        <v>57</v>
      </c>
      <c r="O154">
        <v>450</v>
      </c>
      <c r="P154" t="s">
        <v>3891</v>
      </c>
      <c r="Q154" t="s">
        <v>3892</v>
      </c>
      <c r="R154" t="s">
        <v>617</v>
      </c>
      <c r="S154" t="s">
        <v>634</v>
      </c>
      <c r="T154" t="s">
        <v>637</v>
      </c>
      <c r="U154">
        <v>-0.15</v>
      </c>
      <c r="V154">
        <v>-0.15</v>
      </c>
      <c r="W154" t="s">
        <v>52</v>
      </c>
      <c r="X154">
        <v>0.89280000000000004</v>
      </c>
      <c r="Y154">
        <v>0.90280000000000005</v>
      </c>
      <c r="Z154">
        <v>0.90280000000000005</v>
      </c>
      <c r="AA154">
        <v>0.89280000000000004</v>
      </c>
      <c r="AB154">
        <v>20</v>
      </c>
      <c r="AC154">
        <v>20.0001</v>
      </c>
      <c r="AD154">
        <v>18.802099999999999</v>
      </c>
      <c r="AE154">
        <v>18.802199999999999</v>
      </c>
      <c r="AF154" t="s">
        <v>4102</v>
      </c>
      <c r="AG154" t="s">
        <v>4102</v>
      </c>
      <c r="AH154" t="s">
        <v>3894</v>
      </c>
      <c r="AI154" t="s">
        <v>3894</v>
      </c>
      <c r="AJ154" t="s">
        <v>3895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3896</v>
      </c>
      <c r="AT154" t="s">
        <v>3890</v>
      </c>
      <c r="AU154" t="s">
        <v>3897</v>
      </c>
      <c r="AV154" t="s">
        <v>3898</v>
      </c>
      <c r="AW154">
        <v>2</v>
      </c>
      <c r="AX154">
        <v>0</v>
      </c>
    </row>
    <row r="155" spans="1:50" x14ac:dyDescent="0.25">
      <c r="A155" t="s">
        <v>4128</v>
      </c>
      <c r="B155" t="s">
        <v>3924</v>
      </c>
      <c r="C155" t="s">
        <v>3890</v>
      </c>
      <c r="D155">
        <v>32.475000000000001</v>
      </c>
      <c r="E155">
        <v>32.414999999999999</v>
      </c>
      <c r="F155" s="2">
        <v>3.0000000000000001E-3</v>
      </c>
      <c r="G155" t="s">
        <v>492</v>
      </c>
      <c r="H155" t="s">
        <v>498</v>
      </c>
      <c r="I155">
        <v>439929.32520000002</v>
      </c>
      <c r="J155">
        <v>1827459.4839000001</v>
      </c>
      <c r="K155">
        <v>439929.32520000002</v>
      </c>
      <c r="L155">
        <v>1827479.4839000001</v>
      </c>
      <c r="M155" t="s">
        <v>56</v>
      </c>
      <c r="N155" t="s">
        <v>57</v>
      </c>
      <c r="O155">
        <v>750</v>
      </c>
      <c r="P155" t="s">
        <v>3891</v>
      </c>
      <c r="Q155" t="s">
        <v>3892</v>
      </c>
      <c r="R155" t="s">
        <v>320</v>
      </c>
      <c r="S155" s="1" t="s">
        <v>444</v>
      </c>
      <c r="T155" t="s">
        <v>448</v>
      </c>
      <c r="U155">
        <v>-0.20480000000000001</v>
      </c>
      <c r="V155">
        <v>-0.20480000000000001</v>
      </c>
      <c r="W155" t="s">
        <v>52</v>
      </c>
      <c r="X155">
        <v>0.87919999999999998</v>
      </c>
      <c r="Y155">
        <v>0.99829999999999997</v>
      </c>
      <c r="Z155">
        <v>0.99829999999999997</v>
      </c>
      <c r="AA155">
        <v>0.87919999999999998</v>
      </c>
      <c r="AB155">
        <v>20</v>
      </c>
      <c r="AC155">
        <v>20.0001</v>
      </c>
      <c r="AD155">
        <v>18.803000000000001</v>
      </c>
      <c r="AE155">
        <v>18.803100000000001</v>
      </c>
      <c r="AF155" t="s">
        <v>67</v>
      </c>
      <c r="AG155" t="s">
        <v>67</v>
      </c>
      <c r="AH155" t="s">
        <v>3894</v>
      </c>
      <c r="AI155" t="s">
        <v>3894</v>
      </c>
      <c r="AJ155" t="s">
        <v>3895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3896</v>
      </c>
      <c r="AT155" t="s">
        <v>3890</v>
      </c>
      <c r="AU155" t="s">
        <v>3926</v>
      </c>
      <c r="AV155" t="s">
        <v>3898</v>
      </c>
      <c r="AW155">
        <v>2</v>
      </c>
      <c r="AX155">
        <v>0</v>
      </c>
    </row>
    <row r="156" spans="1:50" x14ac:dyDescent="0.25">
      <c r="A156" t="s">
        <v>4129</v>
      </c>
      <c r="B156" t="s">
        <v>3924</v>
      </c>
      <c r="C156" t="s">
        <v>3890</v>
      </c>
      <c r="D156">
        <v>32.654000000000003</v>
      </c>
      <c r="E156">
        <v>32.594000000000001</v>
      </c>
      <c r="F156" s="2">
        <v>3.0000000000000001E-3</v>
      </c>
      <c r="G156" t="s">
        <v>484</v>
      </c>
      <c r="H156" t="s">
        <v>492</v>
      </c>
      <c r="I156">
        <v>439929.32520000002</v>
      </c>
      <c r="J156">
        <v>1827439.4839000001</v>
      </c>
      <c r="K156">
        <v>439929.32520000002</v>
      </c>
      <c r="L156">
        <v>1827459.4839000001</v>
      </c>
      <c r="M156" t="s">
        <v>56</v>
      </c>
      <c r="N156" t="s">
        <v>57</v>
      </c>
      <c r="O156">
        <v>750</v>
      </c>
      <c r="P156" t="s">
        <v>3891</v>
      </c>
      <c r="Q156" t="s">
        <v>3892</v>
      </c>
      <c r="R156" t="s">
        <v>320</v>
      </c>
      <c r="S156" t="s">
        <v>440</v>
      </c>
      <c r="T156" t="s">
        <v>444</v>
      </c>
      <c r="U156">
        <v>-0.20480000000000001</v>
      </c>
      <c r="V156">
        <v>-0.20480000000000001</v>
      </c>
      <c r="W156" t="s">
        <v>52</v>
      </c>
      <c r="X156">
        <v>0.87929999999999997</v>
      </c>
      <c r="Y156">
        <v>0.98299999999999998</v>
      </c>
      <c r="Z156">
        <v>0.98299999999999998</v>
      </c>
      <c r="AA156">
        <v>0.87929999999999997</v>
      </c>
      <c r="AB156">
        <v>20</v>
      </c>
      <c r="AC156">
        <v>20.0001</v>
      </c>
      <c r="AD156">
        <v>18.803000000000001</v>
      </c>
      <c r="AE156">
        <v>18.803100000000001</v>
      </c>
      <c r="AF156" t="s">
        <v>67</v>
      </c>
      <c r="AG156" t="s">
        <v>67</v>
      </c>
      <c r="AH156" t="s">
        <v>3894</v>
      </c>
      <c r="AI156" t="s">
        <v>3894</v>
      </c>
      <c r="AJ156" t="s">
        <v>3895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3896</v>
      </c>
      <c r="AT156" t="s">
        <v>3890</v>
      </c>
      <c r="AU156" t="s">
        <v>3926</v>
      </c>
      <c r="AV156" t="s">
        <v>3898</v>
      </c>
      <c r="AW156">
        <v>2</v>
      </c>
      <c r="AX156">
        <v>0</v>
      </c>
    </row>
    <row r="157" spans="1:50" x14ac:dyDescent="0.25">
      <c r="A157" t="s">
        <v>4130</v>
      </c>
      <c r="B157" t="s">
        <v>3889</v>
      </c>
      <c r="C157" t="s">
        <v>3890</v>
      </c>
      <c r="D157">
        <v>31.218</v>
      </c>
      <c r="E157">
        <v>31.158000000000001</v>
      </c>
      <c r="F157" s="2">
        <v>3.0000000000000001E-3</v>
      </c>
      <c r="G157" t="s">
        <v>717</v>
      </c>
      <c r="H157" t="s">
        <v>720</v>
      </c>
      <c r="I157">
        <v>440117.47499999998</v>
      </c>
      <c r="J157">
        <v>1827459.4831999999</v>
      </c>
      <c r="K157">
        <v>440117.47499999998</v>
      </c>
      <c r="L157">
        <v>1827479.4831999999</v>
      </c>
      <c r="M157" t="s">
        <v>56</v>
      </c>
      <c r="N157" t="s">
        <v>57</v>
      </c>
      <c r="O157">
        <v>450</v>
      </c>
      <c r="P157" t="s">
        <v>3891</v>
      </c>
      <c r="Q157" t="s">
        <v>3892</v>
      </c>
      <c r="R157" t="s">
        <v>715</v>
      </c>
      <c r="S157" t="s">
        <v>444</v>
      </c>
      <c r="T157" t="s">
        <v>448</v>
      </c>
      <c r="U157">
        <v>0.1923</v>
      </c>
      <c r="V157">
        <v>0.1923</v>
      </c>
      <c r="W157" t="s">
        <v>52</v>
      </c>
      <c r="X157">
        <v>0.88190000000000002</v>
      </c>
      <c r="Y157">
        <v>0.92369999999999997</v>
      </c>
      <c r="Z157">
        <v>0.92369999999999997</v>
      </c>
      <c r="AA157">
        <v>0.88190000000000002</v>
      </c>
      <c r="AB157">
        <v>20.0001</v>
      </c>
      <c r="AC157">
        <v>20.0002</v>
      </c>
      <c r="AD157">
        <v>18.802099999999999</v>
      </c>
      <c r="AE157">
        <v>18.802199999999999</v>
      </c>
      <c r="AF157" t="s">
        <v>67</v>
      </c>
      <c r="AG157" t="s">
        <v>67</v>
      </c>
      <c r="AH157" t="s">
        <v>3894</v>
      </c>
      <c r="AI157" t="s">
        <v>3894</v>
      </c>
      <c r="AJ157" t="s">
        <v>3895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3896</v>
      </c>
      <c r="AT157" t="s">
        <v>3890</v>
      </c>
      <c r="AU157" t="s">
        <v>3897</v>
      </c>
      <c r="AV157" t="s">
        <v>3898</v>
      </c>
      <c r="AW157">
        <v>2</v>
      </c>
      <c r="AX157">
        <v>0</v>
      </c>
    </row>
    <row r="158" spans="1:50" x14ac:dyDescent="0.25">
      <c r="A158" t="s">
        <v>4131</v>
      </c>
      <c r="B158" t="s">
        <v>3889</v>
      </c>
      <c r="C158" t="s">
        <v>3890</v>
      </c>
      <c r="D158">
        <v>31.213000000000001</v>
      </c>
      <c r="E158">
        <v>31.152999999999999</v>
      </c>
      <c r="F158" s="2">
        <v>3.0000000000000001E-3</v>
      </c>
      <c r="G158" t="s">
        <v>858</v>
      </c>
      <c r="H158" t="s">
        <v>860</v>
      </c>
      <c r="I158">
        <v>440150.42509999999</v>
      </c>
      <c r="J158">
        <v>1827415.4986</v>
      </c>
      <c r="K158">
        <v>440170.42509999999</v>
      </c>
      <c r="L158">
        <v>1827415.4986</v>
      </c>
      <c r="M158" t="s">
        <v>56</v>
      </c>
      <c r="N158" t="s">
        <v>57</v>
      </c>
      <c r="O158">
        <v>450</v>
      </c>
      <c r="P158" t="s">
        <v>3891</v>
      </c>
      <c r="Q158" t="s">
        <v>3892</v>
      </c>
      <c r="R158" t="s">
        <v>85</v>
      </c>
      <c r="S158" t="s">
        <v>824</v>
      </c>
      <c r="T158" s="1" t="s">
        <v>832</v>
      </c>
      <c r="U158">
        <v>-0.1237</v>
      </c>
      <c r="V158">
        <v>-0.1215</v>
      </c>
      <c r="W158" t="s">
        <v>52</v>
      </c>
      <c r="X158">
        <v>0.88190000000000002</v>
      </c>
      <c r="Y158">
        <v>0.94930000000000003</v>
      </c>
      <c r="Z158">
        <v>0.94930000000000003</v>
      </c>
      <c r="AA158">
        <v>0.88190000000000002</v>
      </c>
      <c r="AB158">
        <v>20</v>
      </c>
      <c r="AC158">
        <v>20.0001</v>
      </c>
      <c r="AD158">
        <v>18.802099999999999</v>
      </c>
      <c r="AE158">
        <v>18.802199999999999</v>
      </c>
      <c r="AF158" t="s">
        <v>2299</v>
      </c>
      <c r="AG158" t="s">
        <v>2299</v>
      </c>
      <c r="AH158" t="s">
        <v>3894</v>
      </c>
      <c r="AI158" t="s">
        <v>3894</v>
      </c>
      <c r="AJ158" t="s">
        <v>3895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3896</v>
      </c>
      <c r="AT158" t="s">
        <v>3890</v>
      </c>
      <c r="AU158" t="s">
        <v>3897</v>
      </c>
      <c r="AV158" t="s">
        <v>3898</v>
      </c>
      <c r="AW158">
        <v>2</v>
      </c>
      <c r="AX158">
        <v>0</v>
      </c>
    </row>
    <row r="159" spans="1:50" x14ac:dyDescent="0.25">
      <c r="A159" t="s">
        <v>4132</v>
      </c>
      <c r="B159" t="s">
        <v>3924</v>
      </c>
      <c r="C159" t="s">
        <v>3890</v>
      </c>
      <c r="D159">
        <v>31.696000000000002</v>
      </c>
      <c r="E159">
        <v>31.637</v>
      </c>
      <c r="F159" s="2">
        <v>3.0000000000000001E-3</v>
      </c>
      <c r="G159" t="s">
        <v>599</v>
      </c>
      <c r="H159" t="s">
        <v>602</v>
      </c>
      <c r="I159">
        <v>440020.9252</v>
      </c>
      <c r="J159">
        <v>1827460.9838</v>
      </c>
      <c r="K159">
        <v>440020.9252</v>
      </c>
      <c r="L159">
        <v>1827480.9838</v>
      </c>
      <c r="M159" t="s">
        <v>56</v>
      </c>
      <c r="N159" t="s">
        <v>57</v>
      </c>
      <c r="O159">
        <v>750</v>
      </c>
      <c r="P159" t="s">
        <v>3891</v>
      </c>
      <c r="Q159" t="s">
        <v>3892</v>
      </c>
      <c r="R159" t="s">
        <v>596</v>
      </c>
      <c r="S159" t="s">
        <v>440</v>
      </c>
      <c r="T159" t="s">
        <v>444</v>
      </c>
      <c r="U159">
        <v>0</v>
      </c>
      <c r="V159">
        <v>0</v>
      </c>
      <c r="W159" t="s">
        <v>52</v>
      </c>
      <c r="X159">
        <v>0.87860000000000005</v>
      </c>
      <c r="Y159">
        <v>0.9708</v>
      </c>
      <c r="Z159">
        <v>0.9708</v>
      </c>
      <c r="AA159">
        <v>0.87860000000000005</v>
      </c>
      <c r="AB159">
        <v>20</v>
      </c>
      <c r="AC159">
        <v>20.0001</v>
      </c>
      <c r="AD159">
        <v>18.802900000000001</v>
      </c>
      <c r="AE159">
        <v>18.803000000000001</v>
      </c>
      <c r="AF159" t="s">
        <v>67</v>
      </c>
      <c r="AG159" t="s">
        <v>67</v>
      </c>
      <c r="AH159" t="s">
        <v>3894</v>
      </c>
      <c r="AI159" t="s">
        <v>3894</v>
      </c>
      <c r="AJ159" t="s">
        <v>3895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3896</v>
      </c>
      <c r="AT159" t="s">
        <v>3890</v>
      </c>
      <c r="AU159" t="s">
        <v>3926</v>
      </c>
      <c r="AV159" t="s">
        <v>3898</v>
      </c>
      <c r="AW159">
        <v>2</v>
      </c>
      <c r="AX159">
        <v>0</v>
      </c>
    </row>
    <row r="160" spans="1:50" x14ac:dyDescent="0.25">
      <c r="A160" t="s">
        <v>4133</v>
      </c>
      <c r="B160" t="s">
        <v>3924</v>
      </c>
      <c r="C160" t="s">
        <v>3890</v>
      </c>
      <c r="D160">
        <v>31.847999999999999</v>
      </c>
      <c r="E160">
        <v>31.788</v>
      </c>
      <c r="F160" s="2">
        <v>3.0000000000000001E-3</v>
      </c>
      <c r="G160" t="s">
        <v>594</v>
      </c>
      <c r="H160" t="s">
        <v>599</v>
      </c>
      <c r="I160">
        <v>440020.9252</v>
      </c>
      <c r="J160">
        <v>1827440.9838</v>
      </c>
      <c r="K160">
        <v>440020.9252</v>
      </c>
      <c r="L160">
        <v>1827460.9838</v>
      </c>
      <c r="M160" t="s">
        <v>56</v>
      </c>
      <c r="N160" t="s">
        <v>57</v>
      </c>
      <c r="O160">
        <v>750</v>
      </c>
      <c r="P160" t="s">
        <v>3891</v>
      </c>
      <c r="Q160" t="s">
        <v>3892</v>
      </c>
      <c r="R160" t="s">
        <v>596</v>
      </c>
      <c r="S160" t="s">
        <v>597</v>
      </c>
      <c r="T160" t="s">
        <v>440</v>
      </c>
      <c r="U160">
        <v>0</v>
      </c>
      <c r="V160">
        <v>0</v>
      </c>
      <c r="W160" t="s">
        <v>52</v>
      </c>
      <c r="X160">
        <v>0.87880000000000003</v>
      </c>
      <c r="Y160">
        <v>0.97</v>
      </c>
      <c r="Z160">
        <v>0.97</v>
      </c>
      <c r="AA160">
        <v>0.87880000000000003</v>
      </c>
      <c r="AB160">
        <v>20</v>
      </c>
      <c r="AC160">
        <v>20.0001</v>
      </c>
      <c r="AD160">
        <v>18.803000000000001</v>
      </c>
      <c r="AE160">
        <v>18.803100000000001</v>
      </c>
      <c r="AF160" t="s">
        <v>67</v>
      </c>
      <c r="AG160" t="s">
        <v>67</v>
      </c>
      <c r="AH160" t="s">
        <v>3894</v>
      </c>
      <c r="AI160" t="s">
        <v>3894</v>
      </c>
      <c r="AJ160" t="s">
        <v>3895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3896</v>
      </c>
      <c r="AT160" t="s">
        <v>3890</v>
      </c>
      <c r="AU160" t="s">
        <v>3926</v>
      </c>
      <c r="AV160" t="s">
        <v>3898</v>
      </c>
      <c r="AW160">
        <v>2</v>
      </c>
      <c r="AX160">
        <v>0</v>
      </c>
    </row>
    <row r="161" spans="1:50" x14ac:dyDescent="0.25">
      <c r="A161" t="s">
        <v>4134</v>
      </c>
      <c r="B161" t="s">
        <v>3889</v>
      </c>
      <c r="C161" t="s">
        <v>3890</v>
      </c>
      <c r="D161">
        <v>32.204999999999998</v>
      </c>
      <c r="E161">
        <v>32.145000000000003</v>
      </c>
      <c r="F161" s="2">
        <v>3.0000000000000001E-3</v>
      </c>
      <c r="G161" t="s">
        <v>554</v>
      </c>
      <c r="H161" t="s">
        <v>557</v>
      </c>
      <c r="I161">
        <v>440020.77519999997</v>
      </c>
      <c r="J161">
        <v>1827375.4184000001</v>
      </c>
      <c r="K161">
        <v>440020.77519999997</v>
      </c>
      <c r="L161">
        <v>1827395.4184000001</v>
      </c>
      <c r="M161" t="s">
        <v>56</v>
      </c>
      <c r="N161" t="s">
        <v>57</v>
      </c>
      <c r="O161">
        <v>450</v>
      </c>
      <c r="P161" t="s">
        <v>3891</v>
      </c>
      <c r="Q161" t="s">
        <v>3892</v>
      </c>
      <c r="R161" t="s">
        <v>536</v>
      </c>
      <c r="S161" t="s">
        <v>556</v>
      </c>
      <c r="T161" t="s">
        <v>559</v>
      </c>
      <c r="U161">
        <v>0.15</v>
      </c>
      <c r="V161">
        <v>0.15</v>
      </c>
      <c r="W161" t="s">
        <v>52</v>
      </c>
      <c r="X161">
        <v>0.89929999999999999</v>
      </c>
      <c r="Y161">
        <v>0.9093</v>
      </c>
      <c r="Z161">
        <v>0.9093</v>
      </c>
      <c r="AA161">
        <v>0.89929999999999999</v>
      </c>
      <c r="AB161">
        <v>20</v>
      </c>
      <c r="AC161">
        <v>20.0001</v>
      </c>
      <c r="AD161">
        <v>18.802099999999999</v>
      </c>
      <c r="AE161">
        <v>18.802199999999999</v>
      </c>
      <c r="AF161" t="s">
        <v>4102</v>
      </c>
      <c r="AG161" t="s">
        <v>4102</v>
      </c>
      <c r="AH161" t="s">
        <v>3894</v>
      </c>
      <c r="AI161" t="s">
        <v>3894</v>
      </c>
      <c r="AJ161" t="s">
        <v>3895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3896</v>
      </c>
      <c r="AT161" t="s">
        <v>3890</v>
      </c>
      <c r="AU161" t="s">
        <v>3897</v>
      </c>
      <c r="AV161" t="s">
        <v>3898</v>
      </c>
      <c r="AW161">
        <v>2</v>
      </c>
      <c r="AX161">
        <v>0</v>
      </c>
    </row>
    <row r="162" spans="1:50" x14ac:dyDescent="0.25">
      <c r="A162" t="s">
        <v>4135</v>
      </c>
      <c r="B162" t="s">
        <v>3963</v>
      </c>
      <c r="C162" t="s">
        <v>3890</v>
      </c>
      <c r="D162">
        <v>32.475000000000001</v>
      </c>
      <c r="E162">
        <v>32.414999999999999</v>
      </c>
      <c r="F162" s="2">
        <v>3.0000000000000001E-3</v>
      </c>
      <c r="G162" t="s">
        <v>442</v>
      </c>
      <c r="H162" t="s">
        <v>446</v>
      </c>
      <c r="I162">
        <v>439938.8002</v>
      </c>
      <c r="J162">
        <v>1827459.4839000001</v>
      </c>
      <c r="K162">
        <v>439938.8002</v>
      </c>
      <c r="L162">
        <v>1827479.4839000001</v>
      </c>
      <c r="M162" t="s">
        <v>56</v>
      </c>
      <c r="N162" t="s">
        <v>57</v>
      </c>
      <c r="O162">
        <v>600</v>
      </c>
      <c r="P162" t="s">
        <v>3891</v>
      </c>
      <c r="Q162" t="s">
        <v>3892</v>
      </c>
      <c r="R162" t="s">
        <v>75</v>
      </c>
      <c r="S162" s="1" t="s">
        <v>444</v>
      </c>
      <c r="T162" t="s">
        <v>448</v>
      </c>
      <c r="U162">
        <v>-7.6300000000000007E-2</v>
      </c>
      <c r="V162">
        <v>-7.6300000000000007E-2</v>
      </c>
      <c r="W162" t="s">
        <v>52</v>
      </c>
      <c r="X162">
        <v>0.88070000000000004</v>
      </c>
      <c r="Y162">
        <v>0.99980000000000002</v>
      </c>
      <c r="Z162">
        <v>0.99980000000000002</v>
      </c>
      <c r="AA162">
        <v>0.88070000000000004</v>
      </c>
      <c r="AB162">
        <v>20</v>
      </c>
      <c r="AC162">
        <v>20.0001</v>
      </c>
      <c r="AD162">
        <v>18.802499999999998</v>
      </c>
      <c r="AE162">
        <v>18.802600000000002</v>
      </c>
      <c r="AF162" t="s">
        <v>67</v>
      </c>
      <c r="AG162" t="s">
        <v>67</v>
      </c>
      <c r="AH162" t="s">
        <v>3894</v>
      </c>
      <c r="AI162" t="s">
        <v>3894</v>
      </c>
      <c r="AJ162" t="s">
        <v>3895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3896</v>
      </c>
      <c r="AT162" t="s">
        <v>3890</v>
      </c>
      <c r="AU162" t="s">
        <v>3964</v>
      </c>
      <c r="AV162" t="s">
        <v>3898</v>
      </c>
      <c r="AW162">
        <v>2</v>
      </c>
      <c r="AX162">
        <v>0</v>
      </c>
    </row>
    <row r="163" spans="1:50" x14ac:dyDescent="0.25">
      <c r="A163" t="s">
        <v>4136</v>
      </c>
      <c r="B163" t="s">
        <v>3928</v>
      </c>
      <c r="C163" t="s">
        <v>3890</v>
      </c>
      <c r="D163">
        <v>29.908000000000001</v>
      </c>
      <c r="E163">
        <v>29.849</v>
      </c>
      <c r="F163" s="2">
        <v>3.0000000000000001E-3</v>
      </c>
      <c r="G163" t="s">
        <v>2546</v>
      </c>
      <c r="H163" t="s">
        <v>2549</v>
      </c>
      <c r="I163">
        <v>440530.42509999999</v>
      </c>
      <c r="J163">
        <v>1828047.2723000001</v>
      </c>
      <c r="K163">
        <v>440550.42509999999</v>
      </c>
      <c r="L163">
        <v>1828047.2723000001</v>
      </c>
      <c r="M163" t="s">
        <v>56</v>
      </c>
      <c r="N163" t="s">
        <v>57</v>
      </c>
      <c r="O163">
        <v>900</v>
      </c>
      <c r="P163" t="s">
        <v>3929</v>
      </c>
      <c r="Q163" t="s">
        <v>3930</v>
      </c>
      <c r="R163" t="s">
        <v>2502</v>
      </c>
      <c r="S163" s="1" t="s">
        <v>444</v>
      </c>
      <c r="T163" t="s">
        <v>448</v>
      </c>
      <c r="U163">
        <v>-0.125</v>
      </c>
      <c r="V163">
        <v>-0.125</v>
      </c>
      <c r="W163" t="s">
        <v>52</v>
      </c>
      <c r="X163">
        <v>0.82599999999999996</v>
      </c>
      <c r="Y163">
        <v>0.85250000000000004</v>
      </c>
      <c r="Z163">
        <v>0.85250000000000004</v>
      </c>
      <c r="AA163">
        <v>0.82599999999999996</v>
      </c>
      <c r="AB163">
        <v>20</v>
      </c>
      <c r="AC163">
        <v>20.0001</v>
      </c>
      <c r="AD163">
        <v>18.803699999999999</v>
      </c>
      <c r="AE163">
        <v>18.803799999999999</v>
      </c>
      <c r="AF163" t="s">
        <v>183</v>
      </c>
      <c r="AG163" t="s">
        <v>183</v>
      </c>
      <c r="AH163" t="s">
        <v>3894</v>
      </c>
      <c r="AI163" t="s">
        <v>3894</v>
      </c>
      <c r="AJ163" t="s">
        <v>3895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3896</v>
      </c>
      <c r="AT163" t="s">
        <v>3890</v>
      </c>
      <c r="AU163" t="s">
        <v>3931</v>
      </c>
      <c r="AV163" t="s">
        <v>3898</v>
      </c>
      <c r="AW163">
        <v>2</v>
      </c>
      <c r="AX163">
        <v>0</v>
      </c>
    </row>
    <row r="164" spans="1:50" x14ac:dyDescent="0.25">
      <c r="A164" t="s">
        <v>4137</v>
      </c>
      <c r="B164" t="s">
        <v>3928</v>
      </c>
      <c r="C164" t="s">
        <v>3890</v>
      </c>
      <c r="D164">
        <v>28.771000000000001</v>
      </c>
      <c r="E164">
        <v>28.710999999999999</v>
      </c>
      <c r="F164" s="2">
        <v>3.0000000000000001E-3</v>
      </c>
      <c r="G164" t="s">
        <v>2566</v>
      </c>
      <c r="H164" t="s">
        <v>2570</v>
      </c>
      <c r="I164">
        <v>440595.0001</v>
      </c>
      <c r="J164">
        <v>1827992.7723999999</v>
      </c>
      <c r="K164">
        <v>440595.0001</v>
      </c>
      <c r="L164">
        <v>1827972.7723999999</v>
      </c>
      <c r="M164" t="s">
        <v>56</v>
      </c>
      <c r="N164" t="s">
        <v>57</v>
      </c>
      <c r="O164">
        <v>900</v>
      </c>
      <c r="P164" t="s">
        <v>3929</v>
      </c>
      <c r="Q164" t="s">
        <v>3930</v>
      </c>
      <c r="R164" t="s">
        <v>251</v>
      </c>
      <c r="S164" t="s">
        <v>2568</v>
      </c>
      <c r="T164" t="s">
        <v>2572</v>
      </c>
      <c r="U164">
        <v>0</v>
      </c>
      <c r="V164">
        <v>0</v>
      </c>
      <c r="W164" t="s">
        <v>52</v>
      </c>
      <c r="X164">
        <v>1.1707000000000001</v>
      </c>
      <c r="Y164">
        <v>1.3281000000000001</v>
      </c>
      <c r="Z164">
        <v>1.3281000000000001</v>
      </c>
      <c r="AA164">
        <v>1.1707000000000001</v>
      </c>
      <c r="AB164">
        <v>20</v>
      </c>
      <c r="AC164">
        <v>20.0001</v>
      </c>
      <c r="AD164">
        <v>18.803699999999999</v>
      </c>
      <c r="AE164">
        <v>18.803799999999999</v>
      </c>
      <c r="AF164" t="s">
        <v>2233</v>
      </c>
      <c r="AG164" t="s">
        <v>2233</v>
      </c>
      <c r="AH164" t="s">
        <v>3894</v>
      </c>
      <c r="AI164" t="s">
        <v>3894</v>
      </c>
      <c r="AJ164" t="s">
        <v>3895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3896</v>
      </c>
      <c r="AT164" t="s">
        <v>3890</v>
      </c>
      <c r="AU164" t="s">
        <v>3931</v>
      </c>
      <c r="AV164" t="s">
        <v>3898</v>
      </c>
      <c r="AW164">
        <v>2</v>
      </c>
      <c r="AX164">
        <v>0</v>
      </c>
    </row>
    <row r="165" spans="1:50" x14ac:dyDescent="0.25">
      <c r="A165" t="s">
        <v>4138</v>
      </c>
      <c r="B165" t="s">
        <v>3928</v>
      </c>
      <c r="C165" t="s">
        <v>3890</v>
      </c>
      <c r="D165">
        <v>28.995000000000001</v>
      </c>
      <c r="E165">
        <v>28.934999999999999</v>
      </c>
      <c r="F165" s="2">
        <v>3.0000000000000001E-3</v>
      </c>
      <c r="G165" t="s">
        <v>2562</v>
      </c>
      <c r="H165" t="s">
        <v>2566</v>
      </c>
      <c r="I165">
        <v>440595.0001</v>
      </c>
      <c r="J165">
        <v>1828012.7723999999</v>
      </c>
      <c r="K165">
        <v>440595.0001</v>
      </c>
      <c r="L165">
        <v>1827992.7723999999</v>
      </c>
      <c r="M165" t="s">
        <v>56</v>
      </c>
      <c r="N165" t="s">
        <v>57</v>
      </c>
      <c r="O165">
        <v>900</v>
      </c>
      <c r="P165" t="s">
        <v>3929</v>
      </c>
      <c r="Q165" t="s">
        <v>3930</v>
      </c>
      <c r="R165" t="s">
        <v>251</v>
      </c>
      <c r="S165" t="s">
        <v>2564</v>
      </c>
      <c r="T165" t="s">
        <v>2568</v>
      </c>
      <c r="U165">
        <v>0</v>
      </c>
      <c r="V165">
        <v>0</v>
      </c>
      <c r="W165" t="s">
        <v>52</v>
      </c>
      <c r="X165">
        <v>1.1640999999999999</v>
      </c>
      <c r="Y165">
        <v>1.3337000000000001</v>
      </c>
      <c r="Z165">
        <v>1.3337000000000001</v>
      </c>
      <c r="AA165">
        <v>1.1640999999999999</v>
      </c>
      <c r="AB165">
        <v>20</v>
      </c>
      <c r="AC165">
        <v>20.0001</v>
      </c>
      <c r="AD165">
        <v>18.803699999999999</v>
      </c>
      <c r="AE165">
        <v>18.803799999999999</v>
      </c>
      <c r="AF165" t="s">
        <v>2233</v>
      </c>
      <c r="AG165" t="s">
        <v>2233</v>
      </c>
      <c r="AH165" t="s">
        <v>3894</v>
      </c>
      <c r="AI165" t="s">
        <v>3894</v>
      </c>
      <c r="AJ165" t="s">
        <v>3895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3896</v>
      </c>
      <c r="AT165" t="s">
        <v>3890</v>
      </c>
      <c r="AU165" t="s">
        <v>3931</v>
      </c>
      <c r="AV165" t="s">
        <v>3898</v>
      </c>
      <c r="AW165">
        <v>2</v>
      </c>
      <c r="AX165">
        <v>0</v>
      </c>
    </row>
    <row r="166" spans="1:50" x14ac:dyDescent="0.25">
      <c r="A166" t="s">
        <v>4139</v>
      </c>
      <c r="B166" t="s">
        <v>4065</v>
      </c>
      <c r="C166" t="s">
        <v>3890</v>
      </c>
      <c r="D166">
        <v>30.72</v>
      </c>
      <c r="E166">
        <v>30.66</v>
      </c>
      <c r="F166" s="2">
        <v>3.0000000000000001E-3</v>
      </c>
      <c r="G166" t="s">
        <v>2534</v>
      </c>
      <c r="H166" t="s">
        <v>2537</v>
      </c>
      <c r="I166">
        <v>440450.42509999999</v>
      </c>
      <c r="J166">
        <v>1828047.2973</v>
      </c>
      <c r="K166">
        <v>440470.42509999999</v>
      </c>
      <c r="L166">
        <v>1828047.2973</v>
      </c>
      <c r="M166" t="s">
        <v>56</v>
      </c>
      <c r="N166" t="s">
        <v>57</v>
      </c>
      <c r="O166">
        <v>900</v>
      </c>
      <c r="P166" t="s">
        <v>58</v>
      </c>
      <c r="Q166" t="s">
        <v>3919</v>
      </c>
      <c r="R166" t="s">
        <v>2502</v>
      </c>
      <c r="S166" t="s">
        <v>428</v>
      </c>
      <c r="T166" t="s">
        <v>432</v>
      </c>
      <c r="U166">
        <v>-0.1</v>
      </c>
      <c r="V166">
        <v>-0.1</v>
      </c>
      <c r="W166" t="s">
        <v>52</v>
      </c>
      <c r="X166">
        <v>0.85229999999999995</v>
      </c>
      <c r="Y166">
        <v>0.88439999999999996</v>
      </c>
      <c r="Z166">
        <v>0.88439999999999996</v>
      </c>
      <c r="AA166">
        <v>0.85229999999999995</v>
      </c>
      <c r="AB166">
        <v>20</v>
      </c>
      <c r="AC166">
        <v>20.0001</v>
      </c>
      <c r="AD166">
        <v>18.803599999999999</v>
      </c>
      <c r="AE166">
        <v>18.803699999999999</v>
      </c>
      <c r="AF166" t="s">
        <v>183</v>
      </c>
      <c r="AG166" t="s">
        <v>183</v>
      </c>
      <c r="AH166" t="s">
        <v>3894</v>
      </c>
      <c r="AI166" t="s">
        <v>3894</v>
      </c>
      <c r="AJ166" t="s">
        <v>3895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3896</v>
      </c>
      <c r="AT166" t="s">
        <v>3890</v>
      </c>
      <c r="AU166" t="s">
        <v>4066</v>
      </c>
      <c r="AV166" t="s">
        <v>3898</v>
      </c>
      <c r="AW166">
        <v>2</v>
      </c>
      <c r="AX166">
        <v>0</v>
      </c>
    </row>
    <row r="167" spans="1:50" x14ac:dyDescent="0.25">
      <c r="A167" t="s">
        <v>4140</v>
      </c>
      <c r="B167" t="s">
        <v>3889</v>
      </c>
      <c r="C167" t="s">
        <v>3890</v>
      </c>
      <c r="D167">
        <v>28.177</v>
      </c>
      <c r="E167">
        <v>28.117000000000001</v>
      </c>
      <c r="F167" s="2">
        <v>3.0000000000000001E-3</v>
      </c>
      <c r="G167" t="s">
        <v>3685</v>
      </c>
      <c r="H167" t="s">
        <v>3687</v>
      </c>
      <c r="I167">
        <v>440595.27510000003</v>
      </c>
      <c r="J167">
        <v>1827438.2394999999</v>
      </c>
      <c r="K167">
        <v>440595.27510000003</v>
      </c>
      <c r="L167">
        <v>1827458.2394999999</v>
      </c>
      <c r="M167" t="s">
        <v>56</v>
      </c>
      <c r="N167" t="s">
        <v>57</v>
      </c>
      <c r="O167">
        <v>450</v>
      </c>
      <c r="P167" t="s">
        <v>3891</v>
      </c>
      <c r="Q167" t="s">
        <v>3892</v>
      </c>
      <c r="R167" t="s">
        <v>797</v>
      </c>
      <c r="S167" t="s">
        <v>1444</v>
      </c>
      <c r="T167" t="s">
        <v>525</v>
      </c>
      <c r="U167">
        <v>3.3099999999999997E-2</v>
      </c>
      <c r="V167">
        <v>3.3099999999999997E-2</v>
      </c>
      <c r="W167" t="s">
        <v>52</v>
      </c>
      <c r="X167">
        <v>0.88229999999999997</v>
      </c>
      <c r="Y167">
        <v>1.0261</v>
      </c>
      <c r="Z167">
        <v>1.0261</v>
      </c>
      <c r="AA167">
        <v>0.88229999999999997</v>
      </c>
      <c r="AB167">
        <v>20</v>
      </c>
      <c r="AC167">
        <v>20.0001</v>
      </c>
      <c r="AD167">
        <v>18.802099999999999</v>
      </c>
      <c r="AE167">
        <v>18.802199999999999</v>
      </c>
      <c r="AF167" t="s">
        <v>3973</v>
      </c>
      <c r="AG167" t="s">
        <v>3973</v>
      </c>
      <c r="AH167" t="s">
        <v>3894</v>
      </c>
      <c r="AI167" t="s">
        <v>3894</v>
      </c>
      <c r="AJ167" t="s">
        <v>3895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3896</v>
      </c>
      <c r="AT167" t="s">
        <v>3890</v>
      </c>
      <c r="AU167" t="s">
        <v>3897</v>
      </c>
      <c r="AV167" t="s">
        <v>3898</v>
      </c>
      <c r="AW167">
        <v>2</v>
      </c>
      <c r="AX167">
        <v>0</v>
      </c>
    </row>
    <row r="168" spans="1:50" x14ac:dyDescent="0.25">
      <c r="A168" t="s">
        <v>3683</v>
      </c>
      <c r="B168" t="s">
        <v>3889</v>
      </c>
      <c r="C168" t="s">
        <v>3890</v>
      </c>
      <c r="D168">
        <v>28.381</v>
      </c>
      <c r="E168">
        <v>28.321000000000002</v>
      </c>
      <c r="F168" s="2">
        <v>3.0000000000000001E-3</v>
      </c>
      <c r="G168" t="s">
        <v>3682</v>
      </c>
      <c r="H168" t="s">
        <v>3685</v>
      </c>
      <c r="I168">
        <v>440595.27510000003</v>
      </c>
      <c r="J168">
        <v>1827418.2394999999</v>
      </c>
      <c r="K168">
        <v>440595.27510000003</v>
      </c>
      <c r="L168">
        <v>1827438.2394999999</v>
      </c>
      <c r="M168" t="s">
        <v>56</v>
      </c>
      <c r="N168" t="s">
        <v>57</v>
      </c>
      <c r="O168">
        <v>450</v>
      </c>
      <c r="P168" t="s">
        <v>3891</v>
      </c>
      <c r="Q168" t="s">
        <v>3892</v>
      </c>
      <c r="R168" t="s">
        <v>797</v>
      </c>
      <c r="S168" t="s">
        <v>1057</v>
      </c>
      <c r="T168" t="s">
        <v>1444</v>
      </c>
      <c r="U168">
        <v>3.3099999999999997E-2</v>
      </c>
      <c r="V168">
        <v>3.3099999999999997E-2</v>
      </c>
      <c r="W168" t="s">
        <v>52</v>
      </c>
      <c r="X168">
        <v>0.8821</v>
      </c>
      <c r="Y168">
        <v>0.99539999999999995</v>
      </c>
      <c r="Z168">
        <v>0.99539999999999995</v>
      </c>
      <c r="AA168">
        <v>0.8821</v>
      </c>
      <c r="AB168">
        <v>20</v>
      </c>
      <c r="AC168">
        <v>20.0001</v>
      </c>
      <c r="AD168">
        <v>18.802099999999999</v>
      </c>
      <c r="AE168">
        <v>18.802199999999999</v>
      </c>
      <c r="AF168" t="s">
        <v>3973</v>
      </c>
      <c r="AG168" t="s">
        <v>3973</v>
      </c>
      <c r="AH168" t="s">
        <v>3894</v>
      </c>
      <c r="AI168" t="s">
        <v>3894</v>
      </c>
      <c r="AJ168" t="s">
        <v>3895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3896</v>
      </c>
      <c r="AT168" t="s">
        <v>3890</v>
      </c>
      <c r="AU168" t="s">
        <v>3897</v>
      </c>
      <c r="AV168" t="s">
        <v>3898</v>
      </c>
      <c r="AW168">
        <v>2</v>
      </c>
      <c r="AX168">
        <v>0</v>
      </c>
    </row>
    <row r="169" spans="1:50" x14ac:dyDescent="0.25">
      <c r="A169" t="s">
        <v>4141</v>
      </c>
      <c r="B169" t="s">
        <v>3889</v>
      </c>
      <c r="C169" t="s">
        <v>3890</v>
      </c>
      <c r="D169">
        <v>29.468</v>
      </c>
      <c r="E169">
        <v>29.408000000000001</v>
      </c>
      <c r="F169" s="2">
        <v>3.0000000000000001E-3</v>
      </c>
      <c r="G169" t="s">
        <v>3462</v>
      </c>
      <c r="H169" t="s">
        <v>3465</v>
      </c>
      <c r="I169">
        <v>440398.47509999998</v>
      </c>
      <c r="J169">
        <v>1827469.7609000001</v>
      </c>
      <c r="K169">
        <v>440398.47509999998</v>
      </c>
      <c r="L169">
        <v>1827489.7609000001</v>
      </c>
      <c r="M169" t="s">
        <v>56</v>
      </c>
      <c r="N169" t="s">
        <v>57</v>
      </c>
      <c r="O169">
        <v>450</v>
      </c>
      <c r="P169" t="s">
        <v>3891</v>
      </c>
      <c r="Q169" t="s">
        <v>3892</v>
      </c>
      <c r="R169" t="s">
        <v>107</v>
      </c>
      <c r="S169" t="s">
        <v>832</v>
      </c>
      <c r="T169" t="s">
        <v>865</v>
      </c>
      <c r="U169">
        <v>-2.0000000000000001E-4</v>
      </c>
      <c r="V169">
        <v>-2.0000000000000001E-4</v>
      </c>
      <c r="W169" t="s">
        <v>52</v>
      </c>
      <c r="X169">
        <v>0.88190000000000002</v>
      </c>
      <c r="Y169">
        <v>0.92349999999999999</v>
      </c>
      <c r="Z169">
        <v>0.92349999999999999</v>
      </c>
      <c r="AA169">
        <v>0.88190000000000002</v>
      </c>
      <c r="AB169">
        <v>20</v>
      </c>
      <c r="AC169">
        <v>20.0001</v>
      </c>
      <c r="AD169">
        <v>18.802099999999999</v>
      </c>
      <c r="AE169">
        <v>18.802199999999999</v>
      </c>
      <c r="AF169" t="s">
        <v>67</v>
      </c>
      <c r="AG169" t="s">
        <v>67</v>
      </c>
      <c r="AH169" t="s">
        <v>3894</v>
      </c>
      <c r="AI169" t="s">
        <v>3894</v>
      </c>
      <c r="AJ169" t="s">
        <v>3895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3896</v>
      </c>
      <c r="AT169" t="s">
        <v>3890</v>
      </c>
      <c r="AU169" t="s">
        <v>3897</v>
      </c>
      <c r="AV169" t="s">
        <v>3898</v>
      </c>
      <c r="AW169">
        <v>2</v>
      </c>
      <c r="AX169">
        <v>0</v>
      </c>
    </row>
    <row r="170" spans="1:50" x14ac:dyDescent="0.25">
      <c r="A170" t="s">
        <v>4142</v>
      </c>
      <c r="B170" t="s">
        <v>3889</v>
      </c>
      <c r="C170" t="s">
        <v>3890</v>
      </c>
      <c r="D170">
        <v>29.468</v>
      </c>
      <c r="E170">
        <v>29.408000000000001</v>
      </c>
      <c r="F170" s="2">
        <v>3.0000000000000001E-3</v>
      </c>
      <c r="G170" t="s">
        <v>3493</v>
      </c>
      <c r="H170" t="s">
        <v>3495</v>
      </c>
      <c r="I170">
        <v>440387.3751</v>
      </c>
      <c r="J170">
        <v>1827469.7609000001</v>
      </c>
      <c r="K170">
        <v>440387.3751</v>
      </c>
      <c r="L170">
        <v>1827489.7609000001</v>
      </c>
      <c r="M170" t="s">
        <v>56</v>
      </c>
      <c r="N170" t="s">
        <v>57</v>
      </c>
      <c r="O170">
        <v>450</v>
      </c>
      <c r="P170" t="s">
        <v>3891</v>
      </c>
      <c r="Q170" t="s">
        <v>3892</v>
      </c>
      <c r="R170" t="s">
        <v>117</v>
      </c>
      <c r="S170" t="s">
        <v>832</v>
      </c>
      <c r="T170" t="s">
        <v>865</v>
      </c>
      <c r="U170">
        <v>3.6400000000000002E-2</v>
      </c>
      <c r="V170">
        <v>3.6400000000000002E-2</v>
      </c>
      <c r="W170" t="s">
        <v>52</v>
      </c>
      <c r="X170">
        <v>0.88190000000000002</v>
      </c>
      <c r="Y170">
        <v>0.92349999999999999</v>
      </c>
      <c r="Z170">
        <v>0.92349999999999999</v>
      </c>
      <c r="AA170">
        <v>0.88190000000000002</v>
      </c>
      <c r="AB170">
        <v>20</v>
      </c>
      <c r="AC170">
        <v>20.0001</v>
      </c>
      <c r="AD170">
        <v>18.802099999999999</v>
      </c>
      <c r="AE170">
        <v>18.802199999999999</v>
      </c>
      <c r="AF170" t="s">
        <v>67</v>
      </c>
      <c r="AG170" t="s">
        <v>67</v>
      </c>
      <c r="AH170" t="s">
        <v>3894</v>
      </c>
      <c r="AI170" t="s">
        <v>3894</v>
      </c>
      <c r="AJ170" t="s">
        <v>3895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3896</v>
      </c>
      <c r="AT170" t="s">
        <v>3890</v>
      </c>
      <c r="AU170" t="s">
        <v>3897</v>
      </c>
      <c r="AV170" t="s">
        <v>3898</v>
      </c>
      <c r="AW170">
        <v>2</v>
      </c>
      <c r="AX170">
        <v>0</v>
      </c>
    </row>
    <row r="171" spans="1:50" x14ac:dyDescent="0.25">
      <c r="A171" t="s">
        <v>4143</v>
      </c>
      <c r="B171" t="s">
        <v>3889</v>
      </c>
      <c r="C171" t="s">
        <v>3890</v>
      </c>
      <c r="D171">
        <v>29.082999999999998</v>
      </c>
      <c r="E171">
        <v>29.023</v>
      </c>
      <c r="F171" s="2">
        <v>3.0000000000000001E-3</v>
      </c>
      <c r="G171" t="s">
        <v>3520</v>
      </c>
      <c r="H171" t="s">
        <v>3523</v>
      </c>
      <c r="I171">
        <v>440464.07510000002</v>
      </c>
      <c r="J171">
        <v>1827459.4838</v>
      </c>
      <c r="K171">
        <v>440464.07510000002</v>
      </c>
      <c r="L171">
        <v>1827479.4838</v>
      </c>
      <c r="M171" t="s">
        <v>56</v>
      </c>
      <c r="N171" t="s">
        <v>57</v>
      </c>
      <c r="O171">
        <v>450</v>
      </c>
      <c r="P171" t="s">
        <v>3891</v>
      </c>
      <c r="Q171" t="s">
        <v>3892</v>
      </c>
      <c r="R171" t="s">
        <v>377</v>
      </c>
      <c r="S171" t="s">
        <v>444</v>
      </c>
      <c r="T171" t="s">
        <v>448</v>
      </c>
      <c r="U171">
        <v>-0.1333</v>
      </c>
      <c r="V171">
        <v>-0.1173</v>
      </c>
      <c r="W171" t="s">
        <v>52</v>
      </c>
      <c r="X171">
        <v>0.88180000000000003</v>
      </c>
      <c r="Y171">
        <v>0.92030000000000001</v>
      </c>
      <c r="Z171">
        <v>0.92030000000000001</v>
      </c>
      <c r="AA171">
        <v>0.88180000000000003</v>
      </c>
      <c r="AB171">
        <v>20</v>
      </c>
      <c r="AC171">
        <v>20.0001</v>
      </c>
      <c r="AD171">
        <v>18.802099999999999</v>
      </c>
      <c r="AE171">
        <v>18.802199999999999</v>
      </c>
      <c r="AF171" t="s">
        <v>67</v>
      </c>
      <c r="AG171" t="s">
        <v>67</v>
      </c>
      <c r="AH171" t="s">
        <v>3894</v>
      </c>
      <c r="AI171" t="s">
        <v>3894</v>
      </c>
      <c r="AJ171" t="s">
        <v>3895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3896</v>
      </c>
      <c r="AT171" t="s">
        <v>3890</v>
      </c>
      <c r="AU171" t="s">
        <v>3897</v>
      </c>
      <c r="AV171" t="s">
        <v>3898</v>
      </c>
      <c r="AW171">
        <v>2</v>
      </c>
      <c r="AX171">
        <v>0</v>
      </c>
    </row>
    <row r="172" spans="1:50" x14ac:dyDescent="0.25">
      <c r="A172" t="s">
        <v>4144</v>
      </c>
      <c r="B172" t="s">
        <v>3889</v>
      </c>
      <c r="C172" t="s">
        <v>3890</v>
      </c>
      <c r="D172">
        <v>29.082999999999998</v>
      </c>
      <c r="E172">
        <v>29.023</v>
      </c>
      <c r="F172" s="2">
        <v>3.0000000000000001E-3</v>
      </c>
      <c r="G172" t="s">
        <v>3551</v>
      </c>
      <c r="H172" t="s">
        <v>3553</v>
      </c>
      <c r="I172">
        <v>440454.3751</v>
      </c>
      <c r="J172">
        <v>1827459.4838</v>
      </c>
      <c r="K172">
        <v>440454.3751</v>
      </c>
      <c r="L172">
        <v>1827479.4838</v>
      </c>
      <c r="M172" t="s">
        <v>56</v>
      </c>
      <c r="N172" t="s">
        <v>57</v>
      </c>
      <c r="O172">
        <v>450</v>
      </c>
      <c r="P172" t="s">
        <v>3891</v>
      </c>
      <c r="Q172" t="s">
        <v>3892</v>
      </c>
      <c r="R172" t="s">
        <v>3549</v>
      </c>
      <c r="S172" t="s">
        <v>444</v>
      </c>
      <c r="T172" t="s">
        <v>448</v>
      </c>
      <c r="U172">
        <v>0.15</v>
      </c>
      <c r="V172">
        <v>0.15</v>
      </c>
      <c r="W172" t="s">
        <v>52</v>
      </c>
      <c r="X172">
        <v>0.88180000000000003</v>
      </c>
      <c r="Y172">
        <v>0.92030000000000001</v>
      </c>
      <c r="Z172">
        <v>0.92030000000000001</v>
      </c>
      <c r="AA172">
        <v>0.88180000000000003</v>
      </c>
      <c r="AB172">
        <v>20</v>
      </c>
      <c r="AC172">
        <v>20.0001</v>
      </c>
      <c r="AD172">
        <v>18.802099999999999</v>
      </c>
      <c r="AE172">
        <v>18.802199999999999</v>
      </c>
      <c r="AF172" t="s">
        <v>67</v>
      </c>
      <c r="AG172" t="s">
        <v>67</v>
      </c>
      <c r="AH172" t="s">
        <v>3894</v>
      </c>
      <c r="AI172" t="s">
        <v>3894</v>
      </c>
      <c r="AJ172" t="s">
        <v>3895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3896</v>
      </c>
      <c r="AT172" t="s">
        <v>3890</v>
      </c>
      <c r="AU172" t="s">
        <v>3897</v>
      </c>
      <c r="AV172" t="s">
        <v>3898</v>
      </c>
      <c r="AW172">
        <v>2</v>
      </c>
      <c r="AX172">
        <v>0</v>
      </c>
    </row>
    <row r="173" spans="1:50" x14ac:dyDescent="0.25">
      <c r="A173" t="s">
        <v>4145</v>
      </c>
      <c r="B173" t="s">
        <v>3889</v>
      </c>
      <c r="C173" t="s">
        <v>3890</v>
      </c>
      <c r="D173">
        <v>31.722999999999999</v>
      </c>
      <c r="E173">
        <v>31.663</v>
      </c>
      <c r="F173" s="2">
        <v>3.0000000000000001E-3</v>
      </c>
      <c r="G173" t="s">
        <v>3235</v>
      </c>
      <c r="H173" t="s">
        <v>3239</v>
      </c>
      <c r="I173">
        <v>440117.47489999997</v>
      </c>
      <c r="J173">
        <v>1827347.8488</v>
      </c>
      <c r="K173">
        <v>440117.47489999997</v>
      </c>
      <c r="L173">
        <v>1827367.8488</v>
      </c>
      <c r="M173" t="s">
        <v>56</v>
      </c>
      <c r="N173" t="s">
        <v>57</v>
      </c>
      <c r="O173">
        <v>450</v>
      </c>
      <c r="P173" t="s">
        <v>3891</v>
      </c>
      <c r="Q173" t="s">
        <v>3892</v>
      </c>
      <c r="R173" t="s">
        <v>3220</v>
      </c>
      <c r="S173" t="s">
        <v>3237</v>
      </c>
      <c r="T173" t="s">
        <v>3241</v>
      </c>
      <c r="U173">
        <v>-1E-3</v>
      </c>
      <c r="V173">
        <v>-1E-3</v>
      </c>
      <c r="W173" t="s">
        <v>52</v>
      </c>
      <c r="X173">
        <v>0.88160000000000005</v>
      </c>
      <c r="Y173">
        <v>0.94440000000000002</v>
      </c>
      <c r="Z173">
        <v>0.94440000000000002</v>
      </c>
      <c r="AA173">
        <v>0.88160000000000005</v>
      </c>
      <c r="AB173">
        <v>20</v>
      </c>
      <c r="AC173">
        <v>20.0001</v>
      </c>
      <c r="AD173">
        <v>18.802099999999999</v>
      </c>
      <c r="AE173">
        <v>18.802199999999999</v>
      </c>
      <c r="AF173" t="s">
        <v>67</v>
      </c>
      <c r="AG173" t="s">
        <v>67</v>
      </c>
      <c r="AH173" t="s">
        <v>3894</v>
      </c>
      <c r="AI173" t="s">
        <v>3894</v>
      </c>
      <c r="AJ173" t="s">
        <v>3895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3896</v>
      </c>
      <c r="AT173" t="s">
        <v>3890</v>
      </c>
      <c r="AU173" t="s">
        <v>3897</v>
      </c>
      <c r="AV173" t="s">
        <v>3898</v>
      </c>
      <c r="AW173">
        <v>2</v>
      </c>
      <c r="AX173">
        <v>0</v>
      </c>
    </row>
    <row r="174" spans="1:50" x14ac:dyDescent="0.25">
      <c r="A174" t="s">
        <v>4146</v>
      </c>
      <c r="B174" t="s">
        <v>3889</v>
      </c>
      <c r="C174" t="s">
        <v>3890</v>
      </c>
      <c r="D174">
        <v>31.844999999999999</v>
      </c>
      <c r="E174">
        <v>31.785</v>
      </c>
      <c r="F174" s="2">
        <v>3.0000000000000001E-3</v>
      </c>
      <c r="G174" t="s">
        <v>3231</v>
      </c>
      <c r="H174" t="s">
        <v>3235</v>
      </c>
      <c r="I174">
        <v>440117.47489999997</v>
      </c>
      <c r="J174">
        <v>1827327.8488</v>
      </c>
      <c r="K174">
        <v>440117.47489999997</v>
      </c>
      <c r="L174">
        <v>1827347.8488</v>
      </c>
      <c r="M174" t="s">
        <v>56</v>
      </c>
      <c r="N174" t="s">
        <v>57</v>
      </c>
      <c r="O174">
        <v>450</v>
      </c>
      <c r="P174" t="s">
        <v>3891</v>
      </c>
      <c r="Q174" t="s">
        <v>3892</v>
      </c>
      <c r="R174" t="s">
        <v>3220</v>
      </c>
      <c r="S174" t="s">
        <v>3233</v>
      </c>
      <c r="T174" t="s">
        <v>3237</v>
      </c>
      <c r="U174">
        <v>-1E-3</v>
      </c>
      <c r="V174">
        <v>-1E-3</v>
      </c>
      <c r="W174" t="s">
        <v>52</v>
      </c>
      <c r="X174">
        <v>0.88239999999999996</v>
      </c>
      <c r="Y174">
        <v>0.97170000000000001</v>
      </c>
      <c r="Z174">
        <v>0.97170000000000001</v>
      </c>
      <c r="AA174">
        <v>0.88239999999999996</v>
      </c>
      <c r="AB174">
        <v>20</v>
      </c>
      <c r="AC174">
        <v>20.0001</v>
      </c>
      <c r="AD174">
        <v>18.802099999999999</v>
      </c>
      <c r="AE174">
        <v>18.802199999999999</v>
      </c>
      <c r="AF174" t="s">
        <v>3973</v>
      </c>
      <c r="AG174" t="s">
        <v>3973</v>
      </c>
      <c r="AH174" t="s">
        <v>3894</v>
      </c>
      <c r="AI174" t="s">
        <v>3894</v>
      </c>
      <c r="AJ174" t="s">
        <v>3895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3896</v>
      </c>
      <c r="AT174" t="s">
        <v>3890</v>
      </c>
      <c r="AU174" t="s">
        <v>3897</v>
      </c>
      <c r="AV174" t="s">
        <v>3898</v>
      </c>
      <c r="AW174">
        <v>2</v>
      </c>
      <c r="AX174">
        <v>0</v>
      </c>
    </row>
    <row r="175" spans="1:50" x14ac:dyDescent="0.25">
      <c r="A175" t="s">
        <v>4147</v>
      </c>
      <c r="B175" t="s">
        <v>3889</v>
      </c>
      <c r="C175" t="s">
        <v>3890</v>
      </c>
      <c r="D175">
        <v>31.314</v>
      </c>
      <c r="E175">
        <v>31.254000000000001</v>
      </c>
      <c r="F175" s="2">
        <v>3.0000000000000001E-3</v>
      </c>
      <c r="G175" t="s">
        <v>3313</v>
      </c>
      <c r="H175" t="s">
        <v>3317</v>
      </c>
      <c r="I175">
        <v>440183.07490000001</v>
      </c>
      <c r="J175">
        <v>1827334.4693</v>
      </c>
      <c r="K175">
        <v>440183.07490000001</v>
      </c>
      <c r="L175">
        <v>1827354.4693</v>
      </c>
      <c r="M175" t="s">
        <v>56</v>
      </c>
      <c r="N175" t="s">
        <v>57</v>
      </c>
      <c r="O175">
        <v>450</v>
      </c>
      <c r="P175" t="s">
        <v>3891</v>
      </c>
      <c r="Q175" t="s">
        <v>3892</v>
      </c>
      <c r="R175" t="s">
        <v>333</v>
      </c>
      <c r="S175" t="s">
        <v>3315</v>
      </c>
      <c r="T175" t="s">
        <v>3319</v>
      </c>
      <c r="U175">
        <v>-2.4199999999999999E-2</v>
      </c>
      <c r="V175">
        <v>-2.4199999999999999E-2</v>
      </c>
      <c r="W175" t="s">
        <v>52</v>
      </c>
      <c r="X175">
        <v>0.89859999999999995</v>
      </c>
      <c r="Y175">
        <v>0.90159999999999996</v>
      </c>
      <c r="Z175">
        <v>0.90159999999999996</v>
      </c>
      <c r="AA175">
        <v>0.89859999999999995</v>
      </c>
      <c r="AB175">
        <v>20</v>
      </c>
      <c r="AC175">
        <v>20.0001</v>
      </c>
      <c r="AD175">
        <v>18.802099999999999</v>
      </c>
      <c r="AE175">
        <v>18.802199999999999</v>
      </c>
      <c r="AF175" t="s">
        <v>3973</v>
      </c>
      <c r="AG175" t="s">
        <v>3973</v>
      </c>
      <c r="AH175" t="s">
        <v>3894</v>
      </c>
      <c r="AI175" t="s">
        <v>3894</v>
      </c>
      <c r="AJ175" t="s">
        <v>3895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3896</v>
      </c>
      <c r="AT175" t="s">
        <v>3890</v>
      </c>
      <c r="AU175" t="s">
        <v>3897</v>
      </c>
      <c r="AV175" t="s">
        <v>3898</v>
      </c>
      <c r="AW175">
        <v>2</v>
      </c>
      <c r="AX175">
        <v>0</v>
      </c>
    </row>
    <row r="176" spans="1:50" x14ac:dyDescent="0.25">
      <c r="A176" t="s">
        <v>4148</v>
      </c>
      <c r="B176" t="s">
        <v>3889</v>
      </c>
      <c r="C176" t="s">
        <v>3890</v>
      </c>
      <c r="D176">
        <v>31.995000000000001</v>
      </c>
      <c r="E176">
        <v>31.934999999999999</v>
      </c>
      <c r="F176" s="2">
        <v>3.0000000000000001E-3</v>
      </c>
      <c r="G176" t="s">
        <v>3284</v>
      </c>
      <c r="H176" t="s">
        <v>3286</v>
      </c>
      <c r="I176">
        <v>440127.17489999998</v>
      </c>
      <c r="J176">
        <v>1827307.8488</v>
      </c>
      <c r="K176">
        <v>440127.17489999998</v>
      </c>
      <c r="L176">
        <v>1827327.8488</v>
      </c>
      <c r="M176" t="s">
        <v>56</v>
      </c>
      <c r="N176" t="s">
        <v>57</v>
      </c>
      <c r="O176">
        <v>450</v>
      </c>
      <c r="P176" t="s">
        <v>3891</v>
      </c>
      <c r="Q176" t="s">
        <v>3892</v>
      </c>
      <c r="R176" t="s">
        <v>3278</v>
      </c>
      <c r="S176" s="1" t="s">
        <v>3229</v>
      </c>
      <c r="T176" s="1" t="s">
        <v>3233</v>
      </c>
      <c r="U176">
        <v>-6.9999999999999999E-4</v>
      </c>
      <c r="V176">
        <v>-6.9999999999999999E-4</v>
      </c>
      <c r="W176" t="s">
        <v>52</v>
      </c>
      <c r="X176">
        <v>0.88170000000000004</v>
      </c>
      <c r="Y176">
        <v>1.0089999999999999</v>
      </c>
      <c r="Z176">
        <v>1.0089999999999999</v>
      </c>
      <c r="AA176">
        <v>0.88170000000000004</v>
      </c>
      <c r="AB176">
        <v>20</v>
      </c>
      <c r="AC176">
        <v>20.0001</v>
      </c>
      <c r="AD176">
        <v>18.802099999999999</v>
      </c>
      <c r="AE176">
        <v>18.802199999999999</v>
      </c>
      <c r="AF176" t="s">
        <v>67</v>
      </c>
      <c r="AG176" t="s">
        <v>67</v>
      </c>
      <c r="AH176" t="s">
        <v>3894</v>
      </c>
      <c r="AI176" t="s">
        <v>3894</v>
      </c>
      <c r="AJ176" t="s">
        <v>3895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3896</v>
      </c>
      <c r="AT176" t="s">
        <v>3890</v>
      </c>
      <c r="AU176" t="s">
        <v>3897</v>
      </c>
      <c r="AV176" t="s">
        <v>3898</v>
      </c>
      <c r="AW176">
        <v>2</v>
      </c>
      <c r="AX176">
        <v>0</v>
      </c>
    </row>
    <row r="177" spans="1:50" x14ac:dyDescent="0.25">
      <c r="A177" t="s">
        <v>4149</v>
      </c>
      <c r="B177" t="s">
        <v>3889</v>
      </c>
      <c r="C177" t="s">
        <v>3890</v>
      </c>
      <c r="D177">
        <v>28.919</v>
      </c>
      <c r="E177">
        <v>28.859000000000002</v>
      </c>
      <c r="F177" s="2">
        <v>3.0000000000000001E-3</v>
      </c>
      <c r="G177" t="s">
        <v>3045</v>
      </c>
      <c r="H177" t="s">
        <v>3049</v>
      </c>
      <c r="I177">
        <v>440595.27510000003</v>
      </c>
      <c r="J177">
        <v>1827335.0075000001</v>
      </c>
      <c r="K177">
        <v>440595.27510000003</v>
      </c>
      <c r="L177">
        <v>1827355.0075000001</v>
      </c>
      <c r="M177" t="s">
        <v>56</v>
      </c>
      <c r="N177" t="s">
        <v>57</v>
      </c>
      <c r="O177">
        <v>450</v>
      </c>
      <c r="P177" t="s">
        <v>3891</v>
      </c>
      <c r="Q177" t="s">
        <v>3892</v>
      </c>
      <c r="R177" t="s">
        <v>797</v>
      </c>
      <c r="S177" s="1" t="s">
        <v>3047</v>
      </c>
      <c r="T177" s="1" t="s">
        <v>3051</v>
      </c>
      <c r="U177">
        <v>3.3099999999999997E-2</v>
      </c>
      <c r="V177">
        <v>3.3099999999999997E-2</v>
      </c>
      <c r="W177" t="s">
        <v>52</v>
      </c>
      <c r="X177">
        <v>0.90029999999999999</v>
      </c>
      <c r="Y177">
        <v>0.95130000000000003</v>
      </c>
      <c r="Z177">
        <v>0.95130000000000003</v>
      </c>
      <c r="AA177">
        <v>0.90029999999999999</v>
      </c>
      <c r="AB177">
        <v>20</v>
      </c>
      <c r="AC177">
        <v>20.0001</v>
      </c>
      <c r="AD177">
        <v>18.802099999999999</v>
      </c>
      <c r="AE177">
        <v>18.802199999999999</v>
      </c>
      <c r="AF177" t="s">
        <v>3973</v>
      </c>
      <c r="AG177" t="s">
        <v>3973</v>
      </c>
      <c r="AH177" t="s">
        <v>3894</v>
      </c>
      <c r="AI177" t="s">
        <v>3894</v>
      </c>
      <c r="AJ177" t="s">
        <v>3895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3896</v>
      </c>
      <c r="AT177" t="s">
        <v>3890</v>
      </c>
      <c r="AU177" t="s">
        <v>3897</v>
      </c>
      <c r="AV177" t="s">
        <v>3898</v>
      </c>
      <c r="AW177">
        <v>2</v>
      </c>
      <c r="AX177">
        <v>0</v>
      </c>
    </row>
    <row r="178" spans="1:50" x14ac:dyDescent="0.25">
      <c r="A178" t="s">
        <v>4150</v>
      </c>
      <c r="B178" t="s">
        <v>3889</v>
      </c>
      <c r="C178" t="s">
        <v>3890</v>
      </c>
      <c r="D178">
        <v>29.03</v>
      </c>
      <c r="E178">
        <v>28.97</v>
      </c>
      <c r="F178" s="2">
        <v>3.0000000000000001E-3</v>
      </c>
      <c r="G178" t="s">
        <v>3041</v>
      </c>
      <c r="H178" t="s">
        <v>3045</v>
      </c>
      <c r="I178">
        <v>440595.27510000003</v>
      </c>
      <c r="J178">
        <v>1827315.0075000001</v>
      </c>
      <c r="K178">
        <v>440595.27510000003</v>
      </c>
      <c r="L178">
        <v>1827335.0075000001</v>
      </c>
      <c r="M178" t="s">
        <v>56</v>
      </c>
      <c r="N178" t="s">
        <v>57</v>
      </c>
      <c r="O178">
        <v>450</v>
      </c>
      <c r="P178" t="s">
        <v>3891</v>
      </c>
      <c r="Q178" t="s">
        <v>3892</v>
      </c>
      <c r="R178" t="s">
        <v>797</v>
      </c>
      <c r="S178" t="s">
        <v>3043</v>
      </c>
      <c r="T178" t="s">
        <v>3047</v>
      </c>
      <c r="U178">
        <v>3.3099999999999997E-2</v>
      </c>
      <c r="V178">
        <v>3.3099999999999997E-2</v>
      </c>
      <c r="W178" t="s">
        <v>52</v>
      </c>
      <c r="X178">
        <v>0.90029999999999999</v>
      </c>
      <c r="Y178">
        <v>0.95130000000000003</v>
      </c>
      <c r="Z178">
        <v>0.95130000000000003</v>
      </c>
      <c r="AA178">
        <v>0.90029999999999999</v>
      </c>
      <c r="AB178">
        <v>20</v>
      </c>
      <c r="AC178">
        <v>20.0001</v>
      </c>
      <c r="AD178">
        <v>18.802099999999999</v>
      </c>
      <c r="AE178">
        <v>18.802199999999999</v>
      </c>
      <c r="AF178" t="s">
        <v>3973</v>
      </c>
      <c r="AG178" t="s">
        <v>3973</v>
      </c>
      <c r="AH178" t="s">
        <v>3894</v>
      </c>
      <c r="AI178" t="s">
        <v>3894</v>
      </c>
      <c r="AJ178" t="s">
        <v>3895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3896</v>
      </c>
      <c r="AT178" t="s">
        <v>3890</v>
      </c>
      <c r="AU178" t="s">
        <v>3897</v>
      </c>
      <c r="AV178" t="s">
        <v>3898</v>
      </c>
      <c r="AW178">
        <v>2</v>
      </c>
      <c r="AX178">
        <v>0</v>
      </c>
    </row>
    <row r="179" spans="1:50" x14ac:dyDescent="0.25">
      <c r="A179" t="s">
        <v>4151</v>
      </c>
      <c r="B179" t="s">
        <v>3889</v>
      </c>
      <c r="C179" t="s">
        <v>3890</v>
      </c>
      <c r="D179">
        <v>29.646000000000001</v>
      </c>
      <c r="E179">
        <v>29.585999999999999</v>
      </c>
      <c r="F179" s="2">
        <v>3.0000000000000001E-3</v>
      </c>
      <c r="G179" t="s">
        <v>3100</v>
      </c>
      <c r="H179" t="s">
        <v>3104</v>
      </c>
      <c r="I179">
        <v>440384.1496</v>
      </c>
      <c r="J179">
        <v>1827374.8986</v>
      </c>
      <c r="K179">
        <v>440404.1496</v>
      </c>
      <c r="L179">
        <v>1827374.8986</v>
      </c>
      <c r="M179" t="s">
        <v>56</v>
      </c>
      <c r="N179" t="s">
        <v>57</v>
      </c>
      <c r="O179">
        <v>450</v>
      </c>
      <c r="P179" t="s">
        <v>3891</v>
      </c>
      <c r="Q179" t="s">
        <v>3892</v>
      </c>
      <c r="R179" t="s">
        <v>3089</v>
      </c>
      <c r="S179" t="s">
        <v>3102</v>
      </c>
      <c r="T179" s="1" t="s">
        <v>3106</v>
      </c>
      <c r="U179">
        <v>-0.27500000000000002</v>
      </c>
      <c r="V179">
        <v>-0.27500000000000002</v>
      </c>
      <c r="W179" t="s">
        <v>52</v>
      </c>
      <c r="X179">
        <v>1.1701999999999999</v>
      </c>
      <c r="Y179">
        <v>1.232</v>
      </c>
      <c r="Z179">
        <v>1.232</v>
      </c>
      <c r="AA179">
        <v>1.1701999999999999</v>
      </c>
      <c r="AB179">
        <v>20</v>
      </c>
      <c r="AC179">
        <v>20.0001</v>
      </c>
      <c r="AD179">
        <v>18.802099999999999</v>
      </c>
      <c r="AE179">
        <v>18.802199999999999</v>
      </c>
      <c r="AF179" t="s">
        <v>183</v>
      </c>
      <c r="AG179" t="s">
        <v>183</v>
      </c>
      <c r="AH179" t="s">
        <v>3894</v>
      </c>
      <c r="AI179" t="s">
        <v>3894</v>
      </c>
      <c r="AJ179" t="s">
        <v>3895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3896</v>
      </c>
      <c r="AT179" t="s">
        <v>3890</v>
      </c>
      <c r="AU179" t="s">
        <v>3897</v>
      </c>
      <c r="AV179" t="s">
        <v>3898</v>
      </c>
      <c r="AW179">
        <v>2</v>
      </c>
      <c r="AX179">
        <v>0</v>
      </c>
    </row>
    <row r="180" spans="1:50" x14ac:dyDescent="0.25">
      <c r="A180" t="s">
        <v>4152</v>
      </c>
      <c r="B180" t="s">
        <v>3889</v>
      </c>
      <c r="C180" t="s">
        <v>3890</v>
      </c>
      <c r="D180">
        <v>29.681000000000001</v>
      </c>
      <c r="E180">
        <v>29.620999999999999</v>
      </c>
      <c r="F180" s="2">
        <v>3.0000000000000001E-3</v>
      </c>
      <c r="G180" t="s">
        <v>2181</v>
      </c>
      <c r="H180" t="s">
        <v>2185</v>
      </c>
      <c r="I180">
        <v>440323.97489999997</v>
      </c>
      <c r="J180">
        <v>1827775.5748000001</v>
      </c>
      <c r="K180">
        <v>440323.97489999997</v>
      </c>
      <c r="L180">
        <v>1827755.5748000001</v>
      </c>
      <c r="M180" t="s">
        <v>56</v>
      </c>
      <c r="N180" t="s">
        <v>57</v>
      </c>
      <c r="O180">
        <v>450</v>
      </c>
      <c r="P180" t="s">
        <v>3891</v>
      </c>
      <c r="Q180" t="s">
        <v>3892</v>
      </c>
      <c r="R180" t="s">
        <v>161</v>
      </c>
      <c r="S180" t="s">
        <v>2183</v>
      </c>
      <c r="T180" t="s">
        <v>2187</v>
      </c>
      <c r="U180">
        <v>0</v>
      </c>
      <c r="V180">
        <v>0</v>
      </c>
      <c r="W180" t="s">
        <v>52</v>
      </c>
      <c r="X180">
        <v>0.88160000000000005</v>
      </c>
      <c r="Y180">
        <v>0.89839999999999998</v>
      </c>
      <c r="Z180">
        <v>0.89839999999999998</v>
      </c>
      <c r="AA180">
        <v>0.88160000000000005</v>
      </c>
      <c r="AB180">
        <v>20</v>
      </c>
      <c r="AC180">
        <v>20.0001</v>
      </c>
      <c r="AD180">
        <v>18.802099999999999</v>
      </c>
      <c r="AE180">
        <v>18.802199999999999</v>
      </c>
      <c r="AF180" t="s">
        <v>2233</v>
      </c>
      <c r="AG180" t="s">
        <v>2233</v>
      </c>
      <c r="AH180" t="s">
        <v>3894</v>
      </c>
      <c r="AI180" t="s">
        <v>3894</v>
      </c>
      <c r="AJ180" t="s">
        <v>3895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3896</v>
      </c>
      <c r="AT180" t="s">
        <v>3890</v>
      </c>
      <c r="AU180" t="s">
        <v>3897</v>
      </c>
      <c r="AV180" t="s">
        <v>3898</v>
      </c>
      <c r="AW180">
        <v>2</v>
      </c>
      <c r="AX180">
        <v>0</v>
      </c>
    </row>
    <row r="181" spans="1:50" x14ac:dyDescent="0.25">
      <c r="A181" t="s">
        <v>4153</v>
      </c>
      <c r="B181" t="s">
        <v>3889</v>
      </c>
      <c r="C181" t="s">
        <v>3890</v>
      </c>
      <c r="D181">
        <v>29.757000000000001</v>
      </c>
      <c r="E181">
        <v>29.696999999999999</v>
      </c>
      <c r="F181" s="2">
        <v>3.0000000000000001E-3</v>
      </c>
      <c r="G181" t="s">
        <v>2177</v>
      </c>
      <c r="H181" t="s">
        <v>2181</v>
      </c>
      <c r="I181">
        <v>440323.97489999997</v>
      </c>
      <c r="J181">
        <v>1827795.5748000001</v>
      </c>
      <c r="K181">
        <v>440323.97489999997</v>
      </c>
      <c r="L181">
        <v>1827775.5748000001</v>
      </c>
      <c r="M181" t="s">
        <v>56</v>
      </c>
      <c r="N181" t="s">
        <v>57</v>
      </c>
      <c r="O181">
        <v>450</v>
      </c>
      <c r="P181" t="s">
        <v>3891</v>
      </c>
      <c r="Q181" t="s">
        <v>3892</v>
      </c>
      <c r="R181" t="s">
        <v>161</v>
      </c>
      <c r="S181" t="s">
        <v>2179</v>
      </c>
      <c r="T181" t="s">
        <v>2183</v>
      </c>
      <c r="U181">
        <v>0</v>
      </c>
      <c r="V181">
        <v>0</v>
      </c>
      <c r="W181" t="s">
        <v>52</v>
      </c>
      <c r="X181">
        <v>0.88239999999999996</v>
      </c>
      <c r="Y181">
        <v>0.8992</v>
      </c>
      <c r="Z181">
        <v>0.8992</v>
      </c>
      <c r="AA181">
        <v>0.88239999999999996</v>
      </c>
      <c r="AB181">
        <v>20</v>
      </c>
      <c r="AC181">
        <v>20.0001</v>
      </c>
      <c r="AD181">
        <v>18.802099999999999</v>
      </c>
      <c r="AE181">
        <v>18.802199999999999</v>
      </c>
      <c r="AF181" t="s">
        <v>2233</v>
      </c>
      <c r="AG181" t="s">
        <v>2233</v>
      </c>
      <c r="AH181" t="s">
        <v>3894</v>
      </c>
      <c r="AI181" t="s">
        <v>3894</v>
      </c>
      <c r="AJ181" t="s">
        <v>3895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3896</v>
      </c>
      <c r="AT181" t="s">
        <v>3890</v>
      </c>
      <c r="AU181" t="s">
        <v>3897</v>
      </c>
      <c r="AV181" t="s">
        <v>3898</v>
      </c>
      <c r="AW181">
        <v>2</v>
      </c>
      <c r="AX181">
        <v>0</v>
      </c>
    </row>
    <row r="182" spans="1:50" x14ac:dyDescent="0.25">
      <c r="A182" t="s">
        <v>4154</v>
      </c>
      <c r="B182" t="s">
        <v>3889</v>
      </c>
      <c r="C182" t="s">
        <v>3890</v>
      </c>
      <c r="D182">
        <v>33.314999999999998</v>
      </c>
      <c r="E182">
        <v>33.255000000000003</v>
      </c>
      <c r="F182" s="2">
        <v>3.0000000000000001E-3</v>
      </c>
      <c r="G182" t="s">
        <v>1771</v>
      </c>
      <c r="H182" t="s">
        <v>1774</v>
      </c>
      <c r="I182">
        <v>440121.67450000002</v>
      </c>
      <c r="J182">
        <v>1828182.8171999999</v>
      </c>
      <c r="K182">
        <v>440121.67450000002</v>
      </c>
      <c r="L182">
        <v>1828162.8171999999</v>
      </c>
      <c r="M182" t="s">
        <v>56</v>
      </c>
      <c r="N182" t="s">
        <v>57</v>
      </c>
      <c r="O182">
        <v>450</v>
      </c>
      <c r="P182" t="s">
        <v>3891</v>
      </c>
      <c r="Q182" t="s">
        <v>3892</v>
      </c>
      <c r="R182" t="s">
        <v>395</v>
      </c>
      <c r="S182" t="s">
        <v>452</v>
      </c>
      <c r="T182" t="s">
        <v>448</v>
      </c>
      <c r="U182">
        <v>7.7899999999999997E-2</v>
      </c>
      <c r="V182">
        <v>7.7899999999999997E-2</v>
      </c>
      <c r="W182" t="s">
        <v>52</v>
      </c>
      <c r="X182">
        <v>0.88229999999999997</v>
      </c>
      <c r="Y182">
        <v>0.94379999999999997</v>
      </c>
      <c r="Z182">
        <v>0.94379999999999997</v>
      </c>
      <c r="AA182">
        <v>0.88229999999999997</v>
      </c>
      <c r="AB182">
        <v>20</v>
      </c>
      <c r="AC182">
        <v>20.0001</v>
      </c>
      <c r="AD182">
        <v>18.802099999999999</v>
      </c>
      <c r="AE182">
        <v>18.802199999999999</v>
      </c>
      <c r="AF182" t="s">
        <v>2233</v>
      </c>
      <c r="AG182" t="s">
        <v>2233</v>
      </c>
      <c r="AH182" t="s">
        <v>3894</v>
      </c>
      <c r="AI182" t="s">
        <v>3894</v>
      </c>
      <c r="AJ182" t="s">
        <v>3895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3896</v>
      </c>
      <c r="AT182" t="s">
        <v>3890</v>
      </c>
      <c r="AU182" t="s">
        <v>3897</v>
      </c>
      <c r="AV182" t="s">
        <v>3898</v>
      </c>
      <c r="AW182">
        <v>2</v>
      </c>
      <c r="AX182">
        <v>0</v>
      </c>
    </row>
    <row r="183" spans="1:50" x14ac:dyDescent="0.25">
      <c r="A183" t="s">
        <v>4155</v>
      </c>
      <c r="B183" t="s">
        <v>3963</v>
      </c>
      <c r="C183" t="s">
        <v>3890</v>
      </c>
      <c r="D183">
        <v>31.722000000000001</v>
      </c>
      <c r="E183">
        <v>31.661999999999999</v>
      </c>
      <c r="F183" s="2">
        <v>3.0000000000000001E-3</v>
      </c>
      <c r="G183" t="s">
        <v>2008</v>
      </c>
      <c r="H183" t="s">
        <v>2011</v>
      </c>
      <c r="I183">
        <v>440132.69949999999</v>
      </c>
      <c r="J183">
        <v>1827902.8171999999</v>
      </c>
      <c r="K183">
        <v>440132.69949999999</v>
      </c>
      <c r="L183">
        <v>1827882.8171999999</v>
      </c>
      <c r="M183" t="s">
        <v>56</v>
      </c>
      <c r="N183" t="s">
        <v>57</v>
      </c>
      <c r="O183">
        <v>600</v>
      </c>
      <c r="P183" t="s">
        <v>3891</v>
      </c>
      <c r="Q183" t="s">
        <v>3892</v>
      </c>
      <c r="R183" t="s">
        <v>1968</v>
      </c>
      <c r="S183" t="s">
        <v>1061</v>
      </c>
      <c r="T183" t="s">
        <v>1065</v>
      </c>
      <c r="U183">
        <v>-3.9199999999999999E-2</v>
      </c>
      <c r="V183">
        <v>-4.8300000000000003E-2</v>
      </c>
      <c r="W183" t="s">
        <v>52</v>
      </c>
      <c r="X183">
        <v>0.88039999999999996</v>
      </c>
      <c r="Y183">
        <v>0.89270000000000005</v>
      </c>
      <c r="Z183">
        <v>0.89270000000000005</v>
      </c>
      <c r="AA183">
        <v>0.88039999999999996</v>
      </c>
      <c r="AB183">
        <v>20</v>
      </c>
      <c r="AC183">
        <v>20.0001</v>
      </c>
      <c r="AD183">
        <v>18.802499999999998</v>
      </c>
      <c r="AE183">
        <v>18.802600000000002</v>
      </c>
      <c r="AF183" t="s">
        <v>2233</v>
      </c>
      <c r="AG183" t="s">
        <v>2233</v>
      </c>
      <c r="AH183" t="s">
        <v>3894</v>
      </c>
      <c r="AI183" t="s">
        <v>3894</v>
      </c>
      <c r="AJ183" t="s">
        <v>3895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3896</v>
      </c>
      <c r="AT183" t="s">
        <v>3890</v>
      </c>
      <c r="AU183" t="s">
        <v>3964</v>
      </c>
      <c r="AV183" t="s">
        <v>3898</v>
      </c>
      <c r="AW183">
        <v>2</v>
      </c>
      <c r="AX183">
        <v>0</v>
      </c>
    </row>
    <row r="184" spans="1:50" x14ac:dyDescent="0.25">
      <c r="A184" t="s">
        <v>4156</v>
      </c>
      <c r="B184" t="s">
        <v>3963</v>
      </c>
      <c r="C184" t="s">
        <v>3890</v>
      </c>
      <c r="D184">
        <v>31.794</v>
      </c>
      <c r="E184">
        <v>31.734000000000002</v>
      </c>
      <c r="F184" s="2">
        <v>3.0000000000000001E-3</v>
      </c>
      <c r="G184" t="s">
        <v>2005</v>
      </c>
      <c r="H184" t="s">
        <v>2008</v>
      </c>
      <c r="I184">
        <v>440132.69949999999</v>
      </c>
      <c r="J184">
        <v>1827922.8171999999</v>
      </c>
      <c r="K184">
        <v>440132.69949999999</v>
      </c>
      <c r="L184">
        <v>1827902.8171999999</v>
      </c>
      <c r="M184" t="s">
        <v>56</v>
      </c>
      <c r="N184" t="s">
        <v>57</v>
      </c>
      <c r="O184">
        <v>600</v>
      </c>
      <c r="P184" t="s">
        <v>3891</v>
      </c>
      <c r="Q184" t="s">
        <v>3892</v>
      </c>
      <c r="R184" t="s">
        <v>1968</v>
      </c>
      <c r="S184" t="s">
        <v>1057</v>
      </c>
      <c r="T184" t="s">
        <v>1061</v>
      </c>
      <c r="U184">
        <v>-3.0099999999999998E-2</v>
      </c>
      <c r="V184">
        <v>-3.9199999999999999E-2</v>
      </c>
      <c r="W184" t="s">
        <v>52</v>
      </c>
      <c r="X184">
        <v>0.88070000000000004</v>
      </c>
      <c r="Y184">
        <v>0.90800000000000003</v>
      </c>
      <c r="Z184">
        <v>0.90800000000000003</v>
      </c>
      <c r="AA184">
        <v>0.88070000000000004</v>
      </c>
      <c r="AB184">
        <v>20</v>
      </c>
      <c r="AC184">
        <v>20.0001</v>
      </c>
      <c r="AD184">
        <v>18.802499999999998</v>
      </c>
      <c r="AE184">
        <v>18.802600000000002</v>
      </c>
      <c r="AF184" t="s">
        <v>2233</v>
      </c>
      <c r="AG184" t="s">
        <v>2233</v>
      </c>
      <c r="AH184" t="s">
        <v>3894</v>
      </c>
      <c r="AI184" t="s">
        <v>3894</v>
      </c>
      <c r="AJ184" t="s">
        <v>3895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3896</v>
      </c>
      <c r="AT184" t="s">
        <v>3890</v>
      </c>
      <c r="AU184" t="s">
        <v>3964</v>
      </c>
      <c r="AV184" t="s">
        <v>3898</v>
      </c>
      <c r="AW184">
        <v>2</v>
      </c>
      <c r="AX184">
        <v>0</v>
      </c>
    </row>
    <row r="185" spans="1:50" x14ac:dyDescent="0.25">
      <c r="A185" t="s">
        <v>4157</v>
      </c>
      <c r="B185" t="s">
        <v>3889</v>
      </c>
      <c r="C185" t="s">
        <v>3890</v>
      </c>
      <c r="D185">
        <v>33.314999999999998</v>
      </c>
      <c r="E185">
        <v>33.255000000000003</v>
      </c>
      <c r="F185" s="2">
        <v>3.0000000000000001E-3</v>
      </c>
      <c r="G185" t="s">
        <v>1969</v>
      </c>
      <c r="H185" t="s">
        <v>1971</v>
      </c>
      <c r="I185">
        <v>440132.7745</v>
      </c>
      <c r="J185">
        <v>1828182.8171999999</v>
      </c>
      <c r="K185">
        <v>440132.7745</v>
      </c>
      <c r="L185">
        <v>1828162.8171999999</v>
      </c>
      <c r="M185" t="s">
        <v>56</v>
      </c>
      <c r="N185" t="s">
        <v>57</v>
      </c>
      <c r="O185">
        <v>450</v>
      </c>
      <c r="P185" t="s">
        <v>3891</v>
      </c>
      <c r="Q185" t="s">
        <v>3892</v>
      </c>
      <c r="R185" t="s">
        <v>1968</v>
      </c>
      <c r="S185" t="s">
        <v>452</v>
      </c>
      <c r="T185" t="s">
        <v>448</v>
      </c>
      <c r="U185">
        <v>1.32E-2</v>
      </c>
      <c r="V185">
        <v>4.1000000000000003E-3</v>
      </c>
      <c r="W185" t="s">
        <v>52</v>
      </c>
      <c r="X185">
        <v>0.88229999999999997</v>
      </c>
      <c r="Y185">
        <v>0.94379999999999997</v>
      </c>
      <c r="Z185">
        <v>0.94379999999999997</v>
      </c>
      <c r="AA185">
        <v>0.88229999999999997</v>
      </c>
      <c r="AB185">
        <v>20</v>
      </c>
      <c r="AC185">
        <v>20.0001</v>
      </c>
      <c r="AD185">
        <v>18.802099999999999</v>
      </c>
      <c r="AE185">
        <v>18.802199999999999</v>
      </c>
      <c r="AF185" t="s">
        <v>2233</v>
      </c>
      <c r="AG185" t="s">
        <v>2233</v>
      </c>
      <c r="AH185" t="s">
        <v>3894</v>
      </c>
      <c r="AI185" t="s">
        <v>3894</v>
      </c>
      <c r="AJ185" t="s">
        <v>3895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3896</v>
      </c>
      <c r="AT185" t="s">
        <v>3890</v>
      </c>
      <c r="AU185" t="s">
        <v>3897</v>
      </c>
      <c r="AV185" t="s">
        <v>3898</v>
      </c>
      <c r="AW185">
        <v>2</v>
      </c>
      <c r="AX185">
        <v>0</v>
      </c>
    </row>
    <row r="186" spans="1:50" x14ac:dyDescent="0.25">
      <c r="A186" t="s">
        <v>4158</v>
      </c>
      <c r="B186" t="s">
        <v>3889</v>
      </c>
      <c r="C186" t="s">
        <v>3890</v>
      </c>
      <c r="D186">
        <v>32.192999999999998</v>
      </c>
      <c r="E186">
        <v>32.133000000000003</v>
      </c>
      <c r="F186" s="2">
        <v>3.0000000000000001E-3</v>
      </c>
      <c r="G186" t="s">
        <v>1870</v>
      </c>
      <c r="H186" t="s">
        <v>1874</v>
      </c>
      <c r="I186">
        <v>440008.1482</v>
      </c>
      <c r="J186">
        <v>1827864.4741</v>
      </c>
      <c r="K186">
        <v>440028.22489999997</v>
      </c>
      <c r="L186">
        <v>1827864.4741</v>
      </c>
      <c r="M186" t="s">
        <v>56</v>
      </c>
      <c r="N186" t="s">
        <v>57</v>
      </c>
      <c r="O186">
        <v>450</v>
      </c>
      <c r="P186" t="s">
        <v>3891</v>
      </c>
      <c r="Q186" t="s">
        <v>3892</v>
      </c>
      <c r="R186" t="s">
        <v>1289</v>
      </c>
      <c r="S186" t="s">
        <v>1872</v>
      </c>
      <c r="T186" t="s">
        <v>420</v>
      </c>
      <c r="U186">
        <v>-1.6000000000000001E-3</v>
      </c>
      <c r="V186">
        <v>-1.6000000000000001E-3</v>
      </c>
      <c r="W186" t="s">
        <v>52</v>
      </c>
      <c r="X186">
        <v>0.88229999999999997</v>
      </c>
      <c r="Y186">
        <v>0.96350000000000002</v>
      </c>
      <c r="Z186">
        <v>0.96350000000000002</v>
      </c>
      <c r="AA186">
        <v>0.88229999999999997</v>
      </c>
      <c r="AB186">
        <v>20.076699999999999</v>
      </c>
      <c r="AC186">
        <v>20.076799999999999</v>
      </c>
      <c r="AD186">
        <v>18.878799999999998</v>
      </c>
      <c r="AE186">
        <v>18.878900000000002</v>
      </c>
      <c r="AF186" t="s">
        <v>183</v>
      </c>
      <c r="AG186" t="s">
        <v>183</v>
      </c>
      <c r="AH186" t="s">
        <v>3894</v>
      </c>
      <c r="AI186" t="s">
        <v>3894</v>
      </c>
      <c r="AJ186" t="s">
        <v>3895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3896</v>
      </c>
      <c r="AT186" t="s">
        <v>3890</v>
      </c>
      <c r="AU186" t="s">
        <v>3897</v>
      </c>
      <c r="AV186" t="s">
        <v>3898</v>
      </c>
      <c r="AW186">
        <v>2</v>
      </c>
      <c r="AX186">
        <v>0</v>
      </c>
    </row>
    <row r="187" spans="1:50" x14ac:dyDescent="0.25">
      <c r="A187" t="s">
        <v>4159</v>
      </c>
      <c r="B187" t="s">
        <v>3963</v>
      </c>
      <c r="C187" t="s">
        <v>3890</v>
      </c>
      <c r="D187">
        <v>31.623000000000001</v>
      </c>
      <c r="E187">
        <v>31.562999999999999</v>
      </c>
      <c r="F187" s="2">
        <v>3.0000000000000001E-3</v>
      </c>
      <c r="G187" t="s">
        <v>1659</v>
      </c>
      <c r="H187" t="s">
        <v>1663</v>
      </c>
      <c r="I187">
        <v>440044.1495</v>
      </c>
      <c r="J187">
        <v>1827661.0604999999</v>
      </c>
      <c r="K187">
        <v>440044.1495</v>
      </c>
      <c r="L187">
        <v>1827641.0604999999</v>
      </c>
      <c r="M187" t="s">
        <v>56</v>
      </c>
      <c r="N187" t="s">
        <v>57</v>
      </c>
      <c r="O187">
        <v>600</v>
      </c>
      <c r="P187" t="s">
        <v>3891</v>
      </c>
      <c r="Q187" t="s">
        <v>3892</v>
      </c>
      <c r="R187" t="s">
        <v>390</v>
      </c>
      <c r="S187" t="s">
        <v>1661</v>
      </c>
      <c r="T187" t="s">
        <v>1665</v>
      </c>
      <c r="U187">
        <v>7.4999999999999997E-2</v>
      </c>
      <c r="V187">
        <v>7.4999999999999997E-2</v>
      </c>
      <c r="W187" t="s">
        <v>52</v>
      </c>
      <c r="X187">
        <v>0.89229999999999998</v>
      </c>
      <c r="Y187">
        <v>0.94059999999999999</v>
      </c>
      <c r="Z187">
        <v>0.94059999999999999</v>
      </c>
      <c r="AA187">
        <v>0.89229999999999998</v>
      </c>
      <c r="AB187">
        <v>20</v>
      </c>
      <c r="AC187">
        <v>20.0001</v>
      </c>
      <c r="AD187">
        <v>18.802499999999998</v>
      </c>
      <c r="AE187">
        <v>18.802600000000002</v>
      </c>
      <c r="AF187" t="s">
        <v>2233</v>
      </c>
      <c r="AG187" t="s">
        <v>2233</v>
      </c>
      <c r="AH187" t="s">
        <v>3894</v>
      </c>
      <c r="AI187" t="s">
        <v>3894</v>
      </c>
      <c r="AJ187" t="s">
        <v>3895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3896</v>
      </c>
      <c r="AT187" t="s">
        <v>3890</v>
      </c>
      <c r="AU187" t="s">
        <v>3964</v>
      </c>
      <c r="AV187" t="s">
        <v>3898</v>
      </c>
      <c r="AW187">
        <v>2</v>
      </c>
      <c r="AX187">
        <v>0</v>
      </c>
    </row>
    <row r="188" spans="1:50" x14ac:dyDescent="0.25">
      <c r="A188" t="s">
        <v>4160</v>
      </c>
      <c r="B188" t="s">
        <v>4065</v>
      </c>
      <c r="C188" t="s">
        <v>3890</v>
      </c>
      <c r="D188">
        <v>30.158000000000001</v>
      </c>
      <c r="E188">
        <v>30.097999999999999</v>
      </c>
      <c r="F188" s="2">
        <v>3.0000000000000001E-3</v>
      </c>
      <c r="G188" t="s">
        <v>1326</v>
      </c>
      <c r="H188" t="s">
        <v>1330</v>
      </c>
      <c r="I188">
        <v>440198.92479999998</v>
      </c>
      <c r="J188">
        <v>1827721.8171000001</v>
      </c>
      <c r="K188">
        <v>440198.92479999998</v>
      </c>
      <c r="L188">
        <v>1827701.8171000001</v>
      </c>
      <c r="M188" t="s">
        <v>56</v>
      </c>
      <c r="N188" t="s">
        <v>57</v>
      </c>
      <c r="O188">
        <v>900</v>
      </c>
      <c r="P188" t="s">
        <v>58</v>
      </c>
      <c r="Q188" t="s">
        <v>3919</v>
      </c>
      <c r="R188" t="s">
        <v>146</v>
      </c>
      <c r="S188" t="s">
        <v>1328</v>
      </c>
      <c r="T188" t="s">
        <v>1332</v>
      </c>
      <c r="U188">
        <v>-2.5000000000000001E-2</v>
      </c>
      <c r="V188">
        <v>-2.5000000000000001E-2</v>
      </c>
      <c r="W188" t="s">
        <v>52</v>
      </c>
      <c r="X188">
        <v>0.85229999999999995</v>
      </c>
      <c r="Y188">
        <v>0.93330000000000002</v>
      </c>
      <c r="Z188">
        <v>0.93330000000000002</v>
      </c>
      <c r="AA188">
        <v>0.85229999999999995</v>
      </c>
      <c r="AB188">
        <v>20</v>
      </c>
      <c r="AC188">
        <v>20.0001</v>
      </c>
      <c r="AD188">
        <v>18.803599999999999</v>
      </c>
      <c r="AE188">
        <v>18.803699999999999</v>
      </c>
      <c r="AF188" t="s">
        <v>2233</v>
      </c>
      <c r="AG188" t="s">
        <v>2233</v>
      </c>
      <c r="AH188" t="s">
        <v>3894</v>
      </c>
      <c r="AI188" t="s">
        <v>3894</v>
      </c>
      <c r="AJ188" t="s">
        <v>3895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3896</v>
      </c>
      <c r="AT188" t="s">
        <v>3890</v>
      </c>
      <c r="AU188" t="s">
        <v>4066</v>
      </c>
      <c r="AV188" t="s">
        <v>3898</v>
      </c>
      <c r="AW188">
        <v>2</v>
      </c>
      <c r="AX188">
        <v>0</v>
      </c>
    </row>
    <row r="189" spans="1:50" x14ac:dyDescent="0.25">
      <c r="A189" t="s">
        <v>4161</v>
      </c>
      <c r="B189" t="s">
        <v>4065</v>
      </c>
      <c r="C189" t="s">
        <v>3890</v>
      </c>
      <c r="D189">
        <v>30.492000000000001</v>
      </c>
      <c r="E189">
        <v>30.433</v>
      </c>
      <c r="F189" s="2">
        <v>3.0000000000000001E-3</v>
      </c>
      <c r="G189" t="s">
        <v>1314</v>
      </c>
      <c r="H189" t="s">
        <v>1318</v>
      </c>
      <c r="I189">
        <v>440198.92479999998</v>
      </c>
      <c r="J189">
        <v>1827781.8171000001</v>
      </c>
      <c r="K189">
        <v>440198.92479999998</v>
      </c>
      <c r="L189">
        <v>1827761.8171000001</v>
      </c>
      <c r="M189" t="s">
        <v>56</v>
      </c>
      <c r="N189" t="s">
        <v>57</v>
      </c>
      <c r="O189">
        <v>900</v>
      </c>
      <c r="P189" t="s">
        <v>58</v>
      </c>
      <c r="Q189" t="s">
        <v>3919</v>
      </c>
      <c r="R189" t="s">
        <v>146</v>
      </c>
      <c r="S189" t="s">
        <v>1316</v>
      </c>
      <c r="T189" t="s">
        <v>1320</v>
      </c>
      <c r="U189">
        <v>-2.5000000000000001E-2</v>
      </c>
      <c r="V189">
        <v>-2.5000000000000001E-2</v>
      </c>
      <c r="W189" t="s">
        <v>52</v>
      </c>
      <c r="X189">
        <v>0.85150000000000003</v>
      </c>
      <c r="Y189">
        <v>0.8891</v>
      </c>
      <c r="Z189">
        <v>0.8891</v>
      </c>
      <c r="AA189">
        <v>0.85150000000000003</v>
      </c>
      <c r="AB189">
        <v>20</v>
      </c>
      <c r="AC189">
        <v>20.0001</v>
      </c>
      <c r="AD189">
        <v>18.8035</v>
      </c>
      <c r="AE189">
        <v>18.803599999999999</v>
      </c>
      <c r="AF189" t="s">
        <v>2233</v>
      </c>
      <c r="AG189" t="s">
        <v>2233</v>
      </c>
      <c r="AH189" t="s">
        <v>3894</v>
      </c>
      <c r="AI189" t="s">
        <v>3894</v>
      </c>
      <c r="AJ189" t="s">
        <v>3895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3896</v>
      </c>
      <c r="AT189" t="s">
        <v>3890</v>
      </c>
      <c r="AU189" t="s">
        <v>4066</v>
      </c>
      <c r="AV189" t="s">
        <v>3898</v>
      </c>
      <c r="AW189">
        <v>2</v>
      </c>
      <c r="AX189">
        <v>0</v>
      </c>
    </row>
    <row r="190" spans="1:50" x14ac:dyDescent="0.25">
      <c r="A190" t="s">
        <v>4162</v>
      </c>
      <c r="B190" t="s">
        <v>4065</v>
      </c>
      <c r="C190" t="s">
        <v>3890</v>
      </c>
      <c r="D190">
        <v>31.071999999999999</v>
      </c>
      <c r="E190">
        <v>31.012</v>
      </c>
      <c r="F190" s="2">
        <v>3.0000000000000001E-3</v>
      </c>
      <c r="G190" t="s">
        <v>1279</v>
      </c>
      <c r="H190" t="s">
        <v>1283</v>
      </c>
      <c r="I190">
        <v>440198.92479999998</v>
      </c>
      <c r="J190">
        <v>1827901.8171000001</v>
      </c>
      <c r="K190">
        <v>440198.92479999998</v>
      </c>
      <c r="L190">
        <v>1827881.8171000001</v>
      </c>
      <c r="M190" t="s">
        <v>56</v>
      </c>
      <c r="N190" t="s">
        <v>57</v>
      </c>
      <c r="O190">
        <v>900</v>
      </c>
      <c r="P190" t="s">
        <v>58</v>
      </c>
      <c r="Q190" t="s">
        <v>3919</v>
      </c>
      <c r="R190" t="s">
        <v>146</v>
      </c>
      <c r="S190" s="1" t="s">
        <v>1281</v>
      </c>
      <c r="T190" s="1" t="s">
        <v>1285</v>
      </c>
      <c r="U190">
        <v>-2.5000000000000001E-2</v>
      </c>
      <c r="V190">
        <v>-2.5000000000000001E-2</v>
      </c>
      <c r="W190" t="s">
        <v>52</v>
      </c>
      <c r="X190">
        <v>0.85209999999999997</v>
      </c>
      <c r="Y190">
        <v>0.88870000000000005</v>
      </c>
      <c r="Z190">
        <v>0.88870000000000005</v>
      </c>
      <c r="AA190">
        <v>0.85209999999999997</v>
      </c>
      <c r="AB190">
        <v>20</v>
      </c>
      <c r="AC190">
        <v>20.0001</v>
      </c>
      <c r="AD190">
        <v>18.803599999999999</v>
      </c>
      <c r="AE190">
        <v>18.803699999999999</v>
      </c>
      <c r="AF190" t="s">
        <v>2233</v>
      </c>
      <c r="AG190" t="s">
        <v>2233</v>
      </c>
      <c r="AH190" t="s">
        <v>3894</v>
      </c>
      <c r="AI190" t="s">
        <v>3894</v>
      </c>
      <c r="AJ190" t="s">
        <v>3895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3896</v>
      </c>
      <c r="AT190" t="s">
        <v>3890</v>
      </c>
      <c r="AU190" t="s">
        <v>4066</v>
      </c>
      <c r="AV190" t="s">
        <v>3898</v>
      </c>
      <c r="AW190">
        <v>2</v>
      </c>
      <c r="AX190">
        <v>0</v>
      </c>
    </row>
    <row r="191" spans="1:50" x14ac:dyDescent="0.25">
      <c r="A191" t="s">
        <v>4163</v>
      </c>
      <c r="B191" t="s">
        <v>4065</v>
      </c>
      <c r="C191" t="s">
        <v>3890</v>
      </c>
      <c r="D191">
        <v>31.169</v>
      </c>
      <c r="E191">
        <v>31.109000000000002</v>
      </c>
      <c r="F191" s="2">
        <v>3.0000000000000001E-3</v>
      </c>
      <c r="G191" t="s">
        <v>1275</v>
      </c>
      <c r="H191" t="s">
        <v>1279</v>
      </c>
      <c r="I191">
        <v>440198.92479999998</v>
      </c>
      <c r="J191">
        <v>1827921.8171000001</v>
      </c>
      <c r="K191">
        <v>440198.92479999998</v>
      </c>
      <c r="L191">
        <v>1827901.8171000001</v>
      </c>
      <c r="M191" t="s">
        <v>56</v>
      </c>
      <c r="N191" t="s">
        <v>57</v>
      </c>
      <c r="O191">
        <v>900</v>
      </c>
      <c r="P191" t="s">
        <v>58</v>
      </c>
      <c r="Q191" t="s">
        <v>3919</v>
      </c>
      <c r="R191" t="s">
        <v>146</v>
      </c>
      <c r="S191" t="s">
        <v>1277</v>
      </c>
      <c r="T191" t="s">
        <v>1281</v>
      </c>
      <c r="U191">
        <v>-2.5000000000000001E-2</v>
      </c>
      <c r="V191">
        <v>-2.5000000000000001E-2</v>
      </c>
      <c r="W191" t="s">
        <v>52</v>
      </c>
      <c r="X191">
        <v>0.85170000000000001</v>
      </c>
      <c r="Y191">
        <v>0.88829999999999998</v>
      </c>
      <c r="Z191">
        <v>0.88829999999999998</v>
      </c>
      <c r="AA191">
        <v>0.85170000000000001</v>
      </c>
      <c r="AB191">
        <v>20</v>
      </c>
      <c r="AC191">
        <v>20.0001</v>
      </c>
      <c r="AD191">
        <v>18.803599999999999</v>
      </c>
      <c r="AE191">
        <v>18.803699999999999</v>
      </c>
      <c r="AF191" t="s">
        <v>2233</v>
      </c>
      <c r="AG191" t="s">
        <v>2233</v>
      </c>
      <c r="AH191" t="s">
        <v>3894</v>
      </c>
      <c r="AI191" t="s">
        <v>3894</v>
      </c>
      <c r="AJ191" t="s">
        <v>3895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3896</v>
      </c>
      <c r="AT191" t="s">
        <v>3890</v>
      </c>
      <c r="AU191" t="s">
        <v>4066</v>
      </c>
      <c r="AV191" t="s">
        <v>3898</v>
      </c>
      <c r="AW191">
        <v>2</v>
      </c>
      <c r="AX191">
        <v>0</v>
      </c>
    </row>
    <row r="192" spans="1:50" x14ac:dyDescent="0.25">
      <c r="A192" t="s">
        <v>4164</v>
      </c>
      <c r="B192" t="s">
        <v>4065</v>
      </c>
      <c r="C192" t="s">
        <v>3890</v>
      </c>
      <c r="D192">
        <v>31.361999999999998</v>
      </c>
      <c r="E192">
        <v>31.302</v>
      </c>
      <c r="F192" s="2">
        <v>3.0000000000000001E-3</v>
      </c>
      <c r="G192" t="s">
        <v>1267</v>
      </c>
      <c r="H192" t="s">
        <v>1271</v>
      </c>
      <c r="I192">
        <v>440198.92479999998</v>
      </c>
      <c r="J192">
        <v>1827961.8171000001</v>
      </c>
      <c r="K192">
        <v>440198.92479999998</v>
      </c>
      <c r="L192">
        <v>1827941.8171000001</v>
      </c>
      <c r="M192" t="s">
        <v>56</v>
      </c>
      <c r="N192" t="s">
        <v>57</v>
      </c>
      <c r="O192">
        <v>900</v>
      </c>
      <c r="P192" t="s">
        <v>58</v>
      </c>
      <c r="Q192" t="s">
        <v>3919</v>
      </c>
      <c r="R192" t="s">
        <v>146</v>
      </c>
      <c r="S192" t="s">
        <v>1269</v>
      </c>
      <c r="T192" t="s">
        <v>1273</v>
      </c>
      <c r="U192">
        <v>-2.5000000000000001E-2</v>
      </c>
      <c r="V192">
        <v>-2.5000000000000001E-2</v>
      </c>
      <c r="W192" t="s">
        <v>52</v>
      </c>
      <c r="X192">
        <v>0.85189999999999999</v>
      </c>
      <c r="Y192">
        <v>0.88849999999999996</v>
      </c>
      <c r="Z192">
        <v>0.88849999999999996</v>
      </c>
      <c r="AA192">
        <v>0.85189999999999999</v>
      </c>
      <c r="AB192">
        <v>20</v>
      </c>
      <c r="AC192">
        <v>20.0001</v>
      </c>
      <c r="AD192">
        <v>18.803599999999999</v>
      </c>
      <c r="AE192">
        <v>18.803699999999999</v>
      </c>
      <c r="AF192" t="s">
        <v>2233</v>
      </c>
      <c r="AG192" t="s">
        <v>2233</v>
      </c>
      <c r="AH192" t="s">
        <v>3894</v>
      </c>
      <c r="AI192" t="s">
        <v>3894</v>
      </c>
      <c r="AJ192" t="s">
        <v>3895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3896</v>
      </c>
      <c r="AT192" t="s">
        <v>3890</v>
      </c>
      <c r="AU192" t="s">
        <v>4066</v>
      </c>
      <c r="AV192" t="s">
        <v>3898</v>
      </c>
      <c r="AW192">
        <v>2</v>
      </c>
      <c r="AX192">
        <v>0</v>
      </c>
    </row>
    <row r="193" spans="1:50" x14ac:dyDescent="0.25">
      <c r="A193" t="s">
        <v>4165</v>
      </c>
      <c r="B193" t="s">
        <v>3963</v>
      </c>
      <c r="C193" t="s">
        <v>3890</v>
      </c>
      <c r="D193">
        <v>31.623000000000001</v>
      </c>
      <c r="E193">
        <v>31.562999999999999</v>
      </c>
      <c r="F193" s="2">
        <v>3.0000000000000001E-3</v>
      </c>
      <c r="G193" t="s">
        <v>1382</v>
      </c>
      <c r="H193" t="s">
        <v>1386</v>
      </c>
      <c r="I193">
        <v>440053.69949999999</v>
      </c>
      <c r="J193">
        <v>1827660.9783000001</v>
      </c>
      <c r="K193">
        <v>440053.69949999999</v>
      </c>
      <c r="L193">
        <v>1827640.9783000001</v>
      </c>
      <c r="M193" t="s">
        <v>56</v>
      </c>
      <c r="N193" t="s">
        <v>57</v>
      </c>
      <c r="O193">
        <v>600</v>
      </c>
      <c r="P193" t="s">
        <v>3891</v>
      </c>
      <c r="Q193" t="s">
        <v>3892</v>
      </c>
      <c r="R193" t="s">
        <v>381</v>
      </c>
      <c r="S193" s="1" t="s">
        <v>1384</v>
      </c>
      <c r="T193" t="s">
        <v>1388</v>
      </c>
      <c r="U193">
        <v>3.2899999999999999E-2</v>
      </c>
      <c r="V193">
        <v>2.7E-2</v>
      </c>
      <c r="W193" t="s">
        <v>52</v>
      </c>
      <c r="X193">
        <v>0.89190000000000003</v>
      </c>
      <c r="Y193">
        <v>0.94010000000000005</v>
      </c>
      <c r="Z193">
        <v>0.94010000000000005</v>
      </c>
      <c r="AA193">
        <v>0.89190000000000003</v>
      </c>
      <c r="AB193">
        <v>20</v>
      </c>
      <c r="AC193">
        <v>20.0001</v>
      </c>
      <c r="AD193">
        <v>18.802499999999998</v>
      </c>
      <c r="AE193">
        <v>18.802600000000002</v>
      </c>
      <c r="AF193" t="s">
        <v>2233</v>
      </c>
      <c r="AG193" t="s">
        <v>2233</v>
      </c>
      <c r="AH193" t="s">
        <v>3894</v>
      </c>
      <c r="AI193" t="s">
        <v>3894</v>
      </c>
      <c r="AJ193" t="s">
        <v>3895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3896</v>
      </c>
      <c r="AT193" t="s">
        <v>3890</v>
      </c>
      <c r="AU193" t="s">
        <v>3964</v>
      </c>
      <c r="AV193" t="s">
        <v>3898</v>
      </c>
      <c r="AW193">
        <v>2</v>
      </c>
      <c r="AX193">
        <v>0</v>
      </c>
    </row>
    <row r="194" spans="1:50" x14ac:dyDescent="0.25">
      <c r="A194" t="s">
        <v>4166</v>
      </c>
      <c r="B194" t="s">
        <v>3928</v>
      </c>
      <c r="C194" t="s">
        <v>3890</v>
      </c>
      <c r="D194">
        <v>30.062000000000001</v>
      </c>
      <c r="E194">
        <v>30.001999999999999</v>
      </c>
      <c r="F194" s="2">
        <v>3.0000000000000001E-3</v>
      </c>
      <c r="G194" t="s">
        <v>1619</v>
      </c>
      <c r="H194" t="s">
        <v>1623</v>
      </c>
      <c r="I194">
        <v>440012.3334</v>
      </c>
      <c r="J194">
        <v>1827550.2588</v>
      </c>
      <c r="K194">
        <v>440032.3334</v>
      </c>
      <c r="L194">
        <v>1827550.2588</v>
      </c>
      <c r="M194" t="s">
        <v>56</v>
      </c>
      <c r="N194" t="s">
        <v>57</v>
      </c>
      <c r="O194">
        <v>900</v>
      </c>
      <c r="P194" t="s">
        <v>3929</v>
      </c>
      <c r="Q194" t="s">
        <v>3930</v>
      </c>
      <c r="R194" t="s">
        <v>132</v>
      </c>
      <c r="S194" t="s">
        <v>1621</v>
      </c>
      <c r="T194" t="s">
        <v>1625</v>
      </c>
      <c r="U194">
        <v>-0.05</v>
      </c>
      <c r="V194">
        <v>-0.05</v>
      </c>
      <c r="W194" t="s">
        <v>52</v>
      </c>
      <c r="X194">
        <v>1.2528999999999999</v>
      </c>
      <c r="Y194">
        <v>1.3512999999999999</v>
      </c>
      <c r="Z194">
        <v>1.3512999999999999</v>
      </c>
      <c r="AA194">
        <v>1.2528999999999999</v>
      </c>
      <c r="AB194">
        <v>20</v>
      </c>
      <c r="AC194">
        <v>20.0001</v>
      </c>
      <c r="AD194">
        <v>18.803699999999999</v>
      </c>
      <c r="AE194">
        <v>18.803799999999999</v>
      </c>
      <c r="AF194" t="s">
        <v>3920</v>
      </c>
      <c r="AG194" t="s">
        <v>3920</v>
      </c>
      <c r="AH194" t="s">
        <v>3894</v>
      </c>
      <c r="AI194" t="s">
        <v>3894</v>
      </c>
      <c r="AJ194" t="s">
        <v>3895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3896</v>
      </c>
      <c r="AT194" t="s">
        <v>3890</v>
      </c>
      <c r="AU194" t="s">
        <v>3931</v>
      </c>
      <c r="AV194" t="s">
        <v>3898</v>
      </c>
      <c r="AW194">
        <v>2</v>
      </c>
      <c r="AX194">
        <v>0</v>
      </c>
    </row>
    <row r="195" spans="1:50" x14ac:dyDescent="0.25">
      <c r="A195" t="s">
        <v>4167</v>
      </c>
      <c r="B195" t="s">
        <v>4010</v>
      </c>
      <c r="C195" t="s">
        <v>3890</v>
      </c>
      <c r="D195">
        <v>31.385000000000002</v>
      </c>
      <c r="E195">
        <v>31.324999999999999</v>
      </c>
      <c r="F195" s="2">
        <v>3.0000000000000001E-3</v>
      </c>
      <c r="G195" t="s">
        <v>1502</v>
      </c>
      <c r="H195" t="s">
        <v>1505</v>
      </c>
      <c r="I195">
        <v>439962.02480000001</v>
      </c>
      <c r="J195">
        <v>1827585.8171000001</v>
      </c>
      <c r="K195">
        <v>439962.02480000001</v>
      </c>
      <c r="L195">
        <v>1827565.8171000001</v>
      </c>
      <c r="M195" t="s">
        <v>56</v>
      </c>
      <c r="N195" t="s">
        <v>57</v>
      </c>
      <c r="O195">
        <v>900</v>
      </c>
      <c r="P195" t="s">
        <v>109</v>
      </c>
      <c r="Q195" t="s">
        <v>3919</v>
      </c>
      <c r="R195" t="s">
        <v>1404</v>
      </c>
      <c r="S195" t="s">
        <v>567</v>
      </c>
      <c r="T195" s="1" t="s">
        <v>563</v>
      </c>
      <c r="U195">
        <v>1.55E-2</v>
      </c>
      <c r="V195">
        <v>6.8999999999999999E-3</v>
      </c>
      <c r="W195" t="s">
        <v>52</v>
      </c>
      <c r="X195">
        <v>0.85189999999999999</v>
      </c>
      <c r="Y195">
        <v>0.86070000000000002</v>
      </c>
      <c r="Z195">
        <v>0.86070000000000002</v>
      </c>
      <c r="AA195">
        <v>0.85189999999999999</v>
      </c>
      <c r="AB195">
        <v>20</v>
      </c>
      <c r="AC195">
        <v>20.0001</v>
      </c>
      <c r="AD195">
        <v>18.803599999999999</v>
      </c>
      <c r="AE195">
        <v>18.803699999999999</v>
      </c>
      <c r="AF195" t="s">
        <v>4011</v>
      </c>
      <c r="AG195" t="s">
        <v>4011</v>
      </c>
      <c r="AH195" t="s">
        <v>3894</v>
      </c>
      <c r="AI195" t="s">
        <v>3894</v>
      </c>
      <c r="AJ195" t="s">
        <v>3895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3896</v>
      </c>
      <c r="AT195" t="s">
        <v>3890</v>
      </c>
      <c r="AU195" t="s">
        <v>4012</v>
      </c>
      <c r="AV195" t="s">
        <v>3898</v>
      </c>
      <c r="AW195">
        <v>2</v>
      </c>
      <c r="AX195">
        <v>0</v>
      </c>
    </row>
    <row r="196" spans="1:50" x14ac:dyDescent="0.25">
      <c r="A196" t="s">
        <v>4168</v>
      </c>
      <c r="B196" t="s">
        <v>4010</v>
      </c>
      <c r="C196" t="s">
        <v>3890</v>
      </c>
      <c r="D196">
        <v>31.66</v>
      </c>
      <c r="E196">
        <v>31.6</v>
      </c>
      <c r="F196" s="2">
        <v>3.0000000000000001E-3</v>
      </c>
      <c r="G196" t="s">
        <v>1489</v>
      </c>
      <c r="H196" t="s">
        <v>1493</v>
      </c>
      <c r="I196">
        <v>439962.02480000001</v>
      </c>
      <c r="J196">
        <v>1827665.8171000001</v>
      </c>
      <c r="K196">
        <v>439962.02480000001</v>
      </c>
      <c r="L196">
        <v>1827645.8171000001</v>
      </c>
      <c r="M196" t="s">
        <v>56</v>
      </c>
      <c r="N196" t="s">
        <v>57</v>
      </c>
      <c r="O196">
        <v>900</v>
      </c>
      <c r="P196" t="s">
        <v>109</v>
      </c>
      <c r="Q196" t="s">
        <v>3919</v>
      </c>
      <c r="R196" t="s">
        <v>1404</v>
      </c>
      <c r="S196" t="s">
        <v>1491</v>
      </c>
      <c r="T196" t="s">
        <v>1495</v>
      </c>
      <c r="U196">
        <v>4.99E-2</v>
      </c>
      <c r="V196">
        <v>4.1300000000000003E-2</v>
      </c>
      <c r="W196" t="s">
        <v>52</v>
      </c>
      <c r="X196">
        <v>0.85219999999999996</v>
      </c>
      <c r="Y196">
        <v>0.86099999999999999</v>
      </c>
      <c r="Z196">
        <v>0.86099999999999999</v>
      </c>
      <c r="AA196">
        <v>0.85219999999999996</v>
      </c>
      <c r="AB196">
        <v>20</v>
      </c>
      <c r="AC196">
        <v>20.0001</v>
      </c>
      <c r="AD196">
        <v>18.803599999999999</v>
      </c>
      <c r="AE196">
        <v>18.803699999999999</v>
      </c>
      <c r="AF196" t="s">
        <v>4011</v>
      </c>
      <c r="AG196" t="s">
        <v>4011</v>
      </c>
      <c r="AH196" t="s">
        <v>3894</v>
      </c>
      <c r="AI196" t="s">
        <v>3894</v>
      </c>
      <c r="AJ196" t="s">
        <v>3895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3896</v>
      </c>
      <c r="AT196" t="s">
        <v>3890</v>
      </c>
      <c r="AU196" t="s">
        <v>4012</v>
      </c>
      <c r="AV196" t="s">
        <v>3898</v>
      </c>
      <c r="AW196">
        <v>2</v>
      </c>
      <c r="AX196">
        <v>0</v>
      </c>
    </row>
    <row r="197" spans="1:50" x14ac:dyDescent="0.25">
      <c r="A197" t="s">
        <v>4169</v>
      </c>
      <c r="B197" t="s">
        <v>4010</v>
      </c>
      <c r="C197" t="s">
        <v>3890</v>
      </c>
      <c r="D197">
        <v>31.728999999999999</v>
      </c>
      <c r="E197">
        <v>31.669</v>
      </c>
      <c r="F197" s="2">
        <v>3.0000000000000001E-3</v>
      </c>
      <c r="G197" t="s">
        <v>1485</v>
      </c>
      <c r="H197" t="s">
        <v>1489</v>
      </c>
      <c r="I197">
        <v>439962.02480000001</v>
      </c>
      <c r="J197">
        <v>1827685.8171000001</v>
      </c>
      <c r="K197">
        <v>439962.02480000001</v>
      </c>
      <c r="L197">
        <v>1827665.8171000001</v>
      </c>
      <c r="M197" t="s">
        <v>56</v>
      </c>
      <c r="N197" t="s">
        <v>57</v>
      </c>
      <c r="O197">
        <v>900</v>
      </c>
      <c r="P197" t="s">
        <v>109</v>
      </c>
      <c r="Q197" t="s">
        <v>3919</v>
      </c>
      <c r="R197" t="s">
        <v>1404</v>
      </c>
      <c r="S197" t="s">
        <v>1487</v>
      </c>
      <c r="T197" t="s">
        <v>1491</v>
      </c>
      <c r="U197">
        <v>5.8400000000000001E-2</v>
      </c>
      <c r="V197">
        <v>4.99E-2</v>
      </c>
      <c r="W197" t="s">
        <v>52</v>
      </c>
      <c r="X197">
        <v>0.85199999999999998</v>
      </c>
      <c r="Y197">
        <v>0.86080000000000001</v>
      </c>
      <c r="Z197">
        <v>0.86080000000000001</v>
      </c>
      <c r="AA197">
        <v>0.85199999999999998</v>
      </c>
      <c r="AB197">
        <v>20</v>
      </c>
      <c r="AC197">
        <v>20.0001</v>
      </c>
      <c r="AD197">
        <v>18.803599999999999</v>
      </c>
      <c r="AE197">
        <v>18.803699999999999</v>
      </c>
      <c r="AF197" t="s">
        <v>4011</v>
      </c>
      <c r="AG197" t="s">
        <v>4011</v>
      </c>
      <c r="AH197" t="s">
        <v>3894</v>
      </c>
      <c r="AI197" t="s">
        <v>3894</v>
      </c>
      <c r="AJ197" t="s">
        <v>3895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3896</v>
      </c>
      <c r="AT197" t="s">
        <v>3890</v>
      </c>
      <c r="AU197" t="s">
        <v>4012</v>
      </c>
      <c r="AV197" t="s">
        <v>3898</v>
      </c>
      <c r="AW197">
        <v>2</v>
      </c>
      <c r="AX197">
        <v>0</v>
      </c>
    </row>
    <row r="198" spans="1:50" x14ac:dyDescent="0.25">
      <c r="A198" t="s">
        <v>4170</v>
      </c>
      <c r="B198" t="s">
        <v>4010</v>
      </c>
      <c r="C198" t="s">
        <v>3890</v>
      </c>
      <c r="D198">
        <v>32.020000000000003</v>
      </c>
      <c r="E198">
        <v>31.96</v>
      </c>
      <c r="F198" s="2">
        <v>3.0000000000000001E-3</v>
      </c>
      <c r="G198" t="s">
        <v>1471</v>
      </c>
      <c r="H198" t="s">
        <v>1474</v>
      </c>
      <c r="I198">
        <v>439962.02480000001</v>
      </c>
      <c r="J198">
        <v>1827765.8171000001</v>
      </c>
      <c r="K198">
        <v>439962.02480000001</v>
      </c>
      <c r="L198">
        <v>1827745.8171000001</v>
      </c>
      <c r="M198" t="s">
        <v>56</v>
      </c>
      <c r="N198" t="s">
        <v>57</v>
      </c>
      <c r="O198">
        <v>900</v>
      </c>
      <c r="P198" t="s">
        <v>109</v>
      </c>
      <c r="Q198" t="s">
        <v>3919</v>
      </c>
      <c r="R198" t="s">
        <v>1404</v>
      </c>
      <c r="S198" t="s">
        <v>824</v>
      </c>
      <c r="T198" t="s">
        <v>816</v>
      </c>
      <c r="U198">
        <v>9.2799999999999994E-2</v>
      </c>
      <c r="V198">
        <v>8.4199999999999997E-2</v>
      </c>
      <c r="W198" t="s">
        <v>52</v>
      </c>
      <c r="X198">
        <v>0.85219999999999996</v>
      </c>
      <c r="Y198">
        <v>0.87680000000000002</v>
      </c>
      <c r="Z198">
        <v>0.87680000000000002</v>
      </c>
      <c r="AA198">
        <v>0.85219999999999996</v>
      </c>
      <c r="AB198">
        <v>20</v>
      </c>
      <c r="AC198">
        <v>20.0001</v>
      </c>
      <c r="AD198">
        <v>18.803599999999999</v>
      </c>
      <c r="AE198">
        <v>18.803699999999999</v>
      </c>
      <c r="AF198" t="s">
        <v>4011</v>
      </c>
      <c r="AG198" t="s">
        <v>4011</v>
      </c>
      <c r="AH198" t="s">
        <v>3894</v>
      </c>
      <c r="AI198" t="s">
        <v>3894</v>
      </c>
      <c r="AJ198" t="s">
        <v>3895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3896</v>
      </c>
      <c r="AT198" t="s">
        <v>3890</v>
      </c>
      <c r="AU198" t="s">
        <v>4012</v>
      </c>
      <c r="AV198" t="s">
        <v>3898</v>
      </c>
      <c r="AW198">
        <v>2</v>
      </c>
      <c r="AX198">
        <v>0</v>
      </c>
    </row>
    <row r="199" spans="1:50" x14ac:dyDescent="0.25">
      <c r="A199" t="s">
        <v>4171</v>
      </c>
      <c r="B199" t="s">
        <v>4010</v>
      </c>
      <c r="C199" t="s">
        <v>3890</v>
      </c>
      <c r="D199">
        <v>32.104999999999997</v>
      </c>
      <c r="E199">
        <v>32.045000000000002</v>
      </c>
      <c r="F199" s="2">
        <v>3.0000000000000001E-3</v>
      </c>
      <c r="G199" t="s">
        <v>1468</v>
      </c>
      <c r="H199" t="s">
        <v>1471</v>
      </c>
      <c r="I199">
        <v>439962.02480000001</v>
      </c>
      <c r="J199">
        <v>1827785.8171000001</v>
      </c>
      <c r="K199">
        <v>439962.02480000001</v>
      </c>
      <c r="L199">
        <v>1827765.8171000001</v>
      </c>
      <c r="M199" t="s">
        <v>56</v>
      </c>
      <c r="N199" t="s">
        <v>57</v>
      </c>
      <c r="O199">
        <v>900</v>
      </c>
      <c r="P199" t="s">
        <v>109</v>
      </c>
      <c r="Q199" t="s">
        <v>3919</v>
      </c>
      <c r="R199" t="s">
        <v>1404</v>
      </c>
      <c r="S199" t="s">
        <v>832</v>
      </c>
      <c r="T199" t="s">
        <v>824</v>
      </c>
      <c r="U199">
        <v>0.1014</v>
      </c>
      <c r="V199">
        <v>9.2799999999999994E-2</v>
      </c>
      <c r="W199" t="s">
        <v>52</v>
      </c>
      <c r="X199">
        <v>0.8518</v>
      </c>
      <c r="Y199">
        <v>0.88180000000000003</v>
      </c>
      <c r="Z199">
        <v>0.88180000000000003</v>
      </c>
      <c r="AA199">
        <v>0.8518</v>
      </c>
      <c r="AB199">
        <v>20</v>
      </c>
      <c r="AC199">
        <v>20.0001</v>
      </c>
      <c r="AD199">
        <v>18.803599999999999</v>
      </c>
      <c r="AE199">
        <v>18.803699999999999</v>
      </c>
      <c r="AF199" t="s">
        <v>4011</v>
      </c>
      <c r="AG199" t="s">
        <v>4011</v>
      </c>
      <c r="AH199" t="s">
        <v>3894</v>
      </c>
      <c r="AI199" t="s">
        <v>3894</v>
      </c>
      <c r="AJ199" t="s">
        <v>3895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3896</v>
      </c>
      <c r="AT199" t="s">
        <v>3890</v>
      </c>
      <c r="AU199" t="s">
        <v>4012</v>
      </c>
      <c r="AV199" t="s">
        <v>3898</v>
      </c>
      <c r="AW199">
        <v>2</v>
      </c>
      <c r="AX199">
        <v>0</v>
      </c>
    </row>
    <row r="200" spans="1:50" x14ac:dyDescent="0.25">
      <c r="A200" t="s">
        <v>4172</v>
      </c>
      <c r="B200" t="s">
        <v>4010</v>
      </c>
      <c r="C200" t="s">
        <v>3890</v>
      </c>
      <c r="D200">
        <v>31.385000000000002</v>
      </c>
      <c r="E200">
        <v>31.324999999999999</v>
      </c>
      <c r="F200" s="2">
        <v>3.0000000000000001E-3</v>
      </c>
      <c r="G200" t="s">
        <v>1590</v>
      </c>
      <c r="H200" t="s">
        <v>1592</v>
      </c>
      <c r="I200">
        <v>439951.42479999998</v>
      </c>
      <c r="J200">
        <v>1827585.8171000001</v>
      </c>
      <c r="K200">
        <v>439951.42479999998</v>
      </c>
      <c r="L200">
        <v>1827565.8171000001</v>
      </c>
      <c r="M200" t="s">
        <v>56</v>
      </c>
      <c r="N200" t="s">
        <v>57</v>
      </c>
      <c r="O200">
        <v>900</v>
      </c>
      <c r="P200" t="s">
        <v>109</v>
      </c>
      <c r="Q200" t="s">
        <v>3919</v>
      </c>
      <c r="R200" t="s">
        <v>1510</v>
      </c>
      <c r="S200" s="1" t="s">
        <v>567</v>
      </c>
      <c r="T200" s="1" t="s">
        <v>563</v>
      </c>
      <c r="U200">
        <v>-2.5000000000000001E-2</v>
      </c>
      <c r="V200">
        <v>-2.5000000000000001E-2</v>
      </c>
      <c r="W200" t="s">
        <v>52</v>
      </c>
      <c r="X200">
        <v>0.8518</v>
      </c>
      <c r="Y200">
        <v>0.86070000000000002</v>
      </c>
      <c r="Z200">
        <v>0.86070000000000002</v>
      </c>
      <c r="AA200">
        <v>0.8518</v>
      </c>
      <c r="AB200">
        <v>20</v>
      </c>
      <c r="AC200">
        <v>20.0001</v>
      </c>
      <c r="AD200">
        <v>18.803599999999999</v>
      </c>
      <c r="AE200">
        <v>18.803699999999999</v>
      </c>
      <c r="AF200" t="s">
        <v>4011</v>
      </c>
      <c r="AG200" t="s">
        <v>4011</v>
      </c>
      <c r="AH200" t="s">
        <v>3894</v>
      </c>
      <c r="AI200" t="s">
        <v>3894</v>
      </c>
      <c r="AJ200" t="s">
        <v>3895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3896</v>
      </c>
      <c r="AT200" t="s">
        <v>3890</v>
      </c>
      <c r="AU200" t="s">
        <v>4012</v>
      </c>
      <c r="AV200" t="s">
        <v>3898</v>
      </c>
      <c r="AW200">
        <v>2</v>
      </c>
      <c r="AX200">
        <v>0</v>
      </c>
    </row>
    <row r="201" spans="1:50" x14ac:dyDescent="0.25">
      <c r="A201" t="s">
        <v>4173</v>
      </c>
      <c r="B201" t="s">
        <v>4010</v>
      </c>
      <c r="C201" t="s">
        <v>3890</v>
      </c>
      <c r="D201">
        <v>31.66</v>
      </c>
      <c r="E201">
        <v>31.6</v>
      </c>
      <c r="F201" s="2">
        <v>3.0000000000000001E-3</v>
      </c>
      <c r="G201" t="s">
        <v>1581</v>
      </c>
      <c r="H201" t="s">
        <v>1584</v>
      </c>
      <c r="I201">
        <v>439951.42479999998</v>
      </c>
      <c r="J201">
        <v>1827665.8171000001</v>
      </c>
      <c r="K201">
        <v>439951.42479999998</v>
      </c>
      <c r="L201">
        <v>1827645.8171000001</v>
      </c>
      <c r="M201" t="s">
        <v>56</v>
      </c>
      <c r="N201" t="s">
        <v>57</v>
      </c>
      <c r="O201">
        <v>900</v>
      </c>
      <c r="P201" t="s">
        <v>109</v>
      </c>
      <c r="Q201" t="s">
        <v>3919</v>
      </c>
      <c r="R201" t="s">
        <v>1510</v>
      </c>
      <c r="S201" t="s">
        <v>1491</v>
      </c>
      <c r="T201" s="1" t="s">
        <v>1495</v>
      </c>
      <c r="U201">
        <v>-2.5000000000000001E-2</v>
      </c>
      <c r="V201">
        <v>-2.5000000000000001E-2</v>
      </c>
      <c r="W201" t="s">
        <v>52</v>
      </c>
      <c r="X201">
        <v>0.85219999999999996</v>
      </c>
      <c r="Y201">
        <v>0.86099999999999999</v>
      </c>
      <c r="Z201">
        <v>0.86099999999999999</v>
      </c>
      <c r="AA201">
        <v>0.85219999999999996</v>
      </c>
      <c r="AB201">
        <v>20</v>
      </c>
      <c r="AC201">
        <v>20.0001</v>
      </c>
      <c r="AD201">
        <v>18.803599999999999</v>
      </c>
      <c r="AE201">
        <v>18.803699999999999</v>
      </c>
      <c r="AF201" t="s">
        <v>4011</v>
      </c>
      <c r="AG201" t="s">
        <v>4011</v>
      </c>
      <c r="AH201" t="s">
        <v>3894</v>
      </c>
      <c r="AI201" t="s">
        <v>3894</v>
      </c>
      <c r="AJ201" t="s">
        <v>3895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3896</v>
      </c>
      <c r="AT201" t="s">
        <v>3890</v>
      </c>
      <c r="AU201" t="s">
        <v>4012</v>
      </c>
      <c r="AV201" t="s">
        <v>3898</v>
      </c>
      <c r="AW201">
        <v>2</v>
      </c>
      <c r="AX201">
        <v>0</v>
      </c>
    </row>
    <row r="202" spans="1:50" x14ac:dyDescent="0.25">
      <c r="A202" t="s">
        <v>4174</v>
      </c>
      <c r="B202" t="s">
        <v>4010</v>
      </c>
      <c r="C202" t="s">
        <v>3890</v>
      </c>
      <c r="D202">
        <v>31.728999999999999</v>
      </c>
      <c r="E202">
        <v>31.669</v>
      </c>
      <c r="F202" s="2">
        <v>3.0000000000000001E-3</v>
      </c>
      <c r="G202" t="s">
        <v>1579</v>
      </c>
      <c r="H202" t="s">
        <v>1581</v>
      </c>
      <c r="I202">
        <v>439951.42479999998</v>
      </c>
      <c r="J202">
        <v>1827685.8171000001</v>
      </c>
      <c r="K202">
        <v>439951.42479999998</v>
      </c>
      <c r="L202">
        <v>1827665.8171000001</v>
      </c>
      <c r="M202" t="s">
        <v>56</v>
      </c>
      <c r="N202" t="s">
        <v>57</v>
      </c>
      <c r="O202">
        <v>900</v>
      </c>
      <c r="P202" t="s">
        <v>109</v>
      </c>
      <c r="Q202" t="s">
        <v>3919</v>
      </c>
      <c r="R202" t="s">
        <v>1510</v>
      </c>
      <c r="S202" t="s">
        <v>1487</v>
      </c>
      <c r="T202" t="s">
        <v>1491</v>
      </c>
      <c r="U202">
        <v>-2.5000000000000001E-2</v>
      </c>
      <c r="V202">
        <v>-2.5000000000000001E-2</v>
      </c>
      <c r="W202" t="s">
        <v>52</v>
      </c>
      <c r="X202">
        <v>0.85199999999999998</v>
      </c>
      <c r="Y202">
        <v>0.86080000000000001</v>
      </c>
      <c r="Z202">
        <v>0.86080000000000001</v>
      </c>
      <c r="AA202">
        <v>0.85199999999999998</v>
      </c>
      <c r="AB202">
        <v>20</v>
      </c>
      <c r="AC202">
        <v>20.0001</v>
      </c>
      <c r="AD202">
        <v>18.803599999999999</v>
      </c>
      <c r="AE202">
        <v>18.803699999999999</v>
      </c>
      <c r="AF202" t="s">
        <v>4011</v>
      </c>
      <c r="AG202" t="s">
        <v>4011</v>
      </c>
      <c r="AH202" t="s">
        <v>3894</v>
      </c>
      <c r="AI202" t="s">
        <v>3894</v>
      </c>
      <c r="AJ202" t="s">
        <v>3895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3896</v>
      </c>
      <c r="AT202" t="s">
        <v>3890</v>
      </c>
      <c r="AU202" t="s">
        <v>4012</v>
      </c>
      <c r="AV202" t="s">
        <v>3898</v>
      </c>
      <c r="AW202">
        <v>2</v>
      </c>
      <c r="AX202">
        <v>0</v>
      </c>
    </row>
    <row r="203" spans="1:50" x14ac:dyDescent="0.25">
      <c r="A203" t="s">
        <v>4175</v>
      </c>
      <c r="B203" t="s">
        <v>4010</v>
      </c>
      <c r="C203" t="s">
        <v>3890</v>
      </c>
      <c r="D203">
        <v>32.020000000000003</v>
      </c>
      <c r="E203">
        <v>31.96</v>
      </c>
      <c r="F203" s="2">
        <v>3.0000000000000001E-3</v>
      </c>
      <c r="G203" t="s">
        <v>1571</v>
      </c>
      <c r="H203" t="s">
        <v>1573</v>
      </c>
      <c r="I203">
        <v>439951.42479999998</v>
      </c>
      <c r="J203">
        <v>1827765.8171000001</v>
      </c>
      <c r="K203">
        <v>439951.42479999998</v>
      </c>
      <c r="L203">
        <v>1827745.8171000001</v>
      </c>
      <c r="M203" t="s">
        <v>56</v>
      </c>
      <c r="N203" t="s">
        <v>57</v>
      </c>
      <c r="O203">
        <v>900</v>
      </c>
      <c r="P203" t="s">
        <v>109</v>
      </c>
      <c r="Q203" t="s">
        <v>3919</v>
      </c>
      <c r="R203" t="s">
        <v>1510</v>
      </c>
      <c r="S203" t="s">
        <v>824</v>
      </c>
      <c r="T203" t="s">
        <v>816</v>
      </c>
      <c r="U203">
        <v>-2.5000000000000001E-2</v>
      </c>
      <c r="V203">
        <v>-2.5000000000000001E-2</v>
      </c>
      <c r="W203" t="s">
        <v>52</v>
      </c>
      <c r="X203">
        <v>0.85219999999999996</v>
      </c>
      <c r="Y203">
        <v>0.87680000000000002</v>
      </c>
      <c r="Z203">
        <v>0.87680000000000002</v>
      </c>
      <c r="AA203">
        <v>0.85219999999999996</v>
      </c>
      <c r="AB203">
        <v>20</v>
      </c>
      <c r="AC203">
        <v>20.0001</v>
      </c>
      <c r="AD203">
        <v>18.803599999999999</v>
      </c>
      <c r="AE203">
        <v>18.803699999999999</v>
      </c>
      <c r="AF203" t="s">
        <v>4011</v>
      </c>
      <c r="AG203" t="s">
        <v>4011</v>
      </c>
      <c r="AH203" t="s">
        <v>3894</v>
      </c>
      <c r="AI203" t="s">
        <v>3894</v>
      </c>
      <c r="AJ203" t="s">
        <v>3895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3896</v>
      </c>
      <c r="AT203" t="s">
        <v>3890</v>
      </c>
      <c r="AU203" t="s">
        <v>4012</v>
      </c>
      <c r="AV203" t="s">
        <v>3898</v>
      </c>
      <c r="AW203">
        <v>2</v>
      </c>
      <c r="AX203">
        <v>0</v>
      </c>
    </row>
    <row r="204" spans="1:50" x14ac:dyDescent="0.25">
      <c r="A204" t="s">
        <v>4176</v>
      </c>
      <c r="B204" t="s">
        <v>4010</v>
      </c>
      <c r="C204" t="s">
        <v>3890</v>
      </c>
      <c r="D204">
        <v>32.104999999999997</v>
      </c>
      <c r="E204">
        <v>32.045000000000002</v>
      </c>
      <c r="F204" s="2">
        <v>3.0000000000000001E-3</v>
      </c>
      <c r="G204" t="s">
        <v>1569</v>
      </c>
      <c r="H204" t="s">
        <v>1571</v>
      </c>
      <c r="I204">
        <v>439951.42479999998</v>
      </c>
      <c r="J204">
        <v>1827785.8171000001</v>
      </c>
      <c r="K204">
        <v>439951.42479999998</v>
      </c>
      <c r="L204">
        <v>1827765.8171000001</v>
      </c>
      <c r="M204" t="s">
        <v>56</v>
      </c>
      <c r="N204" t="s">
        <v>57</v>
      </c>
      <c r="O204">
        <v>900</v>
      </c>
      <c r="P204" t="s">
        <v>109</v>
      </c>
      <c r="Q204" t="s">
        <v>3919</v>
      </c>
      <c r="R204" t="s">
        <v>1510</v>
      </c>
      <c r="S204" t="s">
        <v>832</v>
      </c>
      <c r="T204" t="s">
        <v>824</v>
      </c>
      <c r="U204">
        <v>-2.5000000000000001E-2</v>
      </c>
      <c r="V204">
        <v>-2.5000000000000001E-2</v>
      </c>
      <c r="W204" t="s">
        <v>52</v>
      </c>
      <c r="X204">
        <v>0.8518</v>
      </c>
      <c r="Y204">
        <v>0.88180000000000003</v>
      </c>
      <c r="Z204">
        <v>0.88180000000000003</v>
      </c>
      <c r="AA204">
        <v>0.8518</v>
      </c>
      <c r="AB204">
        <v>20</v>
      </c>
      <c r="AC204">
        <v>20.0001</v>
      </c>
      <c r="AD204">
        <v>18.803599999999999</v>
      </c>
      <c r="AE204">
        <v>18.803699999999999</v>
      </c>
      <c r="AF204" t="s">
        <v>4011</v>
      </c>
      <c r="AG204" t="s">
        <v>4011</v>
      </c>
      <c r="AH204" t="s">
        <v>3894</v>
      </c>
      <c r="AI204" t="s">
        <v>3894</v>
      </c>
      <c r="AJ204" t="s">
        <v>3895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3896</v>
      </c>
      <c r="AT204" t="s">
        <v>3890</v>
      </c>
      <c r="AU204" t="s">
        <v>4012</v>
      </c>
      <c r="AV204" t="s">
        <v>3898</v>
      </c>
      <c r="AW204">
        <v>2</v>
      </c>
      <c r="AX204">
        <v>0</v>
      </c>
    </row>
    <row r="205" spans="1:50" x14ac:dyDescent="0.25">
      <c r="A205" t="s">
        <v>4177</v>
      </c>
      <c r="B205" t="s">
        <v>4010</v>
      </c>
      <c r="C205" t="s">
        <v>3890</v>
      </c>
      <c r="D205">
        <v>32.384999999999998</v>
      </c>
      <c r="E205">
        <v>32.325000000000003</v>
      </c>
      <c r="F205" s="2">
        <v>3.0000000000000001E-3</v>
      </c>
      <c r="G205" t="s">
        <v>1562</v>
      </c>
      <c r="H205" t="s">
        <v>1565</v>
      </c>
      <c r="I205">
        <v>439951.42479999998</v>
      </c>
      <c r="J205">
        <v>1827845.8171000001</v>
      </c>
      <c r="K205">
        <v>439951.42479999998</v>
      </c>
      <c r="L205">
        <v>1827825.8171000001</v>
      </c>
      <c r="M205" t="s">
        <v>56</v>
      </c>
      <c r="N205" t="s">
        <v>57</v>
      </c>
      <c r="O205">
        <v>900</v>
      </c>
      <c r="P205" t="s">
        <v>109</v>
      </c>
      <c r="Q205" t="s">
        <v>3919</v>
      </c>
      <c r="R205" t="s">
        <v>1510</v>
      </c>
      <c r="S205" t="s">
        <v>853</v>
      </c>
      <c r="T205" t="s">
        <v>849</v>
      </c>
      <c r="U205">
        <v>-2.5000000000000001E-2</v>
      </c>
      <c r="V205">
        <v>-2.5000000000000001E-2</v>
      </c>
      <c r="W205" t="s">
        <v>52</v>
      </c>
      <c r="X205">
        <v>0.85240000000000005</v>
      </c>
      <c r="Y205">
        <v>0.8881</v>
      </c>
      <c r="Z205">
        <v>0.8881</v>
      </c>
      <c r="AA205">
        <v>0.85240000000000005</v>
      </c>
      <c r="AB205">
        <v>20</v>
      </c>
      <c r="AC205">
        <v>20.0001</v>
      </c>
      <c r="AD205">
        <v>18.803599999999999</v>
      </c>
      <c r="AE205">
        <v>18.803699999999999</v>
      </c>
      <c r="AF205" t="s">
        <v>4011</v>
      </c>
      <c r="AG205" t="s">
        <v>4011</v>
      </c>
      <c r="AH205" t="s">
        <v>3894</v>
      </c>
      <c r="AI205" t="s">
        <v>3894</v>
      </c>
      <c r="AJ205" t="s">
        <v>3895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3896</v>
      </c>
      <c r="AT205" t="s">
        <v>3890</v>
      </c>
      <c r="AU205" t="s">
        <v>4012</v>
      </c>
      <c r="AV205" t="s">
        <v>3898</v>
      </c>
      <c r="AW205">
        <v>2</v>
      </c>
      <c r="AX205">
        <v>0</v>
      </c>
    </row>
    <row r="206" spans="1:50" x14ac:dyDescent="0.25">
      <c r="A206" t="s">
        <v>4178</v>
      </c>
      <c r="B206" t="s">
        <v>3933</v>
      </c>
      <c r="C206" t="s">
        <v>3890</v>
      </c>
      <c r="D206">
        <v>29.798999999999999</v>
      </c>
      <c r="E206">
        <v>29.739000000000001</v>
      </c>
      <c r="F206" s="2">
        <v>3.0000000000000001E-3</v>
      </c>
      <c r="G206" t="s">
        <v>1046</v>
      </c>
      <c r="H206" t="s">
        <v>1050</v>
      </c>
      <c r="I206">
        <v>440217.59980000003</v>
      </c>
      <c r="J206">
        <v>1827741.8171000001</v>
      </c>
      <c r="K206">
        <v>440217.59980000003</v>
      </c>
      <c r="L206">
        <v>1827721.8171000001</v>
      </c>
      <c r="M206" t="s">
        <v>56</v>
      </c>
      <c r="N206" t="s">
        <v>57</v>
      </c>
      <c r="O206">
        <v>750</v>
      </c>
      <c r="P206" t="s">
        <v>58</v>
      </c>
      <c r="Q206" t="s">
        <v>3919</v>
      </c>
      <c r="R206" t="s">
        <v>151</v>
      </c>
      <c r="S206" t="s">
        <v>1048</v>
      </c>
      <c r="T206" t="s">
        <v>1052</v>
      </c>
      <c r="U206">
        <v>-1.11E-2</v>
      </c>
      <c r="V206">
        <v>-2.1999999999999999E-2</v>
      </c>
      <c r="W206" t="s">
        <v>52</v>
      </c>
      <c r="X206">
        <v>1.3537999999999999</v>
      </c>
      <c r="Y206">
        <v>1.3904000000000001</v>
      </c>
      <c r="Z206">
        <v>1.3904000000000001</v>
      </c>
      <c r="AA206">
        <v>1.3537999999999999</v>
      </c>
      <c r="AB206">
        <v>20</v>
      </c>
      <c r="AC206">
        <v>20.0001</v>
      </c>
      <c r="AD206">
        <v>18.803100000000001</v>
      </c>
      <c r="AE206">
        <v>18.8032</v>
      </c>
      <c r="AF206" t="s">
        <v>2233</v>
      </c>
      <c r="AG206" t="s">
        <v>2233</v>
      </c>
      <c r="AH206" t="s">
        <v>3894</v>
      </c>
      <c r="AI206" t="s">
        <v>3894</v>
      </c>
      <c r="AJ206" t="s">
        <v>3895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3896</v>
      </c>
      <c r="AT206" t="s">
        <v>3890</v>
      </c>
      <c r="AU206" t="s">
        <v>3935</v>
      </c>
      <c r="AV206" t="s">
        <v>3898</v>
      </c>
      <c r="AW206">
        <v>2</v>
      </c>
      <c r="AX206">
        <v>0</v>
      </c>
    </row>
    <row r="207" spans="1:50" x14ac:dyDescent="0.25">
      <c r="A207" t="s">
        <v>4179</v>
      </c>
      <c r="B207" t="s">
        <v>3933</v>
      </c>
      <c r="C207" t="s">
        <v>3890</v>
      </c>
      <c r="D207">
        <v>30.872</v>
      </c>
      <c r="E207">
        <v>30.812000000000001</v>
      </c>
      <c r="F207" s="2">
        <v>3.0000000000000001E-3</v>
      </c>
      <c r="G207" t="s">
        <v>1009</v>
      </c>
      <c r="H207" t="s">
        <v>1013</v>
      </c>
      <c r="I207">
        <v>440217.59980000003</v>
      </c>
      <c r="J207">
        <v>1827901.8171000001</v>
      </c>
      <c r="K207">
        <v>440217.59980000003</v>
      </c>
      <c r="L207">
        <v>1827881.8171000001</v>
      </c>
      <c r="M207" t="s">
        <v>56</v>
      </c>
      <c r="N207" t="s">
        <v>57</v>
      </c>
      <c r="O207">
        <v>750</v>
      </c>
      <c r="P207" t="s">
        <v>58</v>
      </c>
      <c r="Q207" t="s">
        <v>3919</v>
      </c>
      <c r="R207" t="s">
        <v>151</v>
      </c>
      <c r="S207" t="s">
        <v>1011</v>
      </c>
      <c r="T207" t="s">
        <v>1015</v>
      </c>
      <c r="U207">
        <v>7.5899999999999995E-2</v>
      </c>
      <c r="V207">
        <v>6.5000000000000002E-2</v>
      </c>
      <c r="W207" t="s">
        <v>52</v>
      </c>
      <c r="X207">
        <v>1.0536000000000001</v>
      </c>
      <c r="Y207">
        <v>1.0902000000000001</v>
      </c>
      <c r="Z207">
        <v>1.0902000000000001</v>
      </c>
      <c r="AA207">
        <v>1.0536000000000001</v>
      </c>
      <c r="AB207">
        <v>20</v>
      </c>
      <c r="AC207">
        <v>20.0001</v>
      </c>
      <c r="AD207">
        <v>18.803100000000001</v>
      </c>
      <c r="AE207">
        <v>18.8032</v>
      </c>
      <c r="AF207" t="s">
        <v>2233</v>
      </c>
      <c r="AG207" t="s">
        <v>2233</v>
      </c>
      <c r="AH207" t="s">
        <v>3894</v>
      </c>
      <c r="AI207" t="s">
        <v>3894</v>
      </c>
      <c r="AJ207" t="s">
        <v>3895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3896</v>
      </c>
      <c r="AT207" t="s">
        <v>3890</v>
      </c>
      <c r="AU207" t="s">
        <v>3935</v>
      </c>
      <c r="AV207" t="s">
        <v>3898</v>
      </c>
      <c r="AW207">
        <v>2</v>
      </c>
      <c r="AX207">
        <v>0</v>
      </c>
    </row>
    <row r="208" spans="1:50" x14ac:dyDescent="0.25">
      <c r="A208" t="s">
        <v>4180</v>
      </c>
      <c r="B208" t="s">
        <v>3933</v>
      </c>
      <c r="C208" t="s">
        <v>3890</v>
      </c>
      <c r="D208">
        <v>30.969000000000001</v>
      </c>
      <c r="E208">
        <v>30.908999999999999</v>
      </c>
      <c r="F208" s="2">
        <v>3.0000000000000001E-3</v>
      </c>
      <c r="G208" t="s">
        <v>1005</v>
      </c>
      <c r="H208" t="s">
        <v>1009</v>
      </c>
      <c r="I208">
        <v>440217.59980000003</v>
      </c>
      <c r="J208">
        <v>1827921.8171000001</v>
      </c>
      <c r="K208">
        <v>440217.59980000003</v>
      </c>
      <c r="L208">
        <v>1827901.8171000001</v>
      </c>
      <c r="M208" t="s">
        <v>56</v>
      </c>
      <c r="N208" t="s">
        <v>57</v>
      </c>
      <c r="O208">
        <v>750</v>
      </c>
      <c r="P208" t="s">
        <v>58</v>
      </c>
      <c r="Q208" t="s">
        <v>3919</v>
      </c>
      <c r="R208" t="s">
        <v>151</v>
      </c>
      <c r="S208" t="s">
        <v>1007</v>
      </c>
      <c r="T208" t="s">
        <v>1011</v>
      </c>
      <c r="U208">
        <v>8.6800000000000002E-2</v>
      </c>
      <c r="V208">
        <v>7.5899999999999995E-2</v>
      </c>
      <c r="W208" t="s">
        <v>52</v>
      </c>
      <c r="X208">
        <v>1.0531999999999999</v>
      </c>
      <c r="Y208">
        <v>1.0898000000000001</v>
      </c>
      <c r="Z208">
        <v>1.0898000000000001</v>
      </c>
      <c r="AA208">
        <v>1.0531999999999999</v>
      </c>
      <c r="AB208">
        <v>20</v>
      </c>
      <c r="AC208">
        <v>20.0001</v>
      </c>
      <c r="AD208">
        <v>18.803100000000001</v>
      </c>
      <c r="AE208">
        <v>18.8032</v>
      </c>
      <c r="AF208" t="s">
        <v>2233</v>
      </c>
      <c r="AG208" t="s">
        <v>2233</v>
      </c>
      <c r="AH208" t="s">
        <v>3894</v>
      </c>
      <c r="AI208" t="s">
        <v>3894</v>
      </c>
      <c r="AJ208" t="s">
        <v>3895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3896</v>
      </c>
      <c r="AT208" t="s">
        <v>3890</v>
      </c>
      <c r="AU208" t="s">
        <v>3935</v>
      </c>
      <c r="AV208" t="s">
        <v>3898</v>
      </c>
      <c r="AW208">
        <v>2</v>
      </c>
      <c r="AX208">
        <v>0</v>
      </c>
    </row>
    <row r="209" spans="1:50" x14ac:dyDescent="0.25">
      <c r="A209" t="s">
        <v>4181</v>
      </c>
      <c r="B209" t="s">
        <v>3933</v>
      </c>
      <c r="C209" t="s">
        <v>3890</v>
      </c>
      <c r="D209">
        <v>31.161999999999999</v>
      </c>
      <c r="E209">
        <v>31.102</v>
      </c>
      <c r="F209" s="2">
        <v>3.0000000000000001E-3</v>
      </c>
      <c r="G209" t="s">
        <v>997</v>
      </c>
      <c r="H209" t="s">
        <v>1001</v>
      </c>
      <c r="I209">
        <v>440217.59980000003</v>
      </c>
      <c r="J209">
        <v>1827961.8171000001</v>
      </c>
      <c r="K209">
        <v>440217.59980000003</v>
      </c>
      <c r="L209">
        <v>1827941.8171000001</v>
      </c>
      <c r="M209" t="s">
        <v>56</v>
      </c>
      <c r="N209" t="s">
        <v>57</v>
      </c>
      <c r="O209">
        <v>750</v>
      </c>
      <c r="P209" t="s">
        <v>58</v>
      </c>
      <c r="Q209" t="s">
        <v>3919</v>
      </c>
      <c r="R209" t="s">
        <v>151</v>
      </c>
      <c r="S209" t="s">
        <v>999</v>
      </c>
      <c r="T209" t="s">
        <v>1003</v>
      </c>
      <c r="U209">
        <v>0.1085</v>
      </c>
      <c r="V209">
        <v>9.7600000000000006E-2</v>
      </c>
      <c r="W209" t="s">
        <v>52</v>
      </c>
      <c r="X209">
        <v>1.0533999999999999</v>
      </c>
      <c r="Y209">
        <v>1.0900000000000001</v>
      </c>
      <c r="Z209">
        <v>1.0900000000000001</v>
      </c>
      <c r="AA209">
        <v>1.0533999999999999</v>
      </c>
      <c r="AB209">
        <v>20</v>
      </c>
      <c r="AC209">
        <v>20.0001</v>
      </c>
      <c r="AD209">
        <v>18.803100000000001</v>
      </c>
      <c r="AE209">
        <v>18.8032</v>
      </c>
      <c r="AF209" t="s">
        <v>2233</v>
      </c>
      <c r="AG209" t="s">
        <v>2233</v>
      </c>
      <c r="AH209" t="s">
        <v>3894</v>
      </c>
      <c r="AI209" t="s">
        <v>3894</v>
      </c>
      <c r="AJ209" t="s">
        <v>3895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3896</v>
      </c>
      <c r="AT209" t="s">
        <v>3890</v>
      </c>
      <c r="AU209" t="s">
        <v>3935</v>
      </c>
      <c r="AV209" t="s">
        <v>3898</v>
      </c>
      <c r="AW209">
        <v>2</v>
      </c>
      <c r="AX209">
        <v>0</v>
      </c>
    </row>
    <row r="210" spans="1:50" x14ac:dyDescent="0.25">
      <c r="A210" t="s">
        <v>4182</v>
      </c>
      <c r="B210" t="s">
        <v>3963</v>
      </c>
      <c r="C210" t="s">
        <v>3890</v>
      </c>
      <c r="D210">
        <v>31.984000000000002</v>
      </c>
      <c r="E210">
        <v>31.923999999999999</v>
      </c>
      <c r="F210" s="2">
        <v>3.0000000000000001E-3</v>
      </c>
      <c r="G210" t="s">
        <v>1999</v>
      </c>
      <c r="H210" t="s">
        <v>2002</v>
      </c>
      <c r="I210">
        <v>440132.69949999999</v>
      </c>
      <c r="J210">
        <v>1827962.8171999999</v>
      </c>
      <c r="K210">
        <v>440132.69949999999</v>
      </c>
      <c r="L210">
        <v>1827942.8171999999</v>
      </c>
      <c r="M210" t="s">
        <v>56</v>
      </c>
      <c r="N210" t="s">
        <v>57</v>
      </c>
      <c r="O210">
        <v>600</v>
      </c>
      <c r="P210" t="s">
        <v>3891</v>
      </c>
      <c r="Q210" t="s">
        <v>3892</v>
      </c>
      <c r="R210" t="s">
        <v>1968</v>
      </c>
      <c r="S210" t="s">
        <v>525</v>
      </c>
      <c r="T210" t="s">
        <v>1444</v>
      </c>
      <c r="U210">
        <v>-1.1900000000000001E-2</v>
      </c>
      <c r="V210">
        <v>-2.1000000000000001E-2</v>
      </c>
      <c r="W210" t="s">
        <v>52</v>
      </c>
      <c r="X210">
        <v>0.88019999999999998</v>
      </c>
      <c r="Y210">
        <v>0.93700000000000006</v>
      </c>
      <c r="Z210">
        <v>0.93700000000000006</v>
      </c>
      <c r="AA210">
        <v>0.88019999999999998</v>
      </c>
      <c r="AB210">
        <v>20</v>
      </c>
      <c r="AC210">
        <v>20.0001</v>
      </c>
      <c r="AD210">
        <v>18.802499999999998</v>
      </c>
      <c r="AE210">
        <v>18.802600000000002</v>
      </c>
      <c r="AF210" t="s">
        <v>2233</v>
      </c>
      <c r="AG210" t="s">
        <v>2233</v>
      </c>
      <c r="AH210" t="s">
        <v>3894</v>
      </c>
      <c r="AI210" t="s">
        <v>3894</v>
      </c>
      <c r="AJ210" t="s">
        <v>3895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3896</v>
      </c>
      <c r="AT210" t="s">
        <v>3890</v>
      </c>
      <c r="AU210" t="s">
        <v>3964</v>
      </c>
      <c r="AV210" t="s">
        <v>3898</v>
      </c>
      <c r="AW210">
        <v>2</v>
      </c>
      <c r="AX210">
        <v>0</v>
      </c>
    </row>
    <row r="211" spans="1:50" x14ac:dyDescent="0.25">
      <c r="A211" t="s">
        <v>4183</v>
      </c>
      <c r="B211" t="s">
        <v>3963</v>
      </c>
      <c r="C211" t="s">
        <v>3890</v>
      </c>
      <c r="D211">
        <v>32.1</v>
      </c>
      <c r="E211">
        <v>32.04</v>
      </c>
      <c r="F211" s="2">
        <v>3.0000000000000001E-3</v>
      </c>
      <c r="G211" t="s">
        <v>1996</v>
      </c>
      <c r="H211" t="s">
        <v>1999</v>
      </c>
      <c r="I211">
        <v>440132.69949999999</v>
      </c>
      <c r="J211">
        <v>1827982.8171999999</v>
      </c>
      <c r="K211">
        <v>440132.69949999999</v>
      </c>
      <c r="L211">
        <v>1827962.8171999999</v>
      </c>
      <c r="M211" t="s">
        <v>56</v>
      </c>
      <c r="N211" t="s">
        <v>57</v>
      </c>
      <c r="O211">
        <v>600</v>
      </c>
      <c r="P211" t="s">
        <v>3891</v>
      </c>
      <c r="Q211" t="s">
        <v>3892</v>
      </c>
      <c r="R211" t="s">
        <v>1968</v>
      </c>
      <c r="S211" t="s">
        <v>529</v>
      </c>
      <c r="T211" t="s">
        <v>525</v>
      </c>
      <c r="U211">
        <v>-2.8E-3</v>
      </c>
      <c r="V211">
        <v>-1.1900000000000001E-2</v>
      </c>
      <c r="W211" t="s">
        <v>52</v>
      </c>
      <c r="X211">
        <v>0.88100000000000001</v>
      </c>
      <c r="Y211">
        <v>0.9425</v>
      </c>
      <c r="Z211">
        <v>0.9425</v>
      </c>
      <c r="AA211">
        <v>0.88100000000000001</v>
      </c>
      <c r="AB211">
        <v>20</v>
      </c>
      <c r="AC211">
        <v>20.0001</v>
      </c>
      <c r="AD211">
        <v>18.802499999999998</v>
      </c>
      <c r="AE211">
        <v>18.802600000000002</v>
      </c>
      <c r="AF211" t="s">
        <v>2233</v>
      </c>
      <c r="AG211" t="s">
        <v>2233</v>
      </c>
      <c r="AH211" t="s">
        <v>3894</v>
      </c>
      <c r="AI211" t="s">
        <v>3894</v>
      </c>
      <c r="AJ211" t="s">
        <v>3895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3896</v>
      </c>
      <c r="AT211" t="s">
        <v>3890</v>
      </c>
      <c r="AU211" t="s">
        <v>3964</v>
      </c>
      <c r="AV211" t="s">
        <v>3898</v>
      </c>
      <c r="AW211">
        <v>2</v>
      </c>
      <c r="AX211">
        <v>0</v>
      </c>
    </row>
    <row r="212" spans="1:50" x14ac:dyDescent="0.25">
      <c r="A212" t="s">
        <v>4184</v>
      </c>
      <c r="B212" t="s">
        <v>3889</v>
      </c>
      <c r="C212" t="s">
        <v>3890</v>
      </c>
      <c r="D212">
        <v>28.581</v>
      </c>
      <c r="E212">
        <v>28.548999999999999</v>
      </c>
      <c r="F212" s="2">
        <v>1.6000000000000001E-3</v>
      </c>
      <c r="G212" t="s">
        <v>3704</v>
      </c>
      <c r="H212" t="s">
        <v>3701</v>
      </c>
      <c r="I212">
        <v>440529.67509999999</v>
      </c>
      <c r="J212">
        <v>1827598.2394999999</v>
      </c>
      <c r="K212">
        <v>440529.67509999999</v>
      </c>
      <c r="L212">
        <v>1827618.2394999999</v>
      </c>
      <c r="M212" t="s">
        <v>56</v>
      </c>
      <c r="N212" t="s">
        <v>57</v>
      </c>
      <c r="O212">
        <v>450</v>
      </c>
      <c r="P212" t="s">
        <v>3891</v>
      </c>
      <c r="Q212" t="s">
        <v>3892</v>
      </c>
      <c r="R212" t="s">
        <v>186</v>
      </c>
      <c r="S212" t="s">
        <v>597</v>
      </c>
      <c r="T212" t="s">
        <v>440</v>
      </c>
      <c r="U212">
        <v>0</v>
      </c>
      <c r="V212">
        <v>0</v>
      </c>
      <c r="W212" t="s">
        <v>52</v>
      </c>
      <c r="X212">
        <v>0.88200000000000001</v>
      </c>
      <c r="Y212">
        <v>0.89</v>
      </c>
      <c r="Z212">
        <v>0.89</v>
      </c>
      <c r="AA212">
        <v>0.88200000000000001</v>
      </c>
      <c r="AB212">
        <v>20</v>
      </c>
      <c r="AC212">
        <v>20</v>
      </c>
      <c r="AD212">
        <v>18.801100000000002</v>
      </c>
      <c r="AE212">
        <v>18.801100000000002</v>
      </c>
      <c r="AF212" t="s">
        <v>67</v>
      </c>
      <c r="AG212" t="s">
        <v>67</v>
      </c>
      <c r="AH212" t="s">
        <v>3894</v>
      </c>
      <c r="AI212" t="s">
        <v>3894</v>
      </c>
      <c r="AJ212" t="s">
        <v>3895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3896</v>
      </c>
      <c r="AT212" t="s">
        <v>3890</v>
      </c>
      <c r="AU212" t="s">
        <v>3897</v>
      </c>
      <c r="AV212" t="s">
        <v>3898</v>
      </c>
      <c r="AW212">
        <v>2</v>
      </c>
      <c r="AX212">
        <v>0</v>
      </c>
    </row>
    <row r="213" spans="1:50" x14ac:dyDescent="0.25">
      <c r="A213" t="s">
        <v>4185</v>
      </c>
      <c r="B213" t="s">
        <v>3889</v>
      </c>
      <c r="C213" t="s">
        <v>3890</v>
      </c>
      <c r="D213">
        <v>28.581</v>
      </c>
      <c r="E213">
        <v>28.548999999999999</v>
      </c>
      <c r="F213" s="2">
        <v>1.6000000000000001E-3</v>
      </c>
      <c r="G213" t="s">
        <v>3776</v>
      </c>
      <c r="H213" t="s">
        <v>3774</v>
      </c>
      <c r="I213">
        <v>440519.97509999998</v>
      </c>
      <c r="J213">
        <v>1827598.2394999999</v>
      </c>
      <c r="K213">
        <v>440519.97509999998</v>
      </c>
      <c r="L213">
        <v>1827618.2394999999</v>
      </c>
      <c r="M213" t="s">
        <v>56</v>
      </c>
      <c r="N213" t="s">
        <v>57</v>
      </c>
      <c r="O213">
        <v>450</v>
      </c>
      <c r="P213" t="s">
        <v>3891</v>
      </c>
      <c r="Q213" t="s">
        <v>3892</v>
      </c>
      <c r="R213" t="s">
        <v>191</v>
      </c>
      <c r="S213" t="s">
        <v>597</v>
      </c>
      <c r="T213" t="s">
        <v>440</v>
      </c>
      <c r="U213">
        <v>-7.5999999999999998E-2</v>
      </c>
      <c r="V213">
        <v>-7.5999999999999998E-2</v>
      </c>
      <c r="W213" t="s">
        <v>52</v>
      </c>
      <c r="X213">
        <v>0.88200000000000001</v>
      </c>
      <c r="Y213">
        <v>0.89</v>
      </c>
      <c r="Z213">
        <v>0.89</v>
      </c>
      <c r="AA213">
        <v>0.88200000000000001</v>
      </c>
      <c r="AB213">
        <v>20</v>
      </c>
      <c r="AC213">
        <v>20</v>
      </c>
      <c r="AD213">
        <v>18.801100000000002</v>
      </c>
      <c r="AE213">
        <v>18.801100000000002</v>
      </c>
      <c r="AF213" t="s">
        <v>67</v>
      </c>
      <c r="AG213" t="s">
        <v>67</v>
      </c>
      <c r="AH213" t="s">
        <v>3894</v>
      </c>
      <c r="AI213" t="s">
        <v>3894</v>
      </c>
      <c r="AJ213" t="s">
        <v>3895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3896</v>
      </c>
      <c r="AT213" t="s">
        <v>3890</v>
      </c>
      <c r="AU213" t="s">
        <v>3897</v>
      </c>
      <c r="AV213" t="s">
        <v>3898</v>
      </c>
      <c r="AW213">
        <v>2</v>
      </c>
      <c r="AX213">
        <v>0</v>
      </c>
    </row>
    <row r="214" spans="1:50" x14ac:dyDescent="0.25">
      <c r="A214" t="s">
        <v>4186</v>
      </c>
      <c r="B214" t="s">
        <v>3889</v>
      </c>
      <c r="C214" t="s">
        <v>3890</v>
      </c>
      <c r="D214">
        <v>27.968</v>
      </c>
      <c r="E214">
        <v>27.908000000000001</v>
      </c>
      <c r="F214" s="2">
        <v>3.0000000000000001E-3</v>
      </c>
      <c r="G214" t="s">
        <v>3687</v>
      </c>
      <c r="H214" t="s">
        <v>3689</v>
      </c>
      <c r="I214">
        <v>440595.27510000003</v>
      </c>
      <c r="J214">
        <v>1827458.2394999999</v>
      </c>
      <c r="K214">
        <v>440595.27510000003</v>
      </c>
      <c r="L214">
        <v>1827478.2394999999</v>
      </c>
      <c r="M214" t="s">
        <v>56</v>
      </c>
      <c r="N214" t="s">
        <v>57</v>
      </c>
      <c r="O214">
        <v>450</v>
      </c>
      <c r="P214" t="s">
        <v>3891</v>
      </c>
      <c r="Q214" t="s">
        <v>3892</v>
      </c>
      <c r="R214" t="s">
        <v>797</v>
      </c>
      <c r="S214" t="s">
        <v>525</v>
      </c>
      <c r="T214" t="s">
        <v>529</v>
      </c>
      <c r="U214">
        <v>3.3099999999999997E-2</v>
      </c>
      <c r="V214">
        <v>3.3099999999999997E-2</v>
      </c>
      <c r="W214" t="s">
        <v>52</v>
      </c>
      <c r="X214">
        <v>0.88229999999999997</v>
      </c>
      <c r="Y214">
        <v>1.0313000000000001</v>
      </c>
      <c r="Z214">
        <v>1.0313000000000001</v>
      </c>
      <c r="AA214">
        <v>0.88229999999999997</v>
      </c>
      <c r="AB214">
        <v>20</v>
      </c>
      <c r="AC214">
        <v>20.0001</v>
      </c>
      <c r="AD214">
        <v>18.802099999999999</v>
      </c>
      <c r="AE214">
        <v>18.802199999999999</v>
      </c>
      <c r="AF214" t="s">
        <v>3973</v>
      </c>
      <c r="AG214" t="s">
        <v>3973</v>
      </c>
      <c r="AH214" t="s">
        <v>3894</v>
      </c>
      <c r="AI214" t="s">
        <v>3894</v>
      </c>
      <c r="AJ214" t="s">
        <v>3895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3896</v>
      </c>
      <c r="AT214" t="s">
        <v>3890</v>
      </c>
      <c r="AU214" t="s">
        <v>3897</v>
      </c>
      <c r="AV214" t="s">
        <v>3898</v>
      </c>
      <c r="AW214">
        <v>2</v>
      </c>
      <c r="AX214">
        <v>0</v>
      </c>
    </row>
    <row r="215" spans="1:50" x14ac:dyDescent="0.25">
      <c r="A215" t="s">
        <v>4187</v>
      </c>
      <c r="B215" t="s">
        <v>3947</v>
      </c>
      <c r="C215" t="s">
        <v>3890</v>
      </c>
      <c r="D215">
        <v>27.882999999999999</v>
      </c>
      <c r="E215">
        <v>27.763999999999999</v>
      </c>
      <c r="F215" s="2">
        <v>5.4999999999999997E-3</v>
      </c>
      <c r="G215" t="s">
        <v>3564</v>
      </c>
      <c r="H215" t="s">
        <v>174</v>
      </c>
      <c r="I215">
        <v>440485.80129999999</v>
      </c>
      <c r="J215">
        <v>1827531.7818</v>
      </c>
      <c r="K215">
        <v>440507.51289999997</v>
      </c>
      <c r="L215">
        <v>1827531.7842999999</v>
      </c>
      <c r="M215" t="s">
        <v>56</v>
      </c>
      <c r="N215" t="s">
        <v>57</v>
      </c>
      <c r="O215">
        <v>1050</v>
      </c>
      <c r="P215" t="s">
        <v>3918</v>
      </c>
      <c r="Q215" t="s">
        <v>3930</v>
      </c>
      <c r="R215" t="s">
        <v>141</v>
      </c>
      <c r="S215" s="1" t="s">
        <v>3566</v>
      </c>
      <c r="T215" t="s">
        <v>176</v>
      </c>
      <c r="U215">
        <v>0.23130000000000001</v>
      </c>
      <c r="V215">
        <v>0.2339</v>
      </c>
      <c r="W215" t="s">
        <v>52</v>
      </c>
      <c r="X215">
        <v>1.0222</v>
      </c>
      <c r="Y215">
        <v>1.0251999999999999</v>
      </c>
      <c r="Z215">
        <v>1.0251999999999999</v>
      </c>
      <c r="AA215">
        <v>1.0222</v>
      </c>
      <c r="AB215">
        <v>21.7117</v>
      </c>
      <c r="AC215">
        <v>21.712</v>
      </c>
      <c r="AD215">
        <v>21.115500000000001</v>
      </c>
      <c r="AE215">
        <v>21.1158</v>
      </c>
      <c r="AF215" t="s">
        <v>4188</v>
      </c>
      <c r="AG215" t="s">
        <v>4188</v>
      </c>
      <c r="AH215" t="s">
        <v>3894</v>
      </c>
      <c r="AI215" t="s">
        <v>3894</v>
      </c>
      <c r="AJ215" t="s">
        <v>3895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3896</v>
      </c>
      <c r="AT215" t="s">
        <v>3890</v>
      </c>
      <c r="AU215" t="s">
        <v>3950</v>
      </c>
      <c r="AV215" t="s">
        <v>3898</v>
      </c>
      <c r="AW215">
        <v>2</v>
      </c>
      <c r="AX215">
        <v>0</v>
      </c>
    </row>
    <row r="216" spans="1:50" x14ac:dyDescent="0.25">
      <c r="A216" t="s">
        <v>4189</v>
      </c>
      <c r="B216" t="s">
        <v>3889</v>
      </c>
      <c r="C216" t="s">
        <v>3890</v>
      </c>
      <c r="D216">
        <v>28.885999999999999</v>
      </c>
      <c r="E216">
        <v>28.826000000000001</v>
      </c>
      <c r="F216" s="2">
        <v>3.0000000000000001E-3</v>
      </c>
      <c r="G216" t="s">
        <v>3526</v>
      </c>
      <c r="H216" t="s">
        <v>375</v>
      </c>
      <c r="I216">
        <v>440464.07510000002</v>
      </c>
      <c r="J216">
        <v>1827499.4838</v>
      </c>
      <c r="K216">
        <v>440464.07510000002</v>
      </c>
      <c r="L216">
        <v>1827519.5049999999</v>
      </c>
      <c r="M216" t="s">
        <v>56</v>
      </c>
      <c r="N216" t="s">
        <v>57</v>
      </c>
      <c r="O216">
        <v>450</v>
      </c>
      <c r="P216" t="s">
        <v>3891</v>
      </c>
      <c r="Q216" t="s">
        <v>3892</v>
      </c>
      <c r="R216" t="s">
        <v>377</v>
      </c>
      <c r="S216" t="s">
        <v>452</v>
      </c>
      <c r="T216" s="1" t="s">
        <v>3966</v>
      </c>
      <c r="U216">
        <v>-0.1013</v>
      </c>
      <c r="V216">
        <v>-8.5199999999999998E-2</v>
      </c>
      <c r="W216" t="s">
        <v>52</v>
      </c>
      <c r="X216">
        <v>0.88160000000000005</v>
      </c>
      <c r="Y216">
        <v>0.9204</v>
      </c>
      <c r="Z216">
        <v>0.9204</v>
      </c>
      <c r="AA216">
        <v>0.88160000000000005</v>
      </c>
      <c r="AB216">
        <v>20.0212</v>
      </c>
      <c r="AC216">
        <v>20.0213</v>
      </c>
      <c r="AD216">
        <v>18.8233</v>
      </c>
      <c r="AE216">
        <v>18.823399999999999</v>
      </c>
      <c r="AF216" t="s">
        <v>67</v>
      </c>
      <c r="AG216" t="s">
        <v>67</v>
      </c>
      <c r="AH216" t="s">
        <v>3894</v>
      </c>
      <c r="AI216" t="s">
        <v>3894</v>
      </c>
      <c r="AJ216" t="s">
        <v>3895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3896</v>
      </c>
      <c r="AT216" t="s">
        <v>3890</v>
      </c>
      <c r="AU216" t="s">
        <v>3897</v>
      </c>
      <c r="AV216" t="s">
        <v>3898</v>
      </c>
      <c r="AW216">
        <v>2</v>
      </c>
      <c r="AX216">
        <v>0</v>
      </c>
    </row>
    <row r="217" spans="1:50" x14ac:dyDescent="0.25">
      <c r="A217" t="s">
        <v>4190</v>
      </c>
      <c r="B217" t="s">
        <v>3889</v>
      </c>
      <c r="C217" t="s">
        <v>3890</v>
      </c>
      <c r="D217">
        <v>28.984000000000002</v>
      </c>
      <c r="E217">
        <v>28.923999999999999</v>
      </c>
      <c r="F217" s="2">
        <v>3.0000000000000001E-3</v>
      </c>
      <c r="G217" t="s">
        <v>3523</v>
      </c>
      <c r="H217" t="s">
        <v>3526</v>
      </c>
      <c r="I217">
        <v>440464.07510000002</v>
      </c>
      <c r="J217">
        <v>1827479.4838</v>
      </c>
      <c r="K217">
        <v>440464.07510000002</v>
      </c>
      <c r="L217">
        <v>1827499.4838</v>
      </c>
      <c r="M217" t="s">
        <v>56</v>
      </c>
      <c r="N217" t="s">
        <v>57</v>
      </c>
      <c r="O217">
        <v>450</v>
      </c>
      <c r="P217" t="s">
        <v>3891</v>
      </c>
      <c r="Q217" t="s">
        <v>3892</v>
      </c>
      <c r="R217" t="s">
        <v>377</v>
      </c>
      <c r="S217" t="s">
        <v>448</v>
      </c>
      <c r="T217" t="s">
        <v>452</v>
      </c>
      <c r="U217">
        <v>-0.1173</v>
      </c>
      <c r="V217">
        <v>-0.1013</v>
      </c>
      <c r="W217" t="s">
        <v>52</v>
      </c>
      <c r="X217">
        <v>0.88239999999999996</v>
      </c>
      <c r="Y217">
        <v>0.92079999999999995</v>
      </c>
      <c r="Z217">
        <v>0.92079999999999995</v>
      </c>
      <c r="AA217">
        <v>0.88239999999999996</v>
      </c>
      <c r="AB217">
        <v>20</v>
      </c>
      <c r="AC217">
        <v>20.0001</v>
      </c>
      <c r="AD217">
        <v>18.802099999999999</v>
      </c>
      <c r="AE217">
        <v>18.802199999999999</v>
      </c>
      <c r="AF217" t="s">
        <v>67</v>
      </c>
      <c r="AG217" t="s">
        <v>67</v>
      </c>
      <c r="AH217" t="s">
        <v>3894</v>
      </c>
      <c r="AI217" t="s">
        <v>3894</v>
      </c>
      <c r="AJ217" t="s">
        <v>3895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3896</v>
      </c>
      <c r="AT217" t="s">
        <v>3890</v>
      </c>
      <c r="AU217" t="s">
        <v>3897</v>
      </c>
      <c r="AV217" t="s">
        <v>3898</v>
      </c>
      <c r="AW217">
        <v>2</v>
      </c>
      <c r="AX217">
        <v>0</v>
      </c>
    </row>
    <row r="218" spans="1:50" x14ac:dyDescent="0.25">
      <c r="A218" t="s">
        <v>4191</v>
      </c>
      <c r="B218" t="s">
        <v>3889</v>
      </c>
      <c r="C218" t="s">
        <v>3890</v>
      </c>
      <c r="D218">
        <v>28.885999999999999</v>
      </c>
      <c r="E218">
        <v>28.826000000000001</v>
      </c>
      <c r="F218" s="2">
        <v>3.0000000000000001E-3</v>
      </c>
      <c r="G218" t="s">
        <v>3555</v>
      </c>
      <c r="H218" t="s">
        <v>3557</v>
      </c>
      <c r="I218">
        <v>440454.3751</v>
      </c>
      <c r="J218">
        <v>1827499.4838</v>
      </c>
      <c r="K218">
        <v>440454.3751</v>
      </c>
      <c r="L218">
        <v>1827519.4838</v>
      </c>
      <c r="M218" t="s">
        <v>56</v>
      </c>
      <c r="N218" t="s">
        <v>57</v>
      </c>
      <c r="O218">
        <v>450</v>
      </c>
      <c r="P218" t="s">
        <v>3891</v>
      </c>
      <c r="Q218" t="s">
        <v>3892</v>
      </c>
      <c r="R218" t="s">
        <v>3549</v>
      </c>
      <c r="S218" t="s">
        <v>452</v>
      </c>
      <c r="T218" t="s">
        <v>774</v>
      </c>
      <c r="U218">
        <v>0.15</v>
      </c>
      <c r="V218">
        <v>0.15</v>
      </c>
      <c r="W218" t="s">
        <v>52</v>
      </c>
      <c r="X218">
        <v>0.88190000000000002</v>
      </c>
      <c r="Y218">
        <v>0.9204</v>
      </c>
      <c r="Z218">
        <v>0.9204</v>
      </c>
      <c r="AA218">
        <v>0.88190000000000002</v>
      </c>
      <c r="AB218">
        <v>20</v>
      </c>
      <c r="AC218">
        <v>20.0001</v>
      </c>
      <c r="AD218">
        <v>18.802099999999999</v>
      </c>
      <c r="AE218">
        <v>18.802199999999999</v>
      </c>
      <c r="AF218" t="s">
        <v>67</v>
      </c>
      <c r="AG218" t="s">
        <v>67</v>
      </c>
      <c r="AH218" t="s">
        <v>3894</v>
      </c>
      <c r="AI218" t="s">
        <v>3894</v>
      </c>
      <c r="AJ218" t="s">
        <v>3895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3896</v>
      </c>
      <c r="AT218" t="s">
        <v>3890</v>
      </c>
      <c r="AU218" t="s">
        <v>3897</v>
      </c>
      <c r="AV218" t="s">
        <v>3898</v>
      </c>
      <c r="AW218">
        <v>2</v>
      </c>
      <c r="AX218">
        <v>0</v>
      </c>
    </row>
    <row r="219" spans="1:50" x14ac:dyDescent="0.25">
      <c r="A219" t="s">
        <v>4192</v>
      </c>
      <c r="B219" t="s">
        <v>3889</v>
      </c>
      <c r="C219" t="s">
        <v>3890</v>
      </c>
      <c r="D219">
        <v>28.984000000000002</v>
      </c>
      <c r="E219">
        <v>28.923999999999999</v>
      </c>
      <c r="F219" s="2">
        <v>3.0000000000000001E-3</v>
      </c>
      <c r="G219" t="s">
        <v>3553</v>
      </c>
      <c r="H219" t="s">
        <v>3555</v>
      </c>
      <c r="I219">
        <v>440454.3751</v>
      </c>
      <c r="J219">
        <v>1827479.4838</v>
      </c>
      <c r="K219">
        <v>440454.3751</v>
      </c>
      <c r="L219">
        <v>1827499.4838</v>
      </c>
      <c r="M219" t="s">
        <v>56</v>
      </c>
      <c r="N219" t="s">
        <v>57</v>
      </c>
      <c r="O219">
        <v>450</v>
      </c>
      <c r="P219" t="s">
        <v>3891</v>
      </c>
      <c r="Q219" t="s">
        <v>3892</v>
      </c>
      <c r="R219" t="s">
        <v>3549</v>
      </c>
      <c r="S219" t="s">
        <v>448</v>
      </c>
      <c r="T219" t="s">
        <v>452</v>
      </c>
      <c r="U219">
        <v>0.15</v>
      </c>
      <c r="V219">
        <v>0.15</v>
      </c>
      <c r="W219" t="s">
        <v>52</v>
      </c>
      <c r="X219">
        <v>0.88239999999999996</v>
      </c>
      <c r="Y219">
        <v>0.92079999999999995</v>
      </c>
      <c r="Z219">
        <v>0.92079999999999995</v>
      </c>
      <c r="AA219">
        <v>0.88239999999999996</v>
      </c>
      <c r="AB219">
        <v>20</v>
      </c>
      <c r="AC219">
        <v>20.0001</v>
      </c>
      <c r="AD219">
        <v>18.802099999999999</v>
      </c>
      <c r="AE219">
        <v>18.802199999999999</v>
      </c>
      <c r="AF219" t="s">
        <v>67</v>
      </c>
      <c r="AG219" t="s">
        <v>67</v>
      </c>
      <c r="AH219" t="s">
        <v>3894</v>
      </c>
      <c r="AI219" t="s">
        <v>3894</v>
      </c>
      <c r="AJ219" t="s">
        <v>3895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3896</v>
      </c>
      <c r="AT219" t="s">
        <v>3890</v>
      </c>
      <c r="AU219" t="s">
        <v>3897</v>
      </c>
      <c r="AV219" t="s">
        <v>3898</v>
      </c>
      <c r="AW219">
        <v>2</v>
      </c>
      <c r="AX219">
        <v>0</v>
      </c>
    </row>
    <row r="220" spans="1:50" x14ac:dyDescent="0.25">
      <c r="A220" t="s">
        <v>4193</v>
      </c>
      <c r="B220" t="s">
        <v>3889</v>
      </c>
      <c r="C220" t="s">
        <v>3890</v>
      </c>
      <c r="D220">
        <v>28.012</v>
      </c>
      <c r="E220">
        <v>27.952000000000002</v>
      </c>
      <c r="F220" s="2">
        <v>3.2000000000000002E-3</v>
      </c>
      <c r="G220" t="s">
        <v>3578</v>
      </c>
      <c r="H220" t="s">
        <v>3622</v>
      </c>
      <c r="I220">
        <v>440529.67509999999</v>
      </c>
      <c r="J220">
        <v>1827499.4838</v>
      </c>
      <c r="K220">
        <v>440529.67509999999</v>
      </c>
      <c r="L220">
        <v>1827517.9859</v>
      </c>
      <c r="M220" t="s">
        <v>56</v>
      </c>
      <c r="N220" t="s">
        <v>57</v>
      </c>
      <c r="O220">
        <v>450</v>
      </c>
      <c r="P220" t="s">
        <v>3891</v>
      </c>
      <c r="Q220" t="s">
        <v>3892</v>
      </c>
      <c r="R220" t="s">
        <v>362</v>
      </c>
      <c r="S220" t="s">
        <v>452</v>
      </c>
      <c r="T220" t="s">
        <v>3620</v>
      </c>
      <c r="U220">
        <v>0</v>
      </c>
      <c r="V220">
        <v>0</v>
      </c>
      <c r="W220" t="s">
        <v>52</v>
      </c>
      <c r="X220">
        <v>0.89629999999999999</v>
      </c>
      <c r="Y220">
        <v>1.0124</v>
      </c>
      <c r="Z220">
        <v>1.0124</v>
      </c>
      <c r="AA220">
        <v>0.89629999999999999</v>
      </c>
      <c r="AB220">
        <v>18.716100000000001</v>
      </c>
      <c r="AC220">
        <v>18.716200000000001</v>
      </c>
      <c r="AD220">
        <v>17.5184</v>
      </c>
      <c r="AE220">
        <v>17.5185</v>
      </c>
      <c r="AF220" t="s">
        <v>67</v>
      </c>
      <c r="AG220" t="s">
        <v>67</v>
      </c>
      <c r="AH220" t="s">
        <v>3894</v>
      </c>
      <c r="AI220" t="s">
        <v>3894</v>
      </c>
      <c r="AJ220" t="s">
        <v>3895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3896</v>
      </c>
      <c r="AT220" t="s">
        <v>3890</v>
      </c>
      <c r="AU220" t="s">
        <v>3897</v>
      </c>
      <c r="AV220" t="s">
        <v>3898</v>
      </c>
      <c r="AW220">
        <v>2</v>
      </c>
      <c r="AX220">
        <v>0</v>
      </c>
    </row>
    <row r="221" spans="1:50" x14ac:dyDescent="0.25">
      <c r="A221" t="s">
        <v>4194</v>
      </c>
      <c r="B221" t="s">
        <v>3889</v>
      </c>
      <c r="C221" t="s">
        <v>3890</v>
      </c>
      <c r="D221">
        <v>28.012</v>
      </c>
      <c r="E221">
        <v>27.952000000000002</v>
      </c>
      <c r="F221" s="2">
        <v>3.2000000000000002E-3</v>
      </c>
      <c r="G221" t="s">
        <v>3616</v>
      </c>
      <c r="H221" t="s">
        <v>3618</v>
      </c>
      <c r="I221">
        <v>440519.97509999998</v>
      </c>
      <c r="J221">
        <v>1827499.4838</v>
      </c>
      <c r="K221">
        <v>440519.97509999998</v>
      </c>
      <c r="L221">
        <v>1827517.9859</v>
      </c>
      <c r="M221" t="s">
        <v>56</v>
      </c>
      <c r="N221" t="s">
        <v>57</v>
      </c>
      <c r="O221">
        <v>450</v>
      </c>
      <c r="P221" t="s">
        <v>3891</v>
      </c>
      <c r="Q221" t="s">
        <v>3892</v>
      </c>
      <c r="R221" t="s">
        <v>3606</v>
      </c>
      <c r="S221" t="s">
        <v>452</v>
      </c>
      <c r="T221" t="s">
        <v>3620</v>
      </c>
      <c r="U221">
        <v>0.13270000000000001</v>
      </c>
      <c r="V221">
        <v>0.13270000000000001</v>
      </c>
      <c r="W221" t="s">
        <v>52</v>
      </c>
      <c r="X221">
        <v>0.89629999999999999</v>
      </c>
      <c r="Y221">
        <v>1.0124</v>
      </c>
      <c r="Z221">
        <v>1.0124</v>
      </c>
      <c r="AA221">
        <v>0.89629999999999999</v>
      </c>
      <c r="AB221">
        <v>18.502099999999999</v>
      </c>
      <c r="AC221">
        <v>18.502199999999998</v>
      </c>
      <c r="AD221">
        <v>17.304400000000001</v>
      </c>
      <c r="AE221">
        <v>17.304500000000001</v>
      </c>
      <c r="AF221" t="s">
        <v>67</v>
      </c>
      <c r="AG221" t="s">
        <v>67</v>
      </c>
      <c r="AH221" t="s">
        <v>3894</v>
      </c>
      <c r="AI221" t="s">
        <v>3894</v>
      </c>
      <c r="AJ221" t="s">
        <v>3895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3896</v>
      </c>
      <c r="AT221" t="s">
        <v>3890</v>
      </c>
      <c r="AU221" t="s">
        <v>3897</v>
      </c>
      <c r="AV221" t="s">
        <v>3898</v>
      </c>
      <c r="AW221">
        <v>2</v>
      </c>
      <c r="AX221">
        <v>0</v>
      </c>
    </row>
    <row r="222" spans="1:50" x14ac:dyDescent="0.25">
      <c r="A222" t="s">
        <v>4195</v>
      </c>
      <c r="B222" t="s">
        <v>3889</v>
      </c>
      <c r="C222" t="s">
        <v>3890</v>
      </c>
      <c r="D222">
        <v>27.968</v>
      </c>
      <c r="E222">
        <v>27.908000000000001</v>
      </c>
      <c r="F222" s="2">
        <v>3.0000000000000001E-3</v>
      </c>
      <c r="G222" t="s">
        <v>3666</v>
      </c>
      <c r="H222" t="s">
        <v>3669</v>
      </c>
      <c r="I222">
        <v>440585.57510000002</v>
      </c>
      <c r="J222">
        <v>1827458.2394999999</v>
      </c>
      <c r="K222">
        <v>440585.57510000002</v>
      </c>
      <c r="L222">
        <v>1827478.2318</v>
      </c>
      <c r="M222" t="s">
        <v>56</v>
      </c>
      <c r="N222" t="s">
        <v>57</v>
      </c>
      <c r="O222">
        <v>450</v>
      </c>
      <c r="P222" t="s">
        <v>3891</v>
      </c>
      <c r="Q222" t="s">
        <v>3892</v>
      </c>
      <c r="R222" t="s">
        <v>357</v>
      </c>
      <c r="S222" t="s">
        <v>525</v>
      </c>
      <c r="T222" t="s">
        <v>3671</v>
      </c>
      <c r="U222">
        <v>4.8399999999999999E-2</v>
      </c>
      <c r="V222">
        <v>3.7400000000000003E-2</v>
      </c>
      <c r="W222" t="s">
        <v>52</v>
      </c>
      <c r="X222">
        <v>0.88239999999999996</v>
      </c>
      <c r="Y222">
        <v>1.0313000000000001</v>
      </c>
      <c r="Z222">
        <v>1.0313000000000001</v>
      </c>
      <c r="AA222">
        <v>0.88239999999999996</v>
      </c>
      <c r="AB222">
        <v>19.9923</v>
      </c>
      <c r="AC222">
        <v>19.9924</v>
      </c>
      <c r="AD222">
        <v>18.7944</v>
      </c>
      <c r="AE222">
        <v>18.794499999999999</v>
      </c>
      <c r="AF222" t="s">
        <v>3973</v>
      </c>
      <c r="AG222" t="s">
        <v>3973</v>
      </c>
      <c r="AH222" t="s">
        <v>3894</v>
      </c>
      <c r="AI222" t="s">
        <v>3894</v>
      </c>
      <c r="AJ222" t="s">
        <v>3895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3896</v>
      </c>
      <c r="AT222" t="s">
        <v>3890</v>
      </c>
      <c r="AU222" t="s">
        <v>3897</v>
      </c>
      <c r="AV222" t="s">
        <v>3898</v>
      </c>
      <c r="AW222">
        <v>2</v>
      </c>
      <c r="AX222">
        <v>0</v>
      </c>
    </row>
    <row r="223" spans="1:50" x14ac:dyDescent="0.25">
      <c r="A223" t="s">
        <v>4196</v>
      </c>
      <c r="B223" t="s">
        <v>3955</v>
      </c>
      <c r="C223" t="s">
        <v>3890</v>
      </c>
      <c r="D223">
        <v>28.292999999999999</v>
      </c>
      <c r="E223">
        <v>28.234000000000002</v>
      </c>
      <c r="F223" s="2">
        <v>3.0000000000000001E-3</v>
      </c>
      <c r="G223" t="s">
        <v>3443</v>
      </c>
      <c r="H223" t="s">
        <v>3446</v>
      </c>
      <c r="I223">
        <v>440530.42509999999</v>
      </c>
      <c r="J223">
        <v>1827384.5236</v>
      </c>
      <c r="K223">
        <v>440550.42509999999</v>
      </c>
      <c r="L223">
        <v>1827384.5236</v>
      </c>
      <c r="M223" t="s">
        <v>56</v>
      </c>
      <c r="N223" t="s">
        <v>57</v>
      </c>
      <c r="O223">
        <v>600</v>
      </c>
      <c r="P223" t="s">
        <v>109</v>
      </c>
      <c r="Q223" t="s">
        <v>3892</v>
      </c>
      <c r="R223" t="s">
        <v>54</v>
      </c>
      <c r="S223" t="s">
        <v>444</v>
      </c>
      <c r="T223" t="s">
        <v>448</v>
      </c>
      <c r="U223">
        <v>0</v>
      </c>
      <c r="V223">
        <v>0</v>
      </c>
      <c r="W223" t="s">
        <v>52</v>
      </c>
      <c r="X223">
        <v>1.33</v>
      </c>
      <c r="Y223">
        <v>1.3928</v>
      </c>
      <c r="Z223">
        <v>1.3928</v>
      </c>
      <c r="AA223">
        <v>1.33</v>
      </c>
      <c r="AB223">
        <v>20</v>
      </c>
      <c r="AC223">
        <v>20.0001</v>
      </c>
      <c r="AD223">
        <v>18.802499999999998</v>
      </c>
      <c r="AE223">
        <v>18.802600000000002</v>
      </c>
      <c r="AF223" t="s">
        <v>183</v>
      </c>
      <c r="AG223" t="s">
        <v>183</v>
      </c>
      <c r="AH223" t="s">
        <v>3894</v>
      </c>
      <c r="AI223" t="s">
        <v>3894</v>
      </c>
      <c r="AJ223" t="s">
        <v>3895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3896</v>
      </c>
      <c r="AT223" t="s">
        <v>3890</v>
      </c>
      <c r="AU223" t="s">
        <v>3956</v>
      </c>
      <c r="AV223" t="s">
        <v>3898</v>
      </c>
      <c r="AW223">
        <v>2</v>
      </c>
      <c r="AX223">
        <v>0</v>
      </c>
    </row>
    <row r="224" spans="1:50" x14ac:dyDescent="0.25">
      <c r="A224" t="s">
        <v>4197</v>
      </c>
      <c r="B224" t="s">
        <v>3955</v>
      </c>
      <c r="C224" t="s">
        <v>3890</v>
      </c>
      <c r="D224">
        <v>28.780999999999999</v>
      </c>
      <c r="E224">
        <v>28.721</v>
      </c>
      <c r="F224" s="2">
        <v>3.0000000000000001E-3</v>
      </c>
      <c r="G224" t="s">
        <v>3431</v>
      </c>
      <c r="H224" t="s">
        <v>3434</v>
      </c>
      <c r="I224">
        <v>440450.42509999999</v>
      </c>
      <c r="J224">
        <v>1827384.5236</v>
      </c>
      <c r="K224">
        <v>440470.42509999999</v>
      </c>
      <c r="L224">
        <v>1827384.5236</v>
      </c>
      <c r="M224" t="s">
        <v>56</v>
      </c>
      <c r="N224" t="s">
        <v>57</v>
      </c>
      <c r="O224">
        <v>600</v>
      </c>
      <c r="P224" t="s">
        <v>109</v>
      </c>
      <c r="Q224" t="s">
        <v>3892</v>
      </c>
      <c r="R224" t="s">
        <v>54</v>
      </c>
      <c r="S224" t="s">
        <v>428</v>
      </c>
      <c r="T224" t="s">
        <v>432</v>
      </c>
      <c r="U224">
        <v>0</v>
      </c>
      <c r="V224">
        <v>0</v>
      </c>
      <c r="W224" t="s">
        <v>52</v>
      </c>
      <c r="X224">
        <v>1.3302</v>
      </c>
      <c r="Y224">
        <v>1.3918999999999999</v>
      </c>
      <c r="Z224">
        <v>1.3918999999999999</v>
      </c>
      <c r="AA224">
        <v>1.3302</v>
      </c>
      <c r="AB224">
        <v>20</v>
      </c>
      <c r="AC224">
        <v>20.0001</v>
      </c>
      <c r="AD224">
        <v>18.802499999999998</v>
      </c>
      <c r="AE224">
        <v>18.802600000000002</v>
      </c>
      <c r="AF224" t="s">
        <v>183</v>
      </c>
      <c r="AG224" t="s">
        <v>183</v>
      </c>
      <c r="AH224" t="s">
        <v>3894</v>
      </c>
      <c r="AI224" t="s">
        <v>3894</v>
      </c>
      <c r="AJ224" t="s">
        <v>3895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3896</v>
      </c>
      <c r="AT224" t="s">
        <v>3890</v>
      </c>
      <c r="AU224" t="s">
        <v>3956</v>
      </c>
      <c r="AV224" t="s">
        <v>3898</v>
      </c>
      <c r="AW224">
        <v>2</v>
      </c>
      <c r="AX224">
        <v>0</v>
      </c>
    </row>
    <row r="225" spans="1:50" x14ac:dyDescent="0.25">
      <c r="A225" t="s">
        <v>4198</v>
      </c>
      <c r="B225" t="s">
        <v>3889</v>
      </c>
      <c r="C225" t="s">
        <v>3890</v>
      </c>
      <c r="D225">
        <v>30.87</v>
      </c>
      <c r="E225">
        <v>30.81</v>
      </c>
      <c r="F225" s="2">
        <v>3.0000000000000001E-3</v>
      </c>
      <c r="G225" t="s">
        <v>3260</v>
      </c>
      <c r="H225" t="s">
        <v>3263</v>
      </c>
      <c r="I225">
        <v>440230.42509999999</v>
      </c>
      <c r="J225">
        <v>1827384.5985999999</v>
      </c>
      <c r="K225">
        <v>440250.42509999999</v>
      </c>
      <c r="L225">
        <v>1827384.5985999999</v>
      </c>
      <c r="M225" t="s">
        <v>56</v>
      </c>
      <c r="N225" t="s">
        <v>57</v>
      </c>
      <c r="O225">
        <v>450</v>
      </c>
      <c r="P225" t="s">
        <v>3891</v>
      </c>
      <c r="Q225" t="s">
        <v>3892</v>
      </c>
      <c r="R225" t="s">
        <v>54</v>
      </c>
      <c r="S225" t="s">
        <v>853</v>
      </c>
      <c r="T225" t="s">
        <v>1457</v>
      </c>
      <c r="U225">
        <v>7.4999999999999997E-2</v>
      </c>
      <c r="V225">
        <v>7.4999999999999997E-2</v>
      </c>
      <c r="W225" t="s">
        <v>52</v>
      </c>
      <c r="X225">
        <v>0.88219999999999998</v>
      </c>
      <c r="Y225">
        <v>0.94399999999999995</v>
      </c>
      <c r="Z225">
        <v>0.94399999999999995</v>
      </c>
      <c r="AA225">
        <v>0.88219999999999998</v>
      </c>
      <c r="AB225">
        <v>20</v>
      </c>
      <c r="AC225">
        <v>20.0001</v>
      </c>
      <c r="AD225">
        <v>18.802099999999999</v>
      </c>
      <c r="AE225">
        <v>18.802199999999999</v>
      </c>
      <c r="AF225" t="s">
        <v>183</v>
      </c>
      <c r="AG225" t="s">
        <v>183</v>
      </c>
      <c r="AH225" t="s">
        <v>3894</v>
      </c>
      <c r="AI225" t="s">
        <v>3894</v>
      </c>
      <c r="AJ225" t="s">
        <v>3895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3896</v>
      </c>
      <c r="AT225" t="s">
        <v>3890</v>
      </c>
      <c r="AU225" t="s">
        <v>3897</v>
      </c>
      <c r="AV225" t="s">
        <v>3898</v>
      </c>
      <c r="AW225">
        <v>2</v>
      </c>
      <c r="AX225">
        <v>0</v>
      </c>
    </row>
    <row r="226" spans="1:50" x14ac:dyDescent="0.25">
      <c r="A226" t="s">
        <v>4199</v>
      </c>
      <c r="B226" t="s">
        <v>3889</v>
      </c>
      <c r="C226" t="s">
        <v>3890</v>
      </c>
      <c r="D226">
        <v>31.356999999999999</v>
      </c>
      <c r="E226">
        <v>31.297000000000001</v>
      </c>
      <c r="F226" s="2">
        <v>3.0000000000000001E-3</v>
      </c>
      <c r="G226" t="s">
        <v>3247</v>
      </c>
      <c r="H226" t="s">
        <v>3250</v>
      </c>
      <c r="I226">
        <v>440150.42509999999</v>
      </c>
      <c r="J226">
        <v>1827384.5985999999</v>
      </c>
      <c r="K226">
        <v>440170.42509999999</v>
      </c>
      <c r="L226">
        <v>1827384.5985999999</v>
      </c>
      <c r="M226" t="s">
        <v>56</v>
      </c>
      <c r="N226" t="s">
        <v>57</v>
      </c>
      <c r="O226">
        <v>450</v>
      </c>
      <c r="P226" t="s">
        <v>3891</v>
      </c>
      <c r="Q226" t="s">
        <v>3892</v>
      </c>
      <c r="R226" t="s">
        <v>54</v>
      </c>
      <c r="S226" t="s">
        <v>824</v>
      </c>
      <c r="T226" t="s">
        <v>832</v>
      </c>
      <c r="U226">
        <v>7.4999999999999997E-2</v>
      </c>
      <c r="V226">
        <v>7.4999999999999997E-2</v>
      </c>
      <c r="W226" t="s">
        <v>52</v>
      </c>
      <c r="X226">
        <v>0.88229999999999997</v>
      </c>
      <c r="Y226">
        <v>0.94410000000000005</v>
      </c>
      <c r="Z226">
        <v>0.94410000000000005</v>
      </c>
      <c r="AA226">
        <v>0.88229999999999997</v>
      </c>
      <c r="AB226">
        <v>20</v>
      </c>
      <c r="AC226">
        <v>20.0001</v>
      </c>
      <c r="AD226">
        <v>18.802099999999999</v>
      </c>
      <c r="AE226">
        <v>18.802199999999999</v>
      </c>
      <c r="AF226" t="s">
        <v>183</v>
      </c>
      <c r="AG226" t="s">
        <v>183</v>
      </c>
      <c r="AH226" t="s">
        <v>3894</v>
      </c>
      <c r="AI226" t="s">
        <v>3894</v>
      </c>
      <c r="AJ226" t="s">
        <v>3895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3896</v>
      </c>
      <c r="AT226" t="s">
        <v>3890</v>
      </c>
      <c r="AU226" t="s">
        <v>3897</v>
      </c>
      <c r="AV226" t="s">
        <v>3898</v>
      </c>
      <c r="AW226">
        <v>2</v>
      </c>
      <c r="AX226">
        <v>0</v>
      </c>
    </row>
    <row r="227" spans="1:50" x14ac:dyDescent="0.25">
      <c r="A227" t="s">
        <v>4200</v>
      </c>
      <c r="B227" t="s">
        <v>3889</v>
      </c>
      <c r="C227" t="s">
        <v>3890</v>
      </c>
      <c r="D227">
        <v>31.995000000000001</v>
      </c>
      <c r="E227">
        <v>31.934999999999999</v>
      </c>
      <c r="F227" s="2">
        <v>3.0000000000000001E-3</v>
      </c>
      <c r="G227" t="s">
        <v>3227</v>
      </c>
      <c r="H227" t="s">
        <v>3231</v>
      </c>
      <c r="I227">
        <v>440117.47489999997</v>
      </c>
      <c r="J227">
        <v>1827307.8488</v>
      </c>
      <c r="K227">
        <v>440117.47489999997</v>
      </c>
      <c r="L227">
        <v>1827327.8488</v>
      </c>
      <c r="M227" t="s">
        <v>56</v>
      </c>
      <c r="N227" t="s">
        <v>57</v>
      </c>
      <c r="O227">
        <v>450</v>
      </c>
      <c r="P227" t="s">
        <v>3891</v>
      </c>
      <c r="Q227" t="s">
        <v>3892</v>
      </c>
      <c r="R227" t="s">
        <v>3220</v>
      </c>
      <c r="S227" t="s">
        <v>3229</v>
      </c>
      <c r="T227" t="s">
        <v>3233</v>
      </c>
      <c r="U227">
        <v>-1E-3</v>
      </c>
      <c r="V227">
        <v>-1E-3</v>
      </c>
      <c r="W227" t="s">
        <v>52</v>
      </c>
      <c r="X227">
        <v>0.88170000000000004</v>
      </c>
      <c r="Y227">
        <v>1.0089999999999999</v>
      </c>
      <c r="Z227">
        <v>1.0089999999999999</v>
      </c>
      <c r="AA227">
        <v>0.88170000000000004</v>
      </c>
      <c r="AB227">
        <v>20</v>
      </c>
      <c r="AC227">
        <v>20.0001</v>
      </c>
      <c r="AD227">
        <v>18.802099999999999</v>
      </c>
      <c r="AE227">
        <v>18.802199999999999</v>
      </c>
      <c r="AF227" t="s">
        <v>3973</v>
      </c>
      <c r="AG227" t="s">
        <v>3973</v>
      </c>
      <c r="AH227" t="s">
        <v>3894</v>
      </c>
      <c r="AI227" t="s">
        <v>3894</v>
      </c>
      <c r="AJ227" t="s">
        <v>3895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3896</v>
      </c>
      <c r="AT227" t="s">
        <v>3890</v>
      </c>
      <c r="AU227" t="s">
        <v>3897</v>
      </c>
      <c r="AV227" t="s">
        <v>3898</v>
      </c>
      <c r="AW227">
        <v>2</v>
      </c>
      <c r="AX227">
        <v>0</v>
      </c>
    </row>
    <row r="228" spans="1:50" x14ac:dyDescent="0.25">
      <c r="A228" t="s">
        <v>3219</v>
      </c>
      <c r="B228" t="s">
        <v>3889</v>
      </c>
      <c r="C228" t="s">
        <v>3890</v>
      </c>
      <c r="D228">
        <v>32.396999999999998</v>
      </c>
      <c r="E228">
        <v>32.338000000000001</v>
      </c>
      <c r="F228" s="2">
        <v>3.0000000000000001E-3</v>
      </c>
      <c r="G228" t="s">
        <v>3218</v>
      </c>
      <c r="H228" t="s">
        <v>3223</v>
      </c>
      <c r="I228">
        <v>440117.47489999997</v>
      </c>
      <c r="J228">
        <v>1827267.8488</v>
      </c>
      <c r="K228">
        <v>440117.47489999997</v>
      </c>
      <c r="L228">
        <v>1827287.8488</v>
      </c>
      <c r="M228" t="s">
        <v>56</v>
      </c>
      <c r="N228" t="s">
        <v>57</v>
      </c>
      <c r="O228">
        <v>450</v>
      </c>
      <c r="P228" t="s">
        <v>3891</v>
      </c>
      <c r="Q228" t="s">
        <v>3892</v>
      </c>
      <c r="R228" t="s">
        <v>3220</v>
      </c>
      <c r="S228" t="s">
        <v>3221</v>
      </c>
      <c r="T228" t="s">
        <v>3225</v>
      </c>
      <c r="U228">
        <v>-1E-3</v>
      </c>
      <c r="V228">
        <v>-1E-3</v>
      </c>
      <c r="W228" t="s">
        <v>52</v>
      </c>
      <c r="X228">
        <v>0.88149999999999995</v>
      </c>
      <c r="Y228">
        <v>1.0395000000000001</v>
      </c>
      <c r="Z228">
        <v>1.0395000000000001</v>
      </c>
      <c r="AA228">
        <v>0.88149999999999995</v>
      </c>
      <c r="AB228">
        <v>20</v>
      </c>
      <c r="AC228">
        <v>20.0001</v>
      </c>
      <c r="AD228">
        <v>18.802099999999999</v>
      </c>
      <c r="AE228">
        <v>18.802099999999999</v>
      </c>
      <c r="AF228" t="s">
        <v>67</v>
      </c>
      <c r="AG228" t="s">
        <v>67</v>
      </c>
      <c r="AH228" t="s">
        <v>3894</v>
      </c>
      <c r="AI228" t="s">
        <v>3894</v>
      </c>
      <c r="AJ228" t="s">
        <v>3895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3896</v>
      </c>
      <c r="AT228" t="s">
        <v>3890</v>
      </c>
      <c r="AU228" t="s">
        <v>3897</v>
      </c>
      <c r="AV228" t="s">
        <v>3898</v>
      </c>
      <c r="AW228">
        <v>2</v>
      </c>
      <c r="AX228">
        <v>0</v>
      </c>
    </row>
    <row r="229" spans="1:50" x14ac:dyDescent="0.25">
      <c r="A229" t="s">
        <v>4201</v>
      </c>
      <c r="B229" t="s">
        <v>3889</v>
      </c>
      <c r="C229" t="s">
        <v>3890</v>
      </c>
      <c r="D229">
        <v>31.844999999999999</v>
      </c>
      <c r="E229">
        <v>31.785</v>
      </c>
      <c r="F229" s="2">
        <v>3.0000000000000001E-3</v>
      </c>
      <c r="G229" t="s">
        <v>3286</v>
      </c>
      <c r="H229" t="s">
        <v>3288</v>
      </c>
      <c r="I229">
        <v>440127.17489999998</v>
      </c>
      <c r="J229">
        <v>1827327.8488</v>
      </c>
      <c r="K229">
        <v>440127.17489999998</v>
      </c>
      <c r="L229">
        <v>1827347.8488</v>
      </c>
      <c r="M229" t="s">
        <v>56</v>
      </c>
      <c r="N229" t="s">
        <v>57</v>
      </c>
      <c r="O229">
        <v>450</v>
      </c>
      <c r="P229" t="s">
        <v>3891</v>
      </c>
      <c r="Q229" t="s">
        <v>3892</v>
      </c>
      <c r="R229" t="s">
        <v>3278</v>
      </c>
      <c r="S229" t="s">
        <v>3233</v>
      </c>
      <c r="T229" t="s">
        <v>3237</v>
      </c>
      <c r="U229">
        <v>-6.9999999999999999E-4</v>
      </c>
      <c r="V229">
        <v>-6.9999999999999999E-4</v>
      </c>
      <c r="W229" t="s">
        <v>52</v>
      </c>
      <c r="X229">
        <v>0.88239999999999996</v>
      </c>
      <c r="Y229">
        <v>0.97170000000000001</v>
      </c>
      <c r="Z229">
        <v>0.97170000000000001</v>
      </c>
      <c r="AA229">
        <v>0.88239999999999996</v>
      </c>
      <c r="AB229">
        <v>20</v>
      </c>
      <c r="AC229">
        <v>20.0001</v>
      </c>
      <c r="AD229">
        <v>18.802099999999999</v>
      </c>
      <c r="AE229">
        <v>18.802199999999999</v>
      </c>
      <c r="AF229" t="s">
        <v>67</v>
      </c>
      <c r="AG229" t="s">
        <v>67</v>
      </c>
      <c r="AH229" t="s">
        <v>3894</v>
      </c>
      <c r="AI229" t="s">
        <v>3894</v>
      </c>
      <c r="AJ229" t="s">
        <v>3895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3896</v>
      </c>
      <c r="AT229" t="s">
        <v>3890</v>
      </c>
      <c r="AU229" t="s">
        <v>3897</v>
      </c>
      <c r="AV229" t="s">
        <v>3898</v>
      </c>
      <c r="AW229">
        <v>2</v>
      </c>
      <c r="AX229">
        <v>0</v>
      </c>
    </row>
    <row r="230" spans="1:50" x14ac:dyDescent="0.25">
      <c r="A230" t="s">
        <v>4202</v>
      </c>
      <c r="B230" t="s">
        <v>3889</v>
      </c>
      <c r="C230" t="s">
        <v>3890</v>
      </c>
      <c r="D230">
        <v>29.140999999999998</v>
      </c>
      <c r="E230">
        <v>29.081</v>
      </c>
      <c r="F230" s="2">
        <v>3.0000000000000001E-3</v>
      </c>
      <c r="G230" t="s">
        <v>3037</v>
      </c>
      <c r="H230" t="s">
        <v>3041</v>
      </c>
      <c r="I230">
        <v>440595.27510000003</v>
      </c>
      <c r="J230">
        <v>1827295.0075000001</v>
      </c>
      <c r="K230">
        <v>440595.27510000003</v>
      </c>
      <c r="L230">
        <v>1827315.0075000001</v>
      </c>
      <c r="M230" t="s">
        <v>56</v>
      </c>
      <c r="N230" t="s">
        <v>57</v>
      </c>
      <c r="O230">
        <v>450</v>
      </c>
      <c r="P230" t="s">
        <v>3891</v>
      </c>
      <c r="Q230" t="s">
        <v>3892</v>
      </c>
      <c r="R230" t="s">
        <v>797</v>
      </c>
      <c r="S230" t="s">
        <v>4203</v>
      </c>
      <c r="T230" t="s">
        <v>3043</v>
      </c>
      <c r="U230">
        <v>3.3099999999999997E-2</v>
      </c>
      <c r="V230">
        <v>3.3099999999999997E-2</v>
      </c>
      <c r="W230" t="s">
        <v>52</v>
      </c>
      <c r="X230">
        <v>0.90029999999999999</v>
      </c>
      <c r="Y230">
        <v>0.95120000000000005</v>
      </c>
      <c r="Z230">
        <v>0.95120000000000005</v>
      </c>
      <c r="AA230">
        <v>0.90029999999999999</v>
      </c>
      <c r="AB230">
        <v>20.3764</v>
      </c>
      <c r="AC230">
        <v>20.3765</v>
      </c>
      <c r="AD230">
        <v>19.1785</v>
      </c>
      <c r="AE230">
        <v>19.178599999999999</v>
      </c>
      <c r="AF230" t="s">
        <v>3973</v>
      </c>
      <c r="AG230" t="s">
        <v>3973</v>
      </c>
      <c r="AH230" t="s">
        <v>3894</v>
      </c>
      <c r="AI230" t="s">
        <v>3894</v>
      </c>
      <c r="AJ230" t="s">
        <v>3895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3896</v>
      </c>
      <c r="AT230" t="s">
        <v>3890</v>
      </c>
      <c r="AU230" t="s">
        <v>3897</v>
      </c>
      <c r="AV230" t="s">
        <v>3898</v>
      </c>
      <c r="AW230">
        <v>2</v>
      </c>
      <c r="AX230">
        <v>0</v>
      </c>
    </row>
    <row r="231" spans="1:50" x14ac:dyDescent="0.25">
      <c r="A231" t="s">
        <v>3034</v>
      </c>
      <c r="B231" t="s">
        <v>3889</v>
      </c>
      <c r="C231" t="s">
        <v>3890</v>
      </c>
      <c r="D231">
        <v>29.251999999999999</v>
      </c>
      <c r="E231">
        <v>29.192</v>
      </c>
      <c r="F231" s="2">
        <v>3.0000000000000001E-3</v>
      </c>
      <c r="G231" t="s">
        <v>3033</v>
      </c>
      <c r="H231" t="s">
        <v>3037</v>
      </c>
      <c r="I231">
        <v>440595.27510000003</v>
      </c>
      <c r="J231">
        <v>1827275.0075000001</v>
      </c>
      <c r="K231">
        <v>440595.27510000003</v>
      </c>
      <c r="L231">
        <v>1827295.0075000001</v>
      </c>
      <c r="M231" t="s">
        <v>56</v>
      </c>
      <c r="N231" t="s">
        <v>57</v>
      </c>
      <c r="O231">
        <v>450</v>
      </c>
      <c r="P231" t="s">
        <v>3891</v>
      </c>
      <c r="Q231" t="s">
        <v>3892</v>
      </c>
      <c r="R231" t="s">
        <v>797</v>
      </c>
      <c r="S231" t="s">
        <v>3035</v>
      </c>
      <c r="T231" t="s">
        <v>4203</v>
      </c>
      <c r="U231">
        <v>3.3099999999999997E-2</v>
      </c>
      <c r="V231">
        <v>3.3099999999999997E-2</v>
      </c>
      <c r="W231" t="s">
        <v>52</v>
      </c>
      <c r="X231">
        <v>0.9002</v>
      </c>
      <c r="Y231">
        <v>0.95120000000000005</v>
      </c>
      <c r="Z231">
        <v>0.95120000000000005</v>
      </c>
      <c r="AA231">
        <v>0.9002</v>
      </c>
      <c r="AB231">
        <v>19.6236</v>
      </c>
      <c r="AC231">
        <v>19.623699999999999</v>
      </c>
      <c r="AD231">
        <v>18.425699999999999</v>
      </c>
      <c r="AE231">
        <v>18.425799999999999</v>
      </c>
      <c r="AF231" t="s">
        <v>3973</v>
      </c>
      <c r="AG231" t="s">
        <v>3973</v>
      </c>
      <c r="AH231" t="s">
        <v>3894</v>
      </c>
      <c r="AI231" t="s">
        <v>3894</v>
      </c>
      <c r="AJ231" t="s">
        <v>3895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3896</v>
      </c>
      <c r="AT231" t="s">
        <v>3890</v>
      </c>
      <c r="AU231" t="s">
        <v>3897</v>
      </c>
      <c r="AV231" t="s">
        <v>3898</v>
      </c>
      <c r="AW231">
        <v>2</v>
      </c>
      <c r="AX231">
        <v>0</v>
      </c>
    </row>
    <row r="232" spans="1:50" x14ac:dyDescent="0.25">
      <c r="A232" t="s">
        <v>3054</v>
      </c>
      <c r="B232" t="s">
        <v>3889</v>
      </c>
      <c r="C232" t="s">
        <v>3890</v>
      </c>
      <c r="D232">
        <v>29.251999999999999</v>
      </c>
      <c r="E232">
        <v>29.192</v>
      </c>
      <c r="F232" s="2">
        <v>3.0000000000000001E-3</v>
      </c>
      <c r="G232" t="s">
        <v>3053</v>
      </c>
      <c r="H232" t="s">
        <v>3055</v>
      </c>
      <c r="I232">
        <v>440585.57510000002</v>
      </c>
      <c r="J232">
        <v>1827275.0075000001</v>
      </c>
      <c r="K232">
        <v>440585.57510000002</v>
      </c>
      <c r="L232">
        <v>1827294.6947999999</v>
      </c>
      <c r="M232" t="s">
        <v>56</v>
      </c>
      <c r="N232" t="s">
        <v>57</v>
      </c>
      <c r="O232">
        <v>450</v>
      </c>
      <c r="P232" t="s">
        <v>3891</v>
      </c>
      <c r="Q232" t="s">
        <v>3892</v>
      </c>
      <c r="R232" t="s">
        <v>357</v>
      </c>
      <c r="S232" t="s">
        <v>3035</v>
      </c>
      <c r="T232" t="s">
        <v>3057</v>
      </c>
      <c r="U232">
        <v>0.14960000000000001</v>
      </c>
      <c r="V232">
        <v>0.13869999999999999</v>
      </c>
      <c r="W232" t="s">
        <v>52</v>
      </c>
      <c r="X232">
        <v>0.90200000000000002</v>
      </c>
      <c r="Y232">
        <v>0.95120000000000005</v>
      </c>
      <c r="Z232">
        <v>0.95120000000000005</v>
      </c>
      <c r="AA232">
        <v>0.90200000000000002</v>
      </c>
      <c r="AB232">
        <v>19.6873</v>
      </c>
      <c r="AC232">
        <v>19.6874</v>
      </c>
      <c r="AD232">
        <v>18.4894</v>
      </c>
      <c r="AE232">
        <v>18.4895</v>
      </c>
      <c r="AF232" t="s">
        <v>3973</v>
      </c>
      <c r="AG232" t="s">
        <v>3973</v>
      </c>
      <c r="AH232" t="s">
        <v>3894</v>
      </c>
      <c r="AI232" t="s">
        <v>3894</v>
      </c>
      <c r="AJ232" t="s">
        <v>3895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3896</v>
      </c>
      <c r="AT232" t="s">
        <v>3890</v>
      </c>
      <c r="AU232" t="s">
        <v>3897</v>
      </c>
      <c r="AV232" t="s">
        <v>3898</v>
      </c>
      <c r="AW232">
        <v>2</v>
      </c>
      <c r="AX232">
        <v>0</v>
      </c>
    </row>
    <row r="233" spans="1:50" x14ac:dyDescent="0.25">
      <c r="A233" t="s">
        <v>4204</v>
      </c>
      <c r="B233" t="s">
        <v>3889</v>
      </c>
      <c r="C233" t="s">
        <v>3890</v>
      </c>
      <c r="D233">
        <v>29.023</v>
      </c>
      <c r="E233">
        <v>29.003</v>
      </c>
      <c r="F233" s="2">
        <v>1E-3</v>
      </c>
      <c r="G233" t="s">
        <v>2736</v>
      </c>
      <c r="H233" t="s">
        <v>2738</v>
      </c>
      <c r="I233">
        <v>440464.07510000002</v>
      </c>
      <c r="J233">
        <v>1827822.6987000001</v>
      </c>
      <c r="K233">
        <v>440464.07510000002</v>
      </c>
      <c r="L233">
        <v>1827802.6987000001</v>
      </c>
      <c r="M233" t="s">
        <v>56</v>
      </c>
      <c r="N233" t="s">
        <v>57</v>
      </c>
      <c r="O233">
        <v>450</v>
      </c>
      <c r="P233" t="s">
        <v>3891</v>
      </c>
      <c r="Q233" t="s">
        <v>3892</v>
      </c>
      <c r="R233" t="s">
        <v>210</v>
      </c>
      <c r="S233" t="s">
        <v>529</v>
      </c>
      <c r="T233" t="s">
        <v>525</v>
      </c>
      <c r="U233">
        <v>0</v>
      </c>
      <c r="V233">
        <v>0</v>
      </c>
      <c r="W233" t="s">
        <v>52</v>
      </c>
      <c r="X233">
        <v>0.89690000000000003</v>
      </c>
      <c r="Y233">
        <v>0.99229999999999996</v>
      </c>
      <c r="Z233">
        <v>0.99229999999999996</v>
      </c>
      <c r="AA233">
        <v>0.89690000000000003</v>
      </c>
      <c r="AB233">
        <v>20</v>
      </c>
      <c r="AC233">
        <v>20</v>
      </c>
      <c r="AD233">
        <v>18.800699999999999</v>
      </c>
      <c r="AE233">
        <v>18.800699999999999</v>
      </c>
      <c r="AF233" t="s">
        <v>3905</v>
      </c>
      <c r="AG233" t="s">
        <v>3905</v>
      </c>
      <c r="AH233" t="s">
        <v>3894</v>
      </c>
      <c r="AI233" t="s">
        <v>3894</v>
      </c>
      <c r="AJ233" t="s">
        <v>3895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3896</v>
      </c>
      <c r="AT233" t="s">
        <v>3890</v>
      </c>
      <c r="AU233" t="s">
        <v>3897</v>
      </c>
      <c r="AV233" t="s">
        <v>3898</v>
      </c>
      <c r="AW233">
        <v>2</v>
      </c>
      <c r="AX233">
        <v>0</v>
      </c>
    </row>
    <row r="234" spans="1:50" x14ac:dyDescent="0.25">
      <c r="A234" t="s">
        <v>4205</v>
      </c>
      <c r="B234" t="s">
        <v>3889</v>
      </c>
      <c r="C234" t="s">
        <v>3890</v>
      </c>
      <c r="D234">
        <v>29.023</v>
      </c>
      <c r="E234">
        <v>29.003</v>
      </c>
      <c r="F234" s="2">
        <v>1E-3</v>
      </c>
      <c r="G234" t="s">
        <v>2700</v>
      </c>
      <c r="H234" t="s">
        <v>2703</v>
      </c>
      <c r="I234">
        <v>440454.3751</v>
      </c>
      <c r="J234">
        <v>1827822.6987000001</v>
      </c>
      <c r="K234">
        <v>440454.3751</v>
      </c>
      <c r="L234">
        <v>1827802.6987000001</v>
      </c>
      <c r="M234" t="s">
        <v>56</v>
      </c>
      <c r="N234" t="s">
        <v>57</v>
      </c>
      <c r="O234">
        <v>450</v>
      </c>
      <c r="P234" t="s">
        <v>3891</v>
      </c>
      <c r="Q234" t="s">
        <v>3892</v>
      </c>
      <c r="R234" t="s">
        <v>232</v>
      </c>
      <c r="S234" t="s">
        <v>529</v>
      </c>
      <c r="T234" t="s">
        <v>525</v>
      </c>
      <c r="U234">
        <v>0.1784</v>
      </c>
      <c r="V234">
        <v>0.1784</v>
      </c>
      <c r="W234" t="s">
        <v>52</v>
      </c>
      <c r="X234">
        <v>0.89690000000000003</v>
      </c>
      <c r="Y234">
        <v>0.99229999999999996</v>
      </c>
      <c r="Z234">
        <v>0.99229999999999996</v>
      </c>
      <c r="AA234">
        <v>0.89690000000000003</v>
      </c>
      <c r="AB234">
        <v>20</v>
      </c>
      <c r="AC234">
        <v>20</v>
      </c>
      <c r="AD234">
        <v>18.800699999999999</v>
      </c>
      <c r="AE234">
        <v>18.800699999999999</v>
      </c>
      <c r="AF234" t="s">
        <v>3905</v>
      </c>
      <c r="AG234" t="s">
        <v>3905</v>
      </c>
      <c r="AH234" t="s">
        <v>3894</v>
      </c>
      <c r="AI234" t="s">
        <v>3894</v>
      </c>
      <c r="AJ234" t="s">
        <v>3895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3896</v>
      </c>
      <c r="AT234" t="s">
        <v>3890</v>
      </c>
      <c r="AU234" t="s">
        <v>3897</v>
      </c>
      <c r="AV234" t="s">
        <v>3898</v>
      </c>
      <c r="AW234">
        <v>2</v>
      </c>
      <c r="AX234">
        <v>0</v>
      </c>
    </row>
    <row r="235" spans="1:50" x14ac:dyDescent="0.25">
      <c r="A235" t="s">
        <v>4206</v>
      </c>
      <c r="B235" t="s">
        <v>3928</v>
      </c>
      <c r="C235" t="s">
        <v>3890</v>
      </c>
      <c r="D235">
        <v>28.561</v>
      </c>
      <c r="E235">
        <v>28.501000000000001</v>
      </c>
      <c r="F235" s="2">
        <v>3.0000000000000001E-3</v>
      </c>
      <c r="G235" t="s">
        <v>2570</v>
      </c>
      <c r="H235" t="s">
        <v>2574</v>
      </c>
      <c r="I235">
        <v>440595.0001</v>
      </c>
      <c r="J235">
        <v>1827972.7723999999</v>
      </c>
      <c r="K235">
        <v>440595.0001</v>
      </c>
      <c r="L235">
        <v>1827952.7723999999</v>
      </c>
      <c r="M235" t="s">
        <v>56</v>
      </c>
      <c r="N235" t="s">
        <v>57</v>
      </c>
      <c r="O235">
        <v>900</v>
      </c>
      <c r="P235" t="s">
        <v>3929</v>
      </c>
      <c r="Q235" t="s">
        <v>3930</v>
      </c>
      <c r="R235" t="s">
        <v>251</v>
      </c>
      <c r="S235" t="s">
        <v>2572</v>
      </c>
      <c r="T235" t="s">
        <v>2576</v>
      </c>
      <c r="U235">
        <v>0</v>
      </c>
      <c r="V235">
        <v>0</v>
      </c>
      <c r="W235" t="s">
        <v>52</v>
      </c>
      <c r="X235">
        <v>1.1763999999999999</v>
      </c>
      <c r="Y235">
        <v>1.3207</v>
      </c>
      <c r="Z235">
        <v>1.3207</v>
      </c>
      <c r="AA235">
        <v>1.1763999999999999</v>
      </c>
      <c r="AB235">
        <v>20</v>
      </c>
      <c r="AC235">
        <v>20.0001</v>
      </c>
      <c r="AD235">
        <v>18.803699999999999</v>
      </c>
      <c r="AE235">
        <v>18.803799999999999</v>
      </c>
      <c r="AF235" t="s">
        <v>2233</v>
      </c>
      <c r="AG235" t="s">
        <v>2233</v>
      </c>
      <c r="AH235" t="s">
        <v>3894</v>
      </c>
      <c r="AI235" t="s">
        <v>3894</v>
      </c>
      <c r="AJ235" t="s">
        <v>3895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3896</v>
      </c>
      <c r="AT235" t="s">
        <v>3890</v>
      </c>
      <c r="AU235" t="s">
        <v>3931</v>
      </c>
      <c r="AV235" t="s">
        <v>3898</v>
      </c>
      <c r="AW235">
        <v>2</v>
      </c>
      <c r="AX235">
        <v>0</v>
      </c>
    </row>
    <row r="236" spans="1:50" x14ac:dyDescent="0.25">
      <c r="A236" t="s">
        <v>4207</v>
      </c>
      <c r="B236" t="s">
        <v>3889</v>
      </c>
      <c r="C236" t="s">
        <v>3890</v>
      </c>
      <c r="D236">
        <v>31.515000000000001</v>
      </c>
      <c r="E236">
        <v>31.454999999999998</v>
      </c>
      <c r="F236" s="2">
        <v>3.0000000000000001E-3</v>
      </c>
      <c r="G236" t="s">
        <v>2513</v>
      </c>
      <c r="H236" t="s">
        <v>2515</v>
      </c>
      <c r="I236">
        <v>440310.42509999999</v>
      </c>
      <c r="J236">
        <v>1828047.5473</v>
      </c>
      <c r="K236">
        <v>440330.42509999999</v>
      </c>
      <c r="L236">
        <v>1828047.5473</v>
      </c>
      <c r="M236" t="s">
        <v>56</v>
      </c>
      <c r="N236" t="s">
        <v>57</v>
      </c>
      <c r="O236">
        <v>450</v>
      </c>
      <c r="P236" t="s">
        <v>3891</v>
      </c>
      <c r="Q236" t="s">
        <v>3892</v>
      </c>
      <c r="R236" t="s">
        <v>2502</v>
      </c>
      <c r="S236" s="1" t="s">
        <v>1057</v>
      </c>
      <c r="T236" t="s">
        <v>1444</v>
      </c>
      <c r="U236">
        <v>0.15</v>
      </c>
      <c r="V236">
        <v>0.15</v>
      </c>
      <c r="W236" t="s">
        <v>52</v>
      </c>
      <c r="X236">
        <v>0.8821</v>
      </c>
      <c r="Y236">
        <v>0.9143</v>
      </c>
      <c r="Z236">
        <v>0.9143</v>
      </c>
      <c r="AA236">
        <v>0.8821</v>
      </c>
      <c r="AB236">
        <v>20</v>
      </c>
      <c r="AC236">
        <v>20.0001</v>
      </c>
      <c r="AD236">
        <v>18.802099999999999</v>
      </c>
      <c r="AE236">
        <v>18.802199999999999</v>
      </c>
      <c r="AF236" t="s">
        <v>183</v>
      </c>
      <c r="AG236" t="s">
        <v>183</v>
      </c>
      <c r="AH236" t="s">
        <v>3894</v>
      </c>
      <c r="AI236" t="s">
        <v>3894</v>
      </c>
      <c r="AJ236" t="s">
        <v>3895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3896</v>
      </c>
      <c r="AT236" t="s">
        <v>3890</v>
      </c>
      <c r="AU236" t="s">
        <v>3897</v>
      </c>
      <c r="AV236" t="s">
        <v>3898</v>
      </c>
      <c r="AW236">
        <v>2</v>
      </c>
      <c r="AX236">
        <v>0</v>
      </c>
    </row>
    <row r="237" spans="1:50" x14ac:dyDescent="0.25">
      <c r="A237" t="s">
        <v>2501</v>
      </c>
      <c r="B237" t="s">
        <v>3889</v>
      </c>
      <c r="C237" t="s">
        <v>3890</v>
      </c>
      <c r="D237">
        <v>31.884</v>
      </c>
      <c r="E237">
        <v>31.824000000000002</v>
      </c>
      <c r="F237" s="2">
        <v>3.0000000000000001E-3</v>
      </c>
      <c r="G237" t="s">
        <v>2500</v>
      </c>
      <c r="H237" t="s">
        <v>2504</v>
      </c>
      <c r="I237">
        <v>440230.42509999999</v>
      </c>
      <c r="J237">
        <v>1828047.5473</v>
      </c>
      <c r="K237">
        <v>440250.42509999999</v>
      </c>
      <c r="L237">
        <v>1828047.5473</v>
      </c>
      <c r="M237" t="s">
        <v>56</v>
      </c>
      <c r="N237" t="s">
        <v>57</v>
      </c>
      <c r="O237">
        <v>450</v>
      </c>
      <c r="P237" t="s">
        <v>3891</v>
      </c>
      <c r="Q237" t="s">
        <v>3892</v>
      </c>
      <c r="R237" t="s">
        <v>2502</v>
      </c>
      <c r="S237" t="s">
        <v>853</v>
      </c>
      <c r="T237" t="s">
        <v>1457</v>
      </c>
      <c r="U237">
        <v>0.15</v>
      </c>
      <c r="V237">
        <v>0.15</v>
      </c>
      <c r="W237" t="s">
        <v>52</v>
      </c>
      <c r="X237">
        <v>0.88160000000000005</v>
      </c>
      <c r="Y237">
        <v>0.91369999999999996</v>
      </c>
      <c r="Z237">
        <v>0.91369999999999996</v>
      </c>
      <c r="AA237">
        <v>0.88160000000000005</v>
      </c>
      <c r="AB237">
        <v>20</v>
      </c>
      <c r="AC237">
        <v>20.0001</v>
      </c>
      <c r="AD237">
        <v>18.802099999999999</v>
      </c>
      <c r="AE237">
        <v>18.802199999999999</v>
      </c>
      <c r="AF237" t="s">
        <v>183</v>
      </c>
      <c r="AG237" t="s">
        <v>183</v>
      </c>
      <c r="AH237" t="s">
        <v>3894</v>
      </c>
      <c r="AI237" t="s">
        <v>3894</v>
      </c>
      <c r="AJ237" t="s">
        <v>3895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3896</v>
      </c>
      <c r="AT237" t="s">
        <v>3890</v>
      </c>
      <c r="AU237" t="s">
        <v>3897</v>
      </c>
      <c r="AV237" t="s">
        <v>3898</v>
      </c>
      <c r="AW237">
        <v>2</v>
      </c>
      <c r="AX237">
        <v>0</v>
      </c>
    </row>
    <row r="238" spans="1:50" x14ac:dyDescent="0.25">
      <c r="A238" t="s">
        <v>4208</v>
      </c>
      <c r="B238" t="s">
        <v>3889</v>
      </c>
      <c r="C238" t="s">
        <v>3890</v>
      </c>
      <c r="D238">
        <v>29.611000000000001</v>
      </c>
      <c r="E238">
        <v>29.550999999999998</v>
      </c>
      <c r="F238" s="2">
        <v>3.0000000000000001E-3</v>
      </c>
      <c r="G238" t="s">
        <v>2487</v>
      </c>
      <c r="H238" t="s">
        <v>2490</v>
      </c>
      <c r="I238">
        <v>440585.57510000002</v>
      </c>
      <c r="J238">
        <v>1827982.6984000001</v>
      </c>
      <c r="K238">
        <v>440585.57510000002</v>
      </c>
      <c r="L238">
        <v>1827962.6984000001</v>
      </c>
      <c r="M238" t="s">
        <v>56</v>
      </c>
      <c r="N238" t="s">
        <v>57</v>
      </c>
      <c r="O238">
        <v>450</v>
      </c>
      <c r="P238" t="s">
        <v>3891</v>
      </c>
      <c r="Q238" t="s">
        <v>3892</v>
      </c>
      <c r="R238" t="s">
        <v>2481</v>
      </c>
      <c r="S238" t="s">
        <v>444</v>
      </c>
      <c r="T238" t="s">
        <v>440</v>
      </c>
      <c r="U238">
        <v>0</v>
      </c>
      <c r="V238">
        <v>0</v>
      </c>
      <c r="W238" t="s">
        <v>52</v>
      </c>
      <c r="X238">
        <v>0.88160000000000005</v>
      </c>
      <c r="Y238">
        <v>1.0325</v>
      </c>
      <c r="Z238">
        <v>1.0325</v>
      </c>
      <c r="AA238">
        <v>0.88160000000000005</v>
      </c>
      <c r="AB238">
        <v>20</v>
      </c>
      <c r="AC238">
        <v>20.0001</v>
      </c>
      <c r="AD238">
        <v>18.802099999999999</v>
      </c>
      <c r="AE238">
        <v>18.802199999999999</v>
      </c>
      <c r="AF238" t="s">
        <v>2233</v>
      </c>
      <c r="AG238" t="s">
        <v>2233</v>
      </c>
      <c r="AH238" t="s">
        <v>3894</v>
      </c>
      <c r="AI238" t="s">
        <v>3894</v>
      </c>
      <c r="AJ238" t="s">
        <v>3895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3896</v>
      </c>
      <c r="AT238" t="s">
        <v>3890</v>
      </c>
      <c r="AU238" t="s">
        <v>3897</v>
      </c>
      <c r="AV238" t="s">
        <v>3898</v>
      </c>
      <c r="AW238">
        <v>2</v>
      </c>
      <c r="AX238">
        <v>0</v>
      </c>
    </row>
    <row r="239" spans="1:50" x14ac:dyDescent="0.25">
      <c r="A239" t="s">
        <v>4209</v>
      </c>
      <c r="B239" t="s">
        <v>3889</v>
      </c>
      <c r="C239" t="s">
        <v>3890</v>
      </c>
      <c r="D239">
        <v>30.09</v>
      </c>
      <c r="E239">
        <v>30.03</v>
      </c>
      <c r="F239" s="2">
        <v>3.0000000000000001E-3</v>
      </c>
      <c r="G239" t="s">
        <v>2447</v>
      </c>
      <c r="H239" t="s">
        <v>2449</v>
      </c>
      <c r="I239">
        <v>440529.67509999999</v>
      </c>
      <c r="J239">
        <v>1827982.6984000001</v>
      </c>
      <c r="K239">
        <v>440529.67509999999</v>
      </c>
      <c r="L239">
        <v>1827962.6984000001</v>
      </c>
      <c r="M239" t="s">
        <v>56</v>
      </c>
      <c r="N239" t="s">
        <v>57</v>
      </c>
      <c r="O239">
        <v>450</v>
      </c>
      <c r="P239" t="s">
        <v>3891</v>
      </c>
      <c r="Q239" t="s">
        <v>3892</v>
      </c>
      <c r="R239" t="s">
        <v>2436</v>
      </c>
      <c r="S239" t="s">
        <v>444</v>
      </c>
      <c r="T239" t="s">
        <v>440</v>
      </c>
      <c r="U239">
        <v>-2.3400000000000001E-2</v>
      </c>
      <c r="V239">
        <v>-2.3400000000000001E-2</v>
      </c>
      <c r="W239" t="s">
        <v>52</v>
      </c>
      <c r="X239">
        <v>0.88219999999999998</v>
      </c>
      <c r="Y239">
        <v>0.9546</v>
      </c>
      <c r="Z239">
        <v>0.9546</v>
      </c>
      <c r="AA239">
        <v>0.88219999999999998</v>
      </c>
      <c r="AB239">
        <v>20</v>
      </c>
      <c r="AC239">
        <v>20.0001</v>
      </c>
      <c r="AD239">
        <v>18.802099999999999</v>
      </c>
      <c r="AE239">
        <v>18.802199999999999</v>
      </c>
      <c r="AF239" t="s">
        <v>2233</v>
      </c>
      <c r="AG239" t="s">
        <v>2233</v>
      </c>
      <c r="AH239" t="s">
        <v>3894</v>
      </c>
      <c r="AI239" t="s">
        <v>3894</v>
      </c>
      <c r="AJ239" t="s">
        <v>3895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3896</v>
      </c>
      <c r="AT239" t="s">
        <v>3890</v>
      </c>
      <c r="AU239" t="s">
        <v>3897</v>
      </c>
      <c r="AV239" t="s">
        <v>3898</v>
      </c>
      <c r="AW239">
        <v>2</v>
      </c>
      <c r="AX239">
        <v>0</v>
      </c>
    </row>
    <row r="240" spans="1:50" x14ac:dyDescent="0.25">
      <c r="A240" t="s">
        <v>4210</v>
      </c>
      <c r="B240" t="s">
        <v>3889</v>
      </c>
      <c r="C240" t="s">
        <v>3890</v>
      </c>
      <c r="D240">
        <v>30.09</v>
      </c>
      <c r="E240">
        <v>30.03</v>
      </c>
      <c r="F240" s="2">
        <v>3.0000000000000001E-3</v>
      </c>
      <c r="G240" t="s">
        <v>2339</v>
      </c>
      <c r="H240" t="s">
        <v>2342</v>
      </c>
      <c r="I240">
        <v>440519.97509999998</v>
      </c>
      <c r="J240">
        <v>1827982.6984000001</v>
      </c>
      <c r="K240">
        <v>440519.97509999998</v>
      </c>
      <c r="L240">
        <v>1827962.6984000001</v>
      </c>
      <c r="M240" t="s">
        <v>56</v>
      </c>
      <c r="N240" t="s">
        <v>57</v>
      </c>
      <c r="O240">
        <v>450</v>
      </c>
      <c r="P240" t="s">
        <v>3891</v>
      </c>
      <c r="Q240" t="s">
        <v>3892</v>
      </c>
      <c r="R240" t="s">
        <v>265</v>
      </c>
      <c r="S240" t="s">
        <v>444</v>
      </c>
      <c r="T240" t="s">
        <v>440</v>
      </c>
      <c r="U240">
        <v>0</v>
      </c>
      <c r="V240">
        <v>0</v>
      </c>
      <c r="W240" t="s">
        <v>52</v>
      </c>
      <c r="X240">
        <v>0.88219999999999998</v>
      </c>
      <c r="Y240">
        <v>0.9546</v>
      </c>
      <c r="Z240">
        <v>0.9546</v>
      </c>
      <c r="AA240">
        <v>0.88219999999999998</v>
      </c>
      <c r="AB240">
        <v>20</v>
      </c>
      <c r="AC240">
        <v>20.0001</v>
      </c>
      <c r="AD240">
        <v>18.802099999999999</v>
      </c>
      <c r="AE240">
        <v>18.802199999999999</v>
      </c>
      <c r="AF240" t="s">
        <v>2233</v>
      </c>
      <c r="AG240" t="s">
        <v>2233</v>
      </c>
      <c r="AH240" t="s">
        <v>3894</v>
      </c>
      <c r="AI240" t="s">
        <v>3894</v>
      </c>
      <c r="AJ240" t="s">
        <v>3895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3896</v>
      </c>
      <c r="AT240" t="s">
        <v>3890</v>
      </c>
      <c r="AU240" t="s">
        <v>3897</v>
      </c>
      <c r="AV240" t="s">
        <v>3898</v>
      </c>
      <c r="AW240">
        <v>2</v>
      </c>
      <c r="AX240">
        <v>0</v>
      </c>
    </row>
    <row r="241" spans="1:50" x14ac:dyDescent="0.25">
      <c r="A241" t="s">
        <v>4211</v>
      </c>
      <c r="B241" t="s">
        <v>3889</v>
      </c>
      <c r="C241" t="s">
        <v>3890</v>
      </c>
      <c r="D241">
        <v>30.283999999999999</v>
      </c>
      <c r="E241">
        <v>30.224</v>
      </c>
      <c r="F241" s="2">
        <v>3.0000000000000001E-3</v>
      </c>
      <c r="G241" t="s">
        <v>2308</v>
      </c>
      <c r="H241" t="s">
        <v>2310</v>
      </c>
      <c r="I241">
        <v>440464.07510000002</v>
      </c>
      <c r="J241">
        <v>1827982.6987000001</v>
      </c>
      <c r="K241">
        <v>440464.07510000002</v>
      </c>
      <c r="L241">
        <v>1827962.6987000001</v>
      </c>
      <c r="M241" t="s">
        <v>56</v>
      </c>
      <c r="N241" t="s">
        <v>57</v>
      </c>
      <c r="O241">
        <v>450</v>
      </c>
      <c r="P241" t="s">
        <v>3891</v>
      </c>
      <c r="Q241" t="s">
        <v>3892</v>
      </c>
      <c r="R241" t="s">
        <v>210</v>
      </c>
      <c r="S241" t="s">
        <v>444</v>
      </c>
      <c r="T241" t="s">
        <v>440</v>
      </c>
      <c r="U241">
        <v>-1E-4</v>
      </c>
      <c r="V241">
        <v>-1E-4</v>
      </c>
      <c r="W241" t="s">
        <v>52</v>
      </c>
      <c r="X241">
        <v>0.8821</v>
      </c>
      <c r="Y241">
        <v>0.98160000000000003</v>
      </c>
      <c r="Z241">
        <v>0.98160000000000003</v>
      </c>
      <c r="AA241">
        <v>0.8821</v>
      </c>
      <c r="AB241">
        <v>20</v>
      </c>
      <c r="AC241">
        <v>20.0001</v>
      </c>
      <c r="AD241">
        <v>18.802099999999999</v>
      </c>
      <c r="AE241">
        <v>18.802199999999999</v>
      </c>
      <c r="AF241" t="s">
        <v>3905</v>
      </c>
      <c r="AG241" t="s">
        <v>3905</v>
      </c>
      <c r="AH241" t="s">
        <v>3894</v>
      </c>
      <c r="AI241" t="s">
        <v>3894</v>
      </c>
      <c r="AJ241" t="s">
        <v>3895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3896</v>
      </c>
      <c r="AT241" t="s">
        <v>3890</v>
      </c>
      <c r="AU241" t="s">
        <v>3897</v>
      </c>
      <c r="AV241" t="s">
        <v>3898</v>
      </c>
      <c r="AW241">
        <v>2</v>
      </c>
      <c r="AX241">
        <v>0</v>
      </c>
    </row>
    <row r="242" spans="1:50" x14ac:dyDescent="0.25">
      <c r="A242" t="s">
        <v>4212</v>
      </c>
      <c r="B242" t="s">
        <v>3889</v>
      </c>
      <c r="C242" t="s">
        <v>3890</v>
      </c>
      <c r="D242">
        <v>30.283999999999999</v>
      </c>
      <c r="E242">
        <v>30.224</v>
      </c>
      <c r="F242" s="2">
        <v>3.0000000000000001E-3</v>
      </c>
      <c r="G242" t="s">
        <v>2283</v>
      </c>
      <c r="H242" t="s">
        <v>2286</v>
      </c>
      <c r="I242">
        <v>440454.3751</v>
      </c>
      <c r="J242">
        <v>1827982.6987000001</v>
      </c>
      <c r="K242">
        <v>440454.3751</v>
      </c>
      <c r="L242">
        <v>1827962.6987000001</v>
      </c>
      <c r="M242" t="s">
        <v>56</v>
      </c>
      <c r="N242" t="s">
        <v>57</v>
      </c>
      <c r="O242">
        <v>450</v>
      </c>
      <c r="P242" t="s">
        <v>3891</v>
      </c>
      <c r="Q242" t="s">
        <v>3892</v>
      </c>
      <c r="R242" t="s">
        <v>232</v>
      </c>
      <c r="S242" t="s">
        <v>444</v>
      </c>
      <c r="T242" s="1" t="s">
        <v>440</v>
      </c>
      <c r="U242">
        <v>0.1784</v>
      </c>
      <c r="V242">
        <v>0.1784</v>
      </c>
      <c r="W242" t="s">
        <v>52</v>
      </c>
      <c r="X242">
        <v>0.8821</v>
      </c>
      <c r="Y242">
        <v>0.98160000000000003</v>
      </c>
      <c r="Z242">
        <v>0.98160000000000003</v>
      </c>
      <c r="AA242">
        <v>0.8821</v>
      </c>
      <c r="AB242">
        <v>20</v>
      </c>
      <c r="AC242">
        <v>20.0001</v>
      </c>
      <c r="AD242">
        <v>18.802099999999999</v>
      </c>
      <c r="AE242">
        <v>18.802199999999999</v>
      </c>
      <c r="AF242" t="s">
        <v>3905</v>
      </c>
      <c r="AG242" t="s">
        <v>3905</v>
      </c>
      <c r="AH242" t="s">
        <v>3894</v>
      </c>
      <c r="AI242" t="s">
        <v>3894</v>
      </c>
      <c r="AJ242" t="s">
        <v>3895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3896</v>
      </c>
      <c r="AT242" t="s">
        <v>3890</v>
      </c>
      <c r="AU242" t="s">
        <v>3897</v>
      </c>
      <c r="AV242" t="s">
        <v>3898</v>
      </c>
      <c r="AW242">
        <v>2</v>
      </c>
      <c r="AX242">
        <v>0</v>
      </c>
    </row>
    <row r="243" spans="1:50" x14ac:dyDescent="0.25">
      <c r="A243" t="s">
        <v>4213</v>
      </c>
      <c r="B243" t="s">
        <v>3889</v>
      </c>
      <c r="C243" t="s">
        <v>3890</v>
      </c>
      <c r="D243">
        <v>30.483000000000001</v>
      </c>
      <c r="E243">
        <v>30.423999999999999</v>
      </c>
      <c r="F243" s="2">
        <v>3.0000000000000001E-3</v>
      </c>
      <c r="G243" t="s">
        <v>2387</v>
      </c>
      <c r="H243" t="s">
        <v>2390</v>
      </c>
      <c r="I243">
        <v>440387.3751</v>
      </c>
      <c r="J243">
        <v>1827982.6984000001</v>
      </c>
      <c r="K243">
        <v>440387.3751</v>
      </c>
      <c r="L243">
        <v>1827962.6984000001</v>
      </c>
      <c r="M243" t="s">
        <v>56</v>
      </c>
      <c r="N243" t="s">
        <v>57</v>
      </c>
      <c r="O243">
        <v>450</v>
      </c>
      <c r="P243" t="s">
        <v>3891</v>
      </c>
      <c r="Q243" t="s">
        <v>3892</v>
      </c>
      <c r="R243" t="s">
        <v>246</v>
      </c>
      <c r="S243" t="s">
        <v>444</v>
      </c>
      <c r="T243" t="s">
        <v>440</v>
      </c>
      <c r="U243">
        <v>0</v>
      </c>
      <c r="V243">
        <v>0</v>
      </c>
      <c r="W243" t="s">
        <v>52</v>
      </c>
      <c r="X243">
        <v>0.89549999999999996</v>
      </c>
      <c r="Y243">
        <v>1.0224</v>
      </c>
      <c r="Z243">
        <v>1.0224</v>
      </c>
      <c r="AA243">
        <v>0.89549999999999996</v>
      </c>
      <c r="AB243">
        <v>20</v>
      </c>
      <c r="AC243">
        <v>20.0001</v>
      </c>
      <c r="AD243">
        <v>18.802099999999999</v>
      </c>
      <c r="AE243">
        <v>18.802099999999999</v>
      </c>
      <c r="AF243" t="s">
        <v>2233</v>
      </c>
      <c r="AG243" t="s">
        <v>2233</v>
      </c>
      <c r="AH243" t="s">
        <v>3894</v>
      </c>
      <c r="AI243" t="s">
        <v>3894</v>
      </c>
      <c r="AJ243" t="s">
        <v>3895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3896</v>
      </c>
      <c r="AT243" t="s">
        <v>3890</v>
      </c>
      <c r="AU243" t="s">
        <v>3897</v>
      </c>
      <c r="AV243" t="s">
        <v>3898</v>
      </c>
      <c r="AW243">
        <v>2</v>
      </c>
      <c r="AX243">
        <v>0</v>
      </c>
    </row>
    <row r="244" spans="1:50" x14ac:dyDescent="0.25">
      <c r="A244" t="s">
        <v>4214</v>
      </c>
      <c r="B244" t="s">
        <v>3889</v>
      </c>
      <c r="C244" t="s">
        <v>3890</v>
      </c>
      <c r="D244">
        <v>30.669</v>
      </c>
      <c r="E244">
        <v>30.609000000000002</v>
      </c>
      <c r="F244" s="2">
        <v>3.0000000000000001E-3</v>
      </c>
      <c r="G244" t="s">
        <v>2384</v>
      </c>
      <c r="H244" t="s">
        <v>2387</v>
      </c>
      <c r="I244">
        <v>440387.3751</v>
      </c>
      <c r="J244">
        <v>1828002.6984000001</v>
      </c>
      <c r="K244">
        <v>440387.3751</v>
      </c>
      <c r="L244">
        <v>1827982.6984000001</v>
      </c>
      <c r="M244" t="s">
        <v>56</v>
      </c>
      <c r="N244" t="s">
        <v>57</v>
      </c>
      <c r="O244">
        <v>450</v>
      </c>
      <c r="P244" t="s">
        <v>3891</v>
      </c>
      <c r="Q244" t="s">
        <v>3892</v>
      </c>
      <c r="R244" t="s">
        <v>246</v>
      </c>
      <c r="S244" t="s">
        <v>448</v>
      </c>
      <c r="T244" t="s">
        <v>444</v>
      </c>
      <c r="U244">
        <v>0</v>
      </c>
      <c r="V244">
        <v>0</v>
      </c>
      <c r="W244" t="s">
        <v>52</v>
      </c>
      <c r="X244">
        <v>0.89639999999999997</v>
      </c>
      <c r="Y244">
        <v>1.0223</v>
      </c>
      <c r="Z244">
        <v>1.0223</v>
      </c>
      <c r="AA244">
        <v>0.89639999999999997</v>
      </c>
      <c r="AB244">
        <v>20</v>
      </c>
      <c r="AC244">
        <v>20.0001</v>
      </c>
      <c r="AD244">
        <v>18.802099999999999</v>
      </c>
      <c r="AE244">
        <v>18.802199999999999</v>
      </c>
      <c r="AF244" t="s">
        <v>2233</v>
      </c>
      <c r="AG244" t="s">
        <v>2233</v>
      </c>
      <c r="AH244" t="s">
        <v>3894</v>
      </c>
      <c r="AI244" t="s">
        <v>3894</v>
      </c>
      <c r="AJ244" t="s">
        <v>3895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3896</v>
      </c>
      <c r="AT244" t="s">
        <v>3890</v>
      </c>
      <c r="AU244" t="s">
        <v>3897</v>
      </c>
      <c r="AV244" t="s">
        <v>3898</v>
      </c>
      <c r="AW244">
        <v>2</v>
      </c>
      <c r="AX244">
        <v>0</v>
      </c>
    </row>
    <row r="245" spans="1:50" x14ac:dyDescent="0.25">
      <c r="A245" t="s">
        <v>4215</v>
      </c>
      <c r="B245" t="s">
        <v>3889</v>
      </c>
      <c r="C245" t="s">
        <v>3890</v>
      </c>
      <c r="D245">
        <v>31.515000000000001</v>
      </c>
      <c r="E245">
        <v>31.454999999999998</v>
      </c>
      <c r="F245" s="2">
        <v>3.0000000000000001E-3</v>
      </c>
      <c r="G245" t="s">
        <v>2364</v>
      </c>
      <c r="H245" t="s">
        <v>2367</v>
      </c>
      <c r="I245">
        <v>440310.42509999999</v>
      </c>
      <c r="J245">
        <v>1828037.8473</v>
      </c>
      <c r="K245">
        <v>440330.42509999999</v>
      </c>
      <c r="L245">
        <v>1828037.8473</v>
      </c>
      <c r="M245" t="s">
        <v>56</v>
      </c>
      <c r="N245" t="s">
        <v>57</v>
      </c>
      <c r="O245">
        <v>450</v>
      </c>
      <c r="P245" t="s">
        <v>3891</v>
      </c>
      <c r="Q245" t="s">
        <v>3892</v>
      </c>
      <c r="R245" t="s">
        <v>2263</v>
      </c>
      <c r="S245" t="s">
        <v>1057</v>
      </c>
      <c r="T245" t="s">
        <v>1444</v>
      </c>
      <c r="U245">
        <v>-6.7400000000000002E-2</v>
      </c>
      <c r="V245">
        <v>-6.7400000000000002E-2</v>
      </c>
      <c r="W245" t="s">
        <v>52</v>
      </c>
      <c r="X245">
        <v>0.88219999999999998</v>
      </c>
      <c r="Y245">
        <v>0.9143</v>
      </c>
      <c r="Z245">
        <v>0.9143</v>
      </c>
      <c r="AA245">
        <v>0.88219999999999998</v>
      </c>
      <c r="AB245">
        <v>20</v>
      </c>
      <c r="AC245">
        <v>20.0001</v>
      </c>
      <c r="AD245">
        <v>18.802099999999999</v>
      </c>
      <c r="AE245">
        <v>18.802199999999999</v>
      </c>
      <c r="AF245" t="s">
        <v>183</v>
      </c>
      <c r="AG245" t="s">
        <v>183</v>
      </c>
      <c r="AH245" t="s">
        <v>3894</v>
      </c>
      <c r="AI245" t="s">
        <v>3894</v>
      </c>
      <c r="AJ245" t="s">
        <v>3895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3896</v>
      </c>
      <c r="AT245" t="s">
        <v>3890</v>
      </c>
      <c r="AU245" t="s">
        <v>3897</v>
      </c>
      <c r="AV245" t="s">
        <v>3898</v>
      </c>
      <c r="AW245">
        <v>2</v>
      </c>
      <c r="AX245">
        <v>0</v>
      </c>
    </row>
    <row r="246" spans="1:50" x14ac:dyDescent="0.25">
      <c r="A246" t="s">
        <v>2353</v>
      </c>
      <c r="B246" t="s">
        <v>3889</v>
      </c>
      <c r="C246" t="s">
        <v>3890</v>
      </c>
      <c r="D246">
        <v>31.884</v>
      </c>
      <c r="E246">
        <v>31.824000000000002</v>
      </c>
      <c r="F246" s="2">
        <v>3.0000000000000001E-3</v>
      </c>
      <c r="G246" t="s">
        <v>2352</v>
      </c>
      <c r="H246" t="s">
        <v>2355</v>
      </c>
      <c r="I246">
        <v>440230.42509999999</v>
      </c>
      <c r="J246">
        <v>1828037.8473</v>
      </c>
      <c r="K246">
        <v>440250.42509999999</v>
      </c>
      <c r="L246">
        <v>1828037.8473</v>
      </c>
      <c r="M246" t="s">
        <v>56</v>
      </c>
      <c r="N246" t="s">
        <v>57</v>
      </c>
      <c r="O246">
        <v>450</v>
      </c>
      <c r="P246" t="s">
        <v>3891</v>
      </c>
      <c r="Q246" t="s">
        <v>3892</v>
      </c>
      <c r="R246" t="s">
        <v>2263</v>
      </c>
      <c r="S246" t="s">
        <v>853</v>
      </c>
      <c r="T246" t="s">
        <v>1457</v>
      </c>
      <c r="U246">
        <v>-6.7400000000000002E-2</v>
      </c>
      <c r="V246">
        <v>-6.7400000000000002E-2</v>
      </c>
      <c r="W246" t="s">
        <v>52</v>
      </c>
      <c r="X246">
        <v>0.88170000000000004</v>
      </c>
      <c r="Y246">
        <v>0.91379999999999995</v>
      </c>
      <c r="Z246">
        <v>0.91379999999999995</v>
      </c>
      <c r="AA246">
        <v>0.88170000000000004</v>
      </c>
      <c r="AB246">
        <v>20</v>
      </c>
      <c r="AC246">
        <v>20.0001</v>
      </c>
      <c r="AD246">
        <v>18.802099999999999</v>
      </c>
      <c r="AE246">
        <v>18.802199999999999</v>
      </c>
      <c r="AF246" t="s">
        <v>183</v>
      </c>
      <c r="AG246" t="s">
        <v>183</v>
      </c>
      <c r="AH246" t="s">
        <v>3894</v>
      </c>
      <c r="AI246" t="s">
        <v>3894</v>
      </c>
      <c r="AJ246" t="s">
        <v>3895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3896</v>
      </c>
      <c r="AT246" t="s">
        <v>3890</v>
      </c>
      <c r="AU246" t="s">
        <v>3897</v>
      </c>
      <c r="AV246" t="s">
        <v>3898</v>
      </c>
      <c r="AW246">
        <v>2</v>
      </c>
      <c r="AX246">
        <v>0</v>
      </c>
    </row>
    <row r="247" spans="1:50" x14ac:dyDescent="0.25">
      <c r="A247" t="s">
        <v>4216</v>
      </c>
      <c r="B247" t="s">
        <v>3933</v>
      </c>
      <c r="C247" t="s">
        <v>3890</v>
      </c>
      <c r="D247">
        <v>29.992000000000001</v>
      </c>
      <c r="E247">
        <v>29.933</v>
      </c>
      <c r="F247" s="2">
        <v>3.0000000000000001E-3</v>
      </c>
      <c r="G247" t="s">
        <v>1038</v>
      </c>
      <c r="H247" t="s">
        <v>1042</v>
      </c>
      <c r="I247">
        <v>440217.59980000003</v>
      </c>
      <c r="J247">
        <v>1827781.8171000001</v>
      </c>
      <c r="K247">
        <v>440217.59980000003</v>
      </c>
      <c r="L247">
        <v>1827761.8171000001</v>
      </c>
      <c r="M247" t="s">
        <v>56</v>
      </c>
      <c r="N247" t="s">
        <v>57</v>
      </c>
      <c r="O247">
        <v>750</v>
      </c>
      <c r="P247" t="s">
        <v>58</v>
      </c>
      <c r="Q247" t="s">
        <v>3919</v>
      </c>
      <c r="R247" t="s">
        <v>151</v>
      </c>
      <c r="S247" t="s">
        <v>1040</v>
      </c>
      <c r="T247" t="s">
        <v>1044</v>
      </c>
      <c r="U247">
        <v>1.0699999999999999E-2</v>
      </c>
      <c r="V247">
        <v>-2.0000000000000001E-4</v>
      </c>
      <c r="W247" t="s">
        <v>52</v>
      </c>
      <c r="X247">
        <v>1.353</v>
      </c>
      <c r="Y247">
        <v>1.3906000000000001</v>
      </c>
      <c r="Z247">
        <v>1.3906000000000001</v>
      </c>
      <c r="AA247">
        <v>1.353</v>
      </c>
      <c r="AB247">
        <v>20</v>
      </c>
      <c r="AC247">
        <v>20.0001</v>
      </c>
      <c r="AD247">
        <v>18.803100000000001</v>
      </c>
      <c r="AE247">
        <v>18.8032</v>
      </c>
      <c r="AF247" t="s">
        <v>2233</v>
      </c>
      <c r="AG247" t="s">
        <v>2233</v>
      </c>
      <c r="AH247" t="s">
        <v>3894</v>
      </c>
      <c r="AI247" t="s">
        <v>3894</v>
      </c>
      <c r="AJ247" t="s">
        <v>3895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3896</v>
      </c>
      <c r="AT247" t="s">
        <v>3890</v>
      </c>
      <c r="AU247" t="s">
        <v>3935</v>
      </c>
      <c r="AV247" t="s">
        <v>3898</v>
      </c>
      <c r="AW247">
        <v>2</v>
      </c>
      <c r="AX247">
        <v>0</v>
      </c>
    </row>
    <row r="248" spans="1:50" x14ac:dyDescent="0.25">
      <c r="A248" t="s">
        <v>4217</v>
      </c>
      <c r="B248" t="s">
        <v>3933</v>
      </c>
      <c r="C248" t="s">
        <v>3890</v>
      </c>
      <c r="D248">
        <v>30.088999999999999</v>
      </c>
      <c r="E248">
        <v>30.029</v>
      </c>
      <c r="F248" s="2">
        <v>3.0000000000000001E-3</v>
      </c>
      <c r="G248" t="s">
        <v>1034</v>
      </c>
      <c r="H248" t="s">
        <v>1038</v>
      </c>
      <c r="I248">
        <v>440217.59980000003</v>
      </c>
      <c r="J248">
        <v>1827801.8171000001</v>
      </c>
      <c r="K248">
        <v>440217.59980000003</v>
      </c>
      <c r="L248">
        <v>1827781.8171000001</v>
      </c>
      <c r="M248" t="s">
        <v>56</v>
      </c>
      <c r="N248" t="s">
        <v>57</v>
      </c>
      <c r="O248">
        <v>750</v>
      </c>
      <c r="P248" t="s">
        <v>58</v>
      </c>
      <c r="Q248" t="s">
        <v>3919</v>
      </c>
      <c r="R248" t="s">
        <v>151</v>
      </c>
      <c r="S248" s="1" t="s">
        <v>1036</v>
      </c>
      <c r="T248" s="1" t="s">
        <v>1040</v>
      </c>
      <c r="U248">
        <v>2.1499999999999998E-2</v>
      </c>
      <c r="V248">
        <v>1.0699999999999999E-2</v>
      </c>
      <c r="W248" t="s">
        <v>52</v>
      </c>
      <c r="X248">
        <v>1.3535999999999999</v>
      </c>
      <c r="Y248">
        <v>1.3902000000000001</v>
      </c>
      <c r="Z248">
        <v>1.3902000000000001</v>
      </c>
      <c r="AA248">
        <v>1.3535999999999999</v>
      </c>
      <c r="AB248">
        <v>20</v>
      </c>
      <c r="AC248">
        <v>20.0001</v>
      </c>
      <c r="AD248">
        <v>18.803100000000001</v>
      </c>
      <c r="AE248">
        <v>18.8032</v>
      </c>
      <c r="AF248" t="s">
        <v>2233</v>
      </c>
      <c r="AG248" t="s">
        <v>2233</v>
      </c>
      <c r="AH248" t="s">
        <v>3894</v>
      </c>
      <c r="AI248" t="s">
        <v>3894</v>
      </c>
      <c r="AJ248" t="s">
        <v>3895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3896</v>
      </c>
      <c r="AT248" t="s">
        <v>3890</v>
      </c>
      <c r="AU248" t="s">
        <v>3935</v>
      </c>
      <c r="AV248" t="s">
        <v>3898</v>
      </c>
      <c r="AW248">
        <v>2</v>
      </c>
      <c r="AX248">
        <v>0</v>
      </c>
    </row>
    <row r="249" spans="1:50" x14ac:dyDescent="0.25">
      <c r="A249" t="s">
        <v>4218</v>
      </c>
      <c r="B249" t="s">
        <v>3933</v>
      </c>
      <c r="C249" t="s">
        <v>3890</v>
      </c>
      <c r="D249">
        <v>30.186</v>
      </c>
      <c r="E249">
        <v>30.126000000000001</v>
      </c>
      <c r="F249" s="2">
        <v>3.0000000000000001E-3</v>
      </c>
      <c r="G249" t="s">
        <v>1025</v>
      </c>
      <c r="H249" t="s">
        <v>1034</v>
      </c>
      <c r="I249">
        <v>440217.59980000003</v>
      </c>
      <c r="J249">
        <v>1827821.8171000001</v>
      </c>
      <c r="K249">
        <v>440217.59980000003</v>
      </c>
      <c r="L249">
        <v>1827801.8171000001</v>
      </c>
      <c r="M249" t="s">
        <v>56</v>
      </c>
      <c r="N249" t="s">
        <v>57</v>
      </c>
      <c r="O249">
        <v>750</v>
      </c>
      <c r="P249" t="s">
        <v>58</v>
      </c>
      <c r="Q249" t="s">
        <v>3919</v>
      </c>
      <c r="R249" t="s">
        <v>151</v>
      </c>
      <c r="S249" t="s">
        <v>1027</v>
      </c>
      <c r="T249" t="s">
        <v>1036</v>
      </c>
      <c r="U249">
        <v>3.2399999999999998E-2</v>
      </c>
      <c r="V249">
        <v>2.1499999999999998E-2</v>
      </c>
      <c r="W249" t="s">
        <v>52</v>
      </c>
      <c r="X249">
        <v>1.3532</v>
      </c>
      <c r="Y249">
        <v>1.3897999999999999</v>
      </c>
      <c r="Z249">
        <v>1.3897999999999999</v>
      </c>
      <c r="AA249">
        <v>1.3532</v>
      </c>
      <c r="AB249">
        <v>20</v>
      </c>
      <c r="AC249">
        <v>20.0001</v>
      </c>
      <c r="AD249">
        <v>18.803100000000001</v>
      </c>
      <c r="AE249">
        <v>18.8032</v>
      </c>
      <c r="AF249" t="s">
        <v>2233</v>
      </c>
      <c r="AG249" t="s">
        <v>2233</v>
      </c>
      <c r="AH249" t="s">
        <v>3894</v>
      </c>
      <c r="AI249" t="s">
        <v>3894</v>
      </c>
      <c r="AJ249" t="s">
        <v>3895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3896</v>
      </c>
      <c r="AT249" t="s">
        <v>3890</v>
      </c>
      <c r="AU249" t="s">
        <v>3935</v>
      </c>
      <c r="AV249" t="s">
        <v>3898</v>
      </c>
      <c r="AW249">
        <v>2</v>
      </c>
      <c r="AX249">
        <v>0</v>
      </c>
    </row>
    <row r="250" spans="1:50" x14ac:dyDescent="0.25">
      <c r="A250" t="s">
        <v>4219</v>
      </c>
      <c r="B250" t="s">
        <v>3933</v>
      </c>
      <c r="C250" t="s">
        <v>3890</v>
      </c>
      <c r="D250">
        <v>31.065000000000001</v>
      </c>
      <c r="E250">
        <v>31.004999999999999</v>
      </c>
      <c r="F250" s="2">
        <v>3.0000000000000001E-3</v>
      </c>
      <c r="G250" t="s">
        <v>1001</v>
      </c>
      <c r="H250" t="s">
        <v>1005</v>
      </c>
      <c r="I250">
        <v>440217.59980000003</v>
      </c>
      <c r="J250">
        <v>1827941.8171000001</v>
      </c>
      <c r="K250">
        <v>440217.59980000003</v>
      </c>
      <c r="L250">
        <v>1827921.8171000001</v>
      </c>
      <c r="M250" t="s">
        <v>56</v>
      </c>
      <c r="N250" t="s">
        <v>57</v>
      </c>
      <c r="O250">
        <v>750</v>
      </c>
      <c r="P250" t="s">
        <v>58</v>
      </c>
      <c r="Q250" t="s">
        <v>3919</v>
      </c>
      <c r="R250" t="s">
        <v>151</v>
      </c>
      <c r="S250" t="s">
        <v>1003</v>
      </c>
      <c r="T250" t="s">
        <v>1007</v>
      </c>
      <c r="U250">
        <v>9.7600000000000006E-2</v>
      </c>
      <c r="V250">
        <v>8.6800000000000002E-2</v>
      </c>
      <c r="W250" t="s">
        <v>52</v>
      </c>
      <c r="X250">
        <v>1.0538000000000001</v>
      </c>
      <c r="Y250">
        <v>1.0904</v>
      </c>
      <c r="Z250">
        <v>1.0904</v>
      </c>
      <c r="AA250">
        <v>1.0538000000000001</v>
      </c>
      <c r="AB250">
        <v>20</v>
      </c>
      <c r="AC250">
        <v>20.0001</v>
      </c>
      <c r="AD250">
        <v>18.803100000000001</v>
      </c>
      <c r="AE250">
        <v>18.8032</v>
      </c>
      <c r="AF250" t="s">
        <v>2233</v>
      </c>
      <c r="AG250" t="s">
        <v>2233</v>
      </c>
      <c r="AH250" t="s">
        <v>3894</v>
      </c>
      <c r="AI250" t="s">
        <v>3894</v>
      </c>
      <c r="AJ250" t="s">
        <v>3895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3896</v>
      </c>
      <c r="AT250" t="s">
        <v>3890</v>
      </c>
      <c r="AU250" t="s">
        <v>3935</v>
      </c>
      <c r="AV250" t="s">
        <v>3898</v>
      </c>
      <c r="AW250">
        <v>2</v>
      </c>
      <c r="AX250">
        <v>0</v>
      </c>
    </row>
    <row r="251" spans="1:50" x14ac:dyDescent="0.25">
      <c r="A251" t="s">
        <v>4220</v>
      </c>
      <c r="B251" t="s">
        <v>3933</v>
      </c>
      <c r="C251" t="s">
        <v>3890</v>
      </c>
      <c r="D251">
        <v>31.355</v>
      </c>
      <c r="E251">
        <v>31.295000000000002</v>
      </c>
      <c r="F251" s="2">
        <v>3.0000000000000001E-3</v>
      </c>
      <c r="G251" t="s">
        <v>989</v>
      </c>
      <c r="H251" t="s">
        <v>993</v>
      </c>
      <c r="I251">
        <v>440217.59980000003</v>
      </c>
      <c r="J251">
        <v>1828001.8171000001</v>
      </c>
      <c r="K251">
        <v>440217.59980000003</v>
      </c>
      <c r="L251">
        <v>1827981.8171000001</v>
      </c>
      <c r="M251" t="s">
        <v>56</v>
      </c>
      <c r="N251" t="s">
        <v>57</v>
      </c>
      <c r="O251">
        <v>750</v>
      </c>
      <c r="P251" t="s">
        <v>58</v>
      </c>
      <c r="Q251" t="s">
        <v>3919</v>
      </c>
      <c r="R251" t="s">
        <v>151</v>
      </c>
      <c r="S251" t="s">
        <v>991</v>
      </c>
      <c r="T251" t="s">
        <v>995</v>
      </c>
      <c r="U251">
        <v>0.1303</v>
      </c>
      <c r="V251">
        <v>0.11940000000000001</v>
      </c>
      <c r="W251" t="s">
        <v>52</v>
      </c>
      <c r="X251">
        <v>1.0536000000000001</v>
      </c>
      <c r="Y251">
        <v>1.0901000000000001</v>
      </c>
      <c r="Z251">
        <v>1.0901000000000001</v>
      </c>
      <c r="AA251">
        <v>1.0536000000000001</v>
      </c>
      <c r="AB251">
        <v>20</v>
      </c>
      <c r="AC251">
        <v>20.0001</v>
      </c>
      <c r="AD251">
        <v>18.803100000000001</v>
      </c>
      <c r="AE251">
        <v>18.8032</v>
      </c>
      <c r="AF251" t="s">
        <v>2233</v>
      </c>
      <c r="AG251" t="s">
        <v>2233</v>
      </c>
      <c r="AH251" t="s">
        <v>3894</v>
      </c>
      <c r="AI251" t="s">
        <v>3894</v>
      </c>
      <c r="AJ251" t="s">
        <v>3895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3896</v>
      </c>
      <c r="AT251" t="s">
        <v>3890</v>
      </c>
      <c r="AU251" t="s">
        <v>3935</v>
      </c>
      <c r="AV251" t="s">
        <v>3898</v>
      </c>
      <c r="AW251">
        <v>2</v>
      </c>
      <c r="AX251">
        <v>0</v>
      </c>
    </row>
    <row r="252" spans="1:50" x14ac:dyDescent="0.25">
      <c r="A252" t="s">
        <v>4221</v>
      </c>
      <c r="B252" t="s">
        <v>3889</v>
      </c>
      <c r="C252" t="s">
        <v>3890</v>
      </c>
      <c r="D252">
        <v>30.193000000000001</v>
      </c>
      <c r="E252">
        <v>30.132999999999999</v>
      </c>
      <c r="F252" s="2">
        <v>3.0000000000000001E-3</v>
      </c>
      <c r="G252" t="s">
        <v>1090</v>
      </c>
      <c r="H252" t="s">
        <v>1093</v>
      </c>
      <c r="I252">
        <v>440248.67489999998</v>
      </c>
      <c r="J252">
        <v>1827755.5748000001</v>
      </c>
      <c r="K252">
        <v>440248.67489999998</v>
      </c>
      <c r="L252">
        <v>1827735.5748000001</v>
      </c>
      <c r="M252" t="s">
        <v>56</v>
      </c>
      <c r="N252" t="s">
        <v>57</v>
      </c>
      <c r="O252">
        <v>450</v>
      </c>
      <c r="P252" t="s">
        <v>3891</v>
      </c>
      <c r="Q252" t="s">
        <v>3892</v>
      </c>
      <c r="R252" t="s">
        <v>1087</v>
      </c>
      <c r="S252" t="s">
        <v>444</v>
      </c>
      <c r="T252" t="s">
        <v>440</v>
      </c>
      <c r="U252">
        <v>0.15</v>
      </c>
      <c r="V252">
        <v>0.15</v>
      </c>
      <c r="W252" t="s">
        <v>52</v>
      </c>
      <c r="X252">
        <v>0.88180000000000003</v>
      </c>
      <c r="Y252">
        <v>0.94910000000000005</v>
      </c>
      <c r="Z252">
        <v>0.94910000000000005</v>
      </c>
      <c r="AA252">
        <v>0.88180000000000003</v>
      </c>
      <c r="AB252">
        <v>20</v>
      </c>
      <c r="AC252">
        <v>20.0001</v>
      </c>
      <c r="AD252">
        <v>18.802099999999999</v>
      </c>
      <c r="AE252">
        <v>18.802199999999999</v>
      </c>
      <c r="AF252" t="s">
        <v>2233</v>
      </c>
      <c r="AG252" t="s">
        <v>2233</v>
      </c>
      <c r="AH252" t="s">
        <v>3894</v>
      </c>
      <c r="AI252" t="s">
        <v>3894</v>
      </c>
      <c r="AJ252" t="s">
        <v>3895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3896</v>
      </c>
      <c r="AT252" t="s">
        <v>3890</v>
      </c>
      <c r="AU252" t="s">
        <v>3897</v>
      </c>
      <c r="AV252" t="s">
        <v>3898</v>
      </c>
      <c r="AW252">
        <v>2</v>
      </c>
      <c r="AX252">
        <v>0</v>
      </c>
    </row>
    <row r="253" spans="1:50" x14ac:dyDescent="0.25">
      <c r="A253" t="s">
        <v>4222</v>
      </c>
      <c r="B253" t="s">
        <v>3889</v>
      </c>
      <c r="C253" t="s">
        <v>3890</v>
      </c>
      <c r="D253">
        <v>30.32</v>
      </c>
      <c r="E253">
        <v>30.26</v>
      </c>
      <c r="F253" s="2">
        <v>3.0000000000000001E-3</v>
      </c>
      <c r="G253" t="s">
        <v>1088</v>
      </c>
      <c r="H253" t="s">
        <v>1090</v>
      </c>
      <c r="I253">
        <v>440248.67489999998</v>
      </c>
      <c r="J253">
        <v>1827775.5748000001</v>
      </c>
      <c r="K253">
        <v>440248.67489999998</v>
      </c>
      <c r="L253">
        <v>1827755.5748000001</v>
      </c>
      <c r="M253" t="s">
        <v>56</v>
      </c>
      <c r="N253" t="s">
        <v>57</v>
      </c>
      <c r="O253">
        <v>450</v>
      </c>
      <c r="P253" t="s">
        <v>3891</v>
      </c>
      <c r="Q253" t="s">
        <v>3892</v>
      </c>
      <c r="R253" t="s">
        <v>1087</v>
      </c>
      <c r="S253" t="s">
        <v>448</v>
      </c>
      <c r="T253" t="s">
        <v>444</v>
      </c>
      <c r="U253">
        <v>0.15</v>
      </c>
      <c r="V253">
        <v>0.15</v>
      </c>
      <c r="W253" t="s">
        <v>52</v>
      </c>
      <c r="X253">
        <v>0.8821</v>
      </c>
      <c r="Y253">
        <v>0.9526</v>
      </c>
      <c r="Z253">
        <v>0.9526</v>
      </c>
      <c r="AA253">
        <v>0.8821</v>
      </c>
      <c r="AB253">
        <v>20</v>
      </c>
      <c r="AC253">
        <v>20.0001</v>
      </c>
      <c r="AD253">
        <v>18.802099999999999</v>
      </c>
      <c r="AE253">
        <v>18.802199999999999</v>
      </c>
      <c r="AF253" t="s">
        <v>2233</v>
      </c>
      <c r="AG253" t="s">
        <v>2233</v>
      </c>
      <c r="AH253" t="s">
        <v>3894</v>
      </c>
      <c r="AI253" t="s">
        <v>3894</v>
      </c>
      <c r="AJ253" t="s">
        <v>3895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3896</v>
      </c>
      <c r="AT253" t="s">
        <v>3890</v>
      </c>
      <c r="AU253" t="s">
        <v>3897</v>
      </c>
      <c r="AV253" t="s">
        <v>3898</v>
      </c>
      <c r="AW253">
        <v>2</v>
      </c>
      <c r="AX253">
        <v>0</v>
      </c>
    </row>
    <row r="254" spans="1:50" x14ac:dyDescent="0.25">
      <c r="A254" t="s">
        <v>1086</v>
      </c>
      <c r="B254" t="s">
        <v>3889</v>
      </c>
      <c r="C254" t="s">
        <v>3890</v>
      </c>
      <c r="D254">
        <v>30.45</v>
      </c>
      <c r="E254">
        <v>30.390999999999998</v>
      </c>
      <c r="F254" s="2">
        <v>3.0000000000000001E-3</v>
      </c>
      <c r="G254" t="s">
        <v>1085</v>
      </c>
      <c r="H254" t="s">
        <v>1088</v>
      </c>
      <c r="I254">
        <v>440248.67489999998</v>
      </c>
      <c r="J254">
        <v>1827795.5748000001</v>
      </c>
      <c r="K254">
        <v>440248.67489999998</v>
      </c>
      <c r="L254">
        <v>1827775.5748000001</v>
      </c>
      <c r="M254" t="s">
        <v>56</v>
      </c>
      <c r="N254" t="s">
        <v>57</v>
      </c>
      <c r="O254">
        <v>450</v>
      </c>
      <c r="P254" t="s">
        <v>3891</v>
      </c>
      <c r="Q254" t="s">
        <v>3892</v>
      </c>
      <c r="R254" t="s">
        <v>1087</v>
      </c>
      <c r="S254" t="s">
        <v>452</v>
      </c>
      <c r="T254" t="s">
        <v>448</v>
      </c>
      <c r="U254">
        <v>0.15</v>
      </c>
      <c r="V254">
        <v>0.15</v>
      </c>
      <c r="W254" t="s">
        <v>52</v>
      </c>
      <c r="X254">
        <v>0.88160000000000005</v>
      </c>
      <c r="Y254">
        <v>0.95299999999999996</v>
      </c>
      <c r="Z254">
        <v>0.95299999999999996</v>
      </c>
      <c r="AA254">
        <v>0.88160000000000005</v>
      </c>
      <c r="AB254">
        <v>20</v>
      </c>
      <c r="AC254">
        <v>20.0001</v>
      </c>
      <c r="AD254">
        <v>18.802099999999999</v>
      </c>
      <c r="AE254">
        <v>18.802099999999999</v>
      </c>
      <c r="AF254" t="s">
        <v>2233</v>
      </c>
      <c r="AG254" t="s">
        <v>2233</v>
      </c>
      <c r="AH254" t="s">
        <v>3894</v>
      </c>
      <c r="AI254" t="s">
        <v>3894</v>
      </c>
      <c r="AJ254" t="s">
        <v>3895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3896</v>
      </c>
      <c r="AT254" t="s">
        <v>3890</v>
      </c>
      <c r="AU254" t="s">
        <v>3897</v>
      </c>
      <c r="AV254" t="s">
        <v>3898</v>
      </c>
      <c r="AW254">
        <v>2</v>
      </c>
      <c r="AX254">
        <v>0</v>
      </c>
    </row>
    <row r="255" spans="1:50" x14ac:dyDescent="0.25">
      <c r="A255" t="s">
        <v>1068</v>
      </c>
      <c r="B255" t="s">
        <v>3889</v>
      </c>
      <c r="C255" t="s">
        <v>3890</v>
      </c>
      <c r="D255">
        <v>30.45</v>
      </c>
      <c r="E255">
        <v>30.390999999999998</v>
      </c>
      <c r="F255" s="2">
        <v>3.0000000000000001E-3</v>
      </c>
      <c r="G255" t="s">
        <v>1067</v>
      </c>
      <c r="H255" t="s">
        <v>1070</v>
      </c>
      <c r="I255">
        <v>440258.3749</v>
      </c>
      <c r="J255">
        <v>1827795.5748000001</v>
      </c>
      <c r="K255">
        <v>440258.3749</v>
      </c>
      <c r="L255">
        <v>1827775.5748000001</v>
      </c>
      <c r="M255" t="s">
        <v>56</v>
      </c>
      <c r="N255" t="s">
        <v>57</v>
      </c>
      <c r="O255">
        <v>450</v>
      </c>
      <c r="P255" t="s">
        <v>3891</v>
      </c>
      <c r="Q255" t="s">
        <v>3892</v>
      </c>
      <c r="R255" t="s">
        <v>275</v>
      </c>
      <c r="S255" t="s">
        <v>452</v>
      </c>
      <c r="T255" t="s">
        <v>448</v>
      </c>
      <c r="U255">
        <v>2.1499999999999998E-2</v>
      </c>
      <c r="V255">
        <v>2.1499999999999998E-2</v>
      </c>
      <c r="W255" t="s">
        <v>52</v>
      </c>
      <c r="X255">
        <v>0.88160000000000005</v>
      </c>
      <c r="Y255">
        <v>0.95299999999999996</v>
      </c>
      <c r="Z255">
        <v>0.95299999999999996</v>
      </c>
      <c r="AA255">
        <v>0.88160000000000005</v>
      </c>
      <c r="AB255">
        <v>20</v>
      </c>
      <c r="AC255">
        <v>20.0001</v>
      </c>
      <c r="AD255">
        <v>18.802099999999999</v>
      </c>
      <c r="AE255">
        <v>18.802099999999999</v>
      </c>
      <c r="AF255" t="s">
        <v>2233</v>
      </c>
      <c r="AG255" t="s">
        <v>2233</v>
      </c>
      <c r="AH255" t="s">
        <v>3894</v>
      </c>
      <c r="AI255" t="s">
        <v>3894</v>
      </c>
      <c r="AJ255" t="s">
        <v>3895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3896</v>
      </c>
      <c r="AT255" t="s">
        <v>3890</v>
      </c>
      <c r="AU255" t="s">
        <v>3897</v>
      </c>
      <c r="AV255" t="s">
        <v>3898</v>
      </c>
      <c r="AW255">
        <v>2</v>
      </c>
      <c r="AX255">
        <v>0</v>
      </c>
    </row>
    <row r="256" spans="1:50" x14ac:dyDescent="0.25">
      <c r="A256" t="s">
        <v>4223</v>
      </c>
      <c r="B256" t="s">
        <v>4065</v>
      </c>
      <c r="C256" t="s">
        <v>3890</v>
      </c>
      <c r="D256">
        <v>29.84</v>
      </c>
      <c r="E256">
        <v>29.78</v>
      </c>
      <c r="F256" s="2">
        <v>3.0000000000000001E-3</v>
      </c>
      <c r="G256" t="s">
        <v>1342</v>
      </c>
      <c r="H256" t="s">
        <v>1346</v>
      </c>
      <c r="I256">
        <v>440198.92479999998</v>
      </c>
      <c r="J256">
        <v>1827641.8171000001</v>
      </c>
      <c r="K256">
        <v>440198.92479999998</v>
      </c>
      <c r="L256">
        <v>1827621.8171000001</v>
      </c>
      <c r="M256" t="s">
        <v>56</v>
      </c>
      <c r="N256" t="s">
        <v>57</v>
      </c>
      <c r="O256">
        <v>900</v>
      </c>
      <c r="P256" t="s">
        <v>58</v>
      </c>
      <c r="Q256" t="s">
        <v>3919</v>
      </c>
      <c r="R256" t="s">
        <v>146</v>
      </c>
      <c r="S256" t="s">
        <v>1344</v>
      </c>
      <c r="T256" t="s">
        <v>1348</v>
      </c>
      <c r="U256">
        <v>-2.5000000000000001E-2</v>
      </c>
      <c r="V256">
        <v>-2.5000000000000001E-2</v>
      </c>
      <c r="W256" t="s">
        <v>52</v>
      </c>
      <c r="X256">
        <v>0.84750000000000003</v>
      </c>
      <c r="Y256">
        <v>0.86499999999999999</v>
      </c>
      <c r="Z256">
        <v>0.86499999999999999</v>
      </c>
      <c r="AA256">
        <v>0.85229999999999995</v>
      </c>
      <c r="AB256">
        <v>20</v>
      </c>
      <c r="AC256">
        <v>20.0001</v>
      </c>
      <c r="AD256">
        <v>18.803599999999999</v>
      </c>
      <c r="AE256">
        <v>18.803699999999999</v>
      </c>
      <c r="AF256" t="s">
        <v>2233</v>
      </c>
      <c r="AG256" t="s">
        <v>2233</v>
      </c>
      <c r="AH256" t="s">
        <v>3894</v>
      </c>
      <c r="AI256" t="s">
        <v>3894</v>
      </c>
      <c r="AJ256" t="s">
        <v>3895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3896</v>
      </c>
      <c r="AT256" t="s">
        <v>3890</v>
      </c>
      <c r="AU256" t="s">
        <v>4066</v>
      </c>
      <c r="AV256" t="s">
        <v>3898</v>
      </c>
      <c r="AW256">
        <v>2</v>
      </c>
      <c r="AX256">
        <v>0</v>
      </c>
    </row>
    <row r="257" spans="1:50" x14ac:dyDescent="0.25">
      <c r="A257" t="s">
        <v>4224</v>
      </c>
      <c r="B257" t="s">
        <v>4065</v>
      </c>
      <c r="C257" t="s">
        <v>3890</v>
      </c>
      <c r="D257">
        <v>30.009</v>
      </c>
      <c r="E257">
        <v>29.95</v>
      </c>
      <c r="F257" s="2">
        <v>3.0000000000000001E-3</v>
      </c>
      <c r="G257" t="s">
        <v>1334</v>
      </c>
      <c r="H257" t="s">
        <v>1338</v>
      </c>
      <c r="I257">
        <v>440198.92479999998</v>
      </c>
      <c r="J257">
        <v>1827681.8171000001</v>
      </c>
      <c r="K257">
        <v>440198.92479999998</v>
      </c>
      <c r="L257">
        <v>1827661.8171000001</v>
      </c>
      <c r="M257" t="s">
        <v>56</v>
      </c>
      <c r="N257" t="s">
        <v>57</v>
      </c>
      <c r="O257">
        <v>900</v>
      </c>
      <c r="P257" t="s">
        <v>58</v>
      </c>
      <c r="Q257" t="s">
        <v>3919</v>
      </c>
      <c r="R257" t="s">
        <v>146</v>
      </c>
      <c r="S257" t="s">
        <v>1336</v>
      </c>
      <c r="T257" t="s">
        <v>1340</v>
      </c>
      <c r="U257">
        <v>-2.5000000000000001E-2</v>
      </c>
      <c r="V257">
        <v>-2.5000000000000001E-2</v>
      </c>
      <c r="W257" t="s">
        <v>52</v>
      </c>
      <c r="X257">
        <v>0.85160000000000002</v>
      </c>
      <c r="Y257">
        <v>0.88919999999999999</v>
      </c>
      <c r="Z257">
        <v>0.88919999999999999</v>
      </c>
      <c r="AA257">
        <v>0.85160000000000002</v>
      </c>
      <c r="AB257">
        <v>20</v>
      </c>
      <c r="AC257">
        <v>20.0001</v>
      </c>
      <c r="AD257">
        <v>18.8035</v>
      </c>
      <c r="AE257">
        <v>18.803599999999999</v>
      </c>
      <c r="AF257" t="s">
        <v>2233</v>
      </c>
      <c r="AG257" t="s">
        <v>2233</v>
      </c>
      <c r="AH257" t="s">
        <v>3894</v>
      </c>
      <c r="AI257" t="s">
        <v>3894</v>
      </c>
      <c r="AJ257" t="s">
        <v>3895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3896</v>
      </c>
      <c r="AT257" t="s">
        <v>3890</v>
      </c>
      <c r="AU257" t="s">
        <v>4066</v>
      </c>
      <c r="AV257" t="s">
        <v>3898</v>
      </c>
      <c r="AW257">
        <v>2</v>
      </c>
      <c r="AX257">
        <v>0</v>
      </c>
    </row>
    <row r="258" spans="1:50" x14ac:dyDescent="0.25">
      <c r="A258" t="s">
        <v>4225</v>
      </c>
      <c r="B258" t="s">
        <v>4065</v>
      </c>
      <c r="C258" t="s">
        <v>3890</v>
      </c>
      <c r="D258">
        <v>30.298999999999999</v>
      </c>
      <c r="E258">
        <v>30.239000000000001</v>
      </c>
      <c r="F258" s="2">
        <v>3.0000000000000001E-3</v>
      </c>
      <c r="G258" t="s">
        <v>1322</v>
      </c>
      <c r="H258" t="s">
        <v>1326</v>
      </c>
      <c r="I258">
        <v>440198.92479999998</v>
      </c>
      <c r="J258">
        <v>1827741.8171000001</v>
      </c>
      <c r="K258">
        <v>440198.92479999998</v>
      </c>
      <c r="L258">
        <v>1827721.8171000001</v>
      </c>
      <c r="M258" t="s">
        <v>56</v>
      </c>
      <c r="N258" t="s">
        <v>57</v>
      </c>
      <c r="O258">
        <v>900</v>
      </c>
      <c r="P258" t="s">
        <v>58</v>
      </c>
      <c r="Q258" t="s">
        <v>3919</v>
      </c>
      <c r="R258" t="s">
        <v>146</v>
      </c>
      <c r="S258" t="s">
        <v>1324</v>
      </c>
      <c r="T258" t="s">
        <v>1328</v>
      </c>
      <c r="U258">
        <v>-2.5000000000000001E-2</v>
      </c>
      <c r="V258">
        <v>-2.5000000000000001E-2</v>
      </c>
      <c r="W258" t="s">
        <v>52</v>
      </c>
      <c r="X258">
        <v>0.85229999999999995</v>
      </c>
      <c r="Y258">
        <v>0.88890000000000002</v>
      </c>
      <c r="Z258">
        <v>0.88890000000000002</v>
      </c>
      <c r="AA258">
        <v>0.85229999999999995</v>
      </c>
      <c r="AB258">
        <v>20</v>
      </c>
      <c r="AC258">
        <v>20.0001</v>
      </c>
      <c r="AD258">
        <v>18.803599999999999</v>
      </c>
      <c r="AE258">
        <v>18.803699999999999</v>
      </c>
      <c r="AF258" t="s">
        <v>2233</v>
      </c>
      <c r="AG258" t="s">
        <v>2233</v>
      </c>
      <c r="AH258" t="s">
        <v>3894</v>
      </c>
      <c r="AI258" t="s">
        <v>3894</v>
      </c>
      <c r="AJ258" t="s">
        <v>3895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3896</v>
      </c>
      <c r="AT258" t="s">
        <v>3890</v>
      </c>
      <c r="AU258" t="s">
        <v>4066</v>
      </c>
      <c r="AV258" t="s">
        <v>3898</v>
      </c>
      <c r="AW258">
        <v>2</v>
      </c>
      <c r="AX258">
        <v>0</v>
      </c>
    </row>
    <row r="259" spans="1:50" x14ac:dyDescent="0.25">
      <c r="A259" t="s">
        <v>4226</v>
      </c>
      <c r="B259" t="s">
        <v>4065</v>
      </c>
      <c r="C259" t="s">
        <v>3890</v>
      </c>
      <c r="D259">
        <v>30.588999999999999</v>
      </c>
      <c r="E259">
        <v>30.529</v>
      </c>
      <c r="F259" s="2">
        <v>3.0000000000000001E-3</v>
      </c>
      <c r="G259" t="s">
        <v>1310</v>
      </c>
      <c r="H259" t="s">
        <v>1314</v>
      </c>
      <c r="I259">
        <v>440198.92479999998</v>
      </c>
      <c r="J259">
        <v>1827801.8171000001</v>
      </c>
      <c r="K259">
        <v>440198.92479999998</v>
      </c>
      <c r="L259">
        <v>1827781.8171000001</v>
      </c>
      <c r="M259" t="s">
        <v>56</v>
      </c>
      <c r="N259" t="s">
        <v>57</v>
      </c>
      <c r="O259">
        <v>900</v>
      </c>
      <c r="P259" t="s">
        <v>58</v>
      </c>
      <c r="Q259" t="s">
        <v>3919</v>
      </c>
      <c r="R259" t="s">
        <v>146</v>
      </c>
      <c r="S259" t="s">
        <v>1312</v>
      </c>
      <c r="T259" t="s">
        <v>1316</v>
      </c>
      <c r="U259">
        <v>-2.5000000000000001E-2</v>
      </c>
      <c r="V259">
        <v>-2.5000000000000001E-2</v>
      </c>
      <c r="W259" t="s">
        <v>52</v>
      </c>
      <c r="X259">
        <v>0.85209999999999997</v>
      </c>
      <c r="Y259">
        <v>0.88870000000000005</v>
      </c>
      <c r="Z259">
        <v>0.88870000000000005</v>
      </c>
      <c r="AA259">
        <v>0.85209999999999997</v>
      </c>
      <c r="AB259">
        <v>20</v>
      </c>
      <c r="AC259">
        <v>20.0001</v>
      </c>
      <c r="AD259">
        <v>18.803599999999999</v>
      </c>
      <c r="AE259">
        <v>18.803699999999999</v>
      </c>
      <c r="AF259" t="s">
        <v>2233</v>
      </c>
      <c r="AG259" t="s">
        <v>2233</v>
      </c>
      <c r="AH259" t="s">
        <v>3894</v>
      </c>
      <c r="AI259" t="s">
        <v>3894</v>
      </c>
      <c r="AJ259" t="s">
        <v>3895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3896</v>
      </c>
      <c r="AT259" t="s">
        <v>3890</v>
      </c>
      <c r="AU259" t="s">
        <v>4066</v>
      </c>
      <c r="AV259" t="s">
        <v>3898</v>
      </c>
      <c r="AW259">
        <v>2</v>
      </c>
      <c r="AX259">
        <v>0</v>
      </c>
    </row>
    <row r="260" spans="1:50" x14ac:dyDescent="0.25">
      <c r="A260" t="s">
        <v>4227</v>
      </c>
      <c r="B260" t="s">
        <v>4065</v>
      </c>
      <c r="C260" t="s">
        <v>3890</v>
      </c>
      <c r="D260">
        <v>30.686</v>
      </c>
      <c r="E260">
        <v>30.626000000000001</v>
      </c>
      <c r="F260" s="2">
        <v>3.0000000000000001E-3</v>
      </c>
      <c r="G260" t="s">
        <v>1306</v>
      </c>
      <c r="H260" t="s">
        <v>1310</v>
      </c>
      <c r="I260">
        <v>440198.92479999998</v>
      </c>
      <c r="J260">
        <v>1827821.8171000001</v>
      </c>
      <c r="K260">
        <v>440198.92479999998</v>
      </c>
      <c r="L260">
        <v>1827801.8171000001</v>
      </c>
      <c r="M260" t="s">
        <v>56</v>
      </c>
      <c r="N260" t="s">
        <v>57</v>
      </c>
      <c r="O260">
        <v>900</v>
      </c>
      <c r="P260" t="s">
        <v>58</v>
      </c>
      <c r="Q260" t="s">
        <v>3919</v>
      </c>
      <c r="R260" t="s">
        <v>146</v>
      </c>
      <c r="S260" t="s">
        <v>1308</v>
      </c>
      <c r="T260" t="s">
        <v>1312</v>
      </c>
      <c r="U260">
        <v>-2.5000000000000001E-2</v>
      </c>
      <c r="V260">
        <v>-2.5000000000000001E-2</v>
      </c>
      <c r="W260" t="s">
        <v>52</v>
      </c>
      <c r="X260">
        <v>0.85170000000000001</v>
      </c>
      <c r="Y260">
        <v>0.88829999999999998</v>
      </c>
      <c r="Z260">
        <v>0.88829999999999998</v>
      </c>
      <c r="AA260">
        <v>0.85170000000000001</v>
      </c>
      <c r="AB260">
        <v>20</v>
      </c>
      <c r="AC260">
        <v>20.0001</v>
      </c>
      <c r="AD260">
        <v>18.803599999999999</v>
      </c>
      <c r="AE260">
        <v>18.803699999999999</v>
      </c>
      <c r="AF260" t="s">
        <v>2233</v>
      </c>
      <c r="AG260" t="s">
        <v>2233</v>
      </c>
      <c r="AH260" t="s">
        <v>3894</v>
      </c>
      <c r="AI260" t="s">
        <v>3894</v>
      </c>
      <c r="AJ260" t="s">
        <v>3895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3896</v>
      </c>
      <c r="AT260" t="s">
        <v>3890</v>
      </c>
      <c r="AU260" t="s">
        <v>4066</v>
      </c>
      <c r="AV260" t="s">
        <v>3898</v>
      </c>
      <c r="AW260">
        <v>2</v>
      </c>
      <c r="AX260">
        <v>0</v>
      </c>
    </row>
    <row r="261" spans="1:50" x14ac:dyDescent="0.25">
      <c r="A261" t="s">
        <v>4228</v>
      </c>
      <c r="B261" t="s">
        <v>3889</v>
      </c>
      <c r="C261" t="s">
        <v>3890</v>
      </c>
      <c r="D261">
        <v>31.323</v>
      </c>
      <c r="E261">
        <v>31.263000000000002</v>
      </c>
      <c r="F261" s="2">
        <v>3.0000000000000001E-3</v>
      </c>
      <c r="G261" t="s">
        <v>1198</v>
      </c>
      <c r="H261" t="s">
        <v>1202</v>
      </c>
      <c r="I261">
        <v>440168.22489999997</v>
      </c>
      <c r="J261">
        <v>1827853.3740999999</v>
      </c>
      <c r="K261">
        <v>440188.22489999997</v>
      </c>
      <c r="L261">
        <v>1827853.3740999999</v>
      </c>
      <c r="M261" t="s">
        <v>56</v>
      </c>
      <c r="N261" t="s">
        <v>57</v>
      </c>
      <c r="O261">
        <v>450</v>
      </c>
      <c r="P261" t="s">
        <v>3891</v>
      </c>
      <c r="Q261" t="s">
        <v>3892</v>
      </c>
      <c r="R261" t="s">
        <v>227</v>
      </c>
      <c r="S261" t="s">
        <v>1200</v>
      </c>
      <c r="T261" t="s">
        <v>1204</v>
      </c>
      <c r="U261">
        <v>0</v>
      </c>
      <c r="V261">
        <v>0</v>
      </c>
      <c r="W261" t="s">
        <v>52</v>
      </c>
      <c r="X261">
        <v>0.88229999999999997</v>
      </c>
      <c r="Y261">
        <v>0.93059999999999998</v>
      </c>
      <c r="Z261">
        <v>0.93059999999999998</v>
      </c>
      <c r="AA261">
        <v>0.88229999999999997</v>
      </c>
      <c r="AB261">
        <v>20</v>
      </c>
      <c r="AC261">
        <v>20.0001</v>
      </c>
      <c r="AD261">
        <v>18.802099999999999</v>
      </c>
      <c r="AE261">
        <v>18.802199999999999</v>
      </c>
      <c r="AF261" t="s">
        <v>183</v>
      </c>
      <c r="AG261" t="s">
        <v>183</v>
      </c>
      <c r="AH261" t="s">
        <v>3894</v>
      </c>
      <c r="AI261" t="s">
        <v>3894</v>
      </c>
      <c r="AJ261" t="s">
        <v>3895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3896</v>
      </c>
      <c r="AT261" t="s">
        <v>3890</v>
      </c>
      <c r="AU261" t="s">
        <v>3897</v>
      </c>
      <c r="AV261" t="s">
        <v>3898</v>
      </c>
      <c r="AW261">
        <v>2</v>
      </c>
      <c r="AX261">
        <v>0</v>
      </c>
    </row>
    <row r="262" spans="1:50" x14ac:dyDescent="0.25">
      <c r="A262" t="s">
        <v>4229</v>
      </c>
      <c r="B262" t="s">
        <v>4065</v>
      </c>
      <c r="C262" t="s">
        <v>3890</v>
      </c>
      <c r="D262">
        <v>31.265000000000001</v>
      </c>
      <c r="E262">
        <v>31.204999999999998</v>
      </c>
      <c r="F262" s="2">
        <v>3.0000000000000001E-3</v>
      </c>
      <c r="G262" t="s">
        <v>1271</v>
      </c>
      <c r="H262" t="s">
        <v>1275</v>
      </c>
      <c r="I262">
        <v>440198.92479999998</v>
      </c>
      <c r="J262">
        <v>1827941.8171000001</v>
      </c>
      <c r="K262">
        <v>440198.92479999998</v>
      </c>
      <c r="L262">
        <v>1827921.8171000001</v>
      </c>
      <c r="M262" t="s">
        <v>56</v>
      </c>
      <c r="N262" t="s">
        <v>57</v>
      </c>
      <c r="O262">
        <v>900</v>
      </c>
      <c r="P262" t="s">
        <v>58</v>
      </c>
      <c r="Q262" t="s">
        <v>3919</v>
      </c>
      <c r="R262" t="s">
        <v>146</v>
      </c>
      <c r="S262" t="s">
        <v>1273</v>
      </c>
      <c r="T262" t="s">
        <v>1277</v>
      </c>
      <c r="U262">
        <v>-2.5000000000000001E-2</v>
      </c>
      <c r="V262">
        <v>-2.5000000000000001E-2</v>
      </c>
      <c r="W262" t="s">
        <v>52</v>
      </c>
      <c r="X262">
        <v>0.85229999999999995</v>
      </c>
      <c r="Y262">
        <v>0.88890000000000002</v>
      </c>
      <c r="Z262">
        <v>0.88890000000000002</v>
      </c>
      <c r="AA262">
        <v>0.85229999999999995</v>
      </c>
      <c r="AB262">
        <v>20</v>
      </c>
      <c r="AC262">
        <v>20.0001</v>
      </c>
      <c r="AD262">
        <v>18.803599999999999</v>
      </c>
      <c r="AE262">
        <v>18.803699999999999</v>
      </c>
      <c r="AF262" t="s">
        <v>2233</v>
      </c>
      <c r="AG262" t="s">
        <v>2233</v>
      </c>
      <c r="AH262" t="s">
        <v>3894</v>
      </c>
      <c r="AI262" t="s">
        <v>3894</v>
      </c>
      <c r="AJ262" t="s">
        <v>3895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3896</v>
      </c>
      <c r="AT262" t="s">
        <v>3890</v>
      </c>
      <c r="AU262" t="s">
        <v>4066</v>
      </c>
      <c r="AV262" t="s">
        <v>3898</v>
      </c>
      <c r="AW262">
        <v>2</v>
      </c>
      <c r="AX262">
        <v>0</v>
      </c>
    </row>
    <row r="263" spans="1:50" x14ac:dyDescent="0.25">
      <c r="A263" t="s">
        <v>4230</v>
      </c>
      <c r="B263" t="s">
        <v>4065</v>
      </c>
      <c r="C263" t="s">
        <v>3890</v>
      </c>
      <c r="D263">
        <v>31.555</v>
      </c>
      <c r="E263">
        <v>31.495000000000001</v>
      </c>
      <c r="F263" s="2">
        <v>3.0000000000000001E-3</v>
      </c>
      <c r="G263" t="s">
        <v>1259</v>
      </c>
      <c r="H263" t="s">
        <v>1263</v>
      </c>
      <c r="I263">
        <v>440198.92479999998</v>
      </c>
      <c r="J263">
        <v>1828001.8171000001</v>
      </c>
      <c r="K263">
        <v>440198.92479999998</v>
      </c>
      <c r="L263">
        <v>1827981.8171000001</v>
      </c>
      <c r="M263" t="s">
        <v>56</v>
      </c>
      <c r="N263" t="s">
        <v>57</v>
      </c>
      <c r="O263">
        <v>900</v>
      </c>
      <c r="P263" t="s">
        <v>58</v>
      </c>
      <c r="Q263" t="s">
        <v>3919</v>
      </c>
      <c r="R263" t="s">
        <v>146</v>
      </c>
      <c r="S263" s="1" t="s">
        <v>1261</v>
      </c>
      <c r="T263" t="s">
        <v>1265</v>
      </c>
      <c r="U263">
        <v>-2.5000000000000001E-2</v>
      </c>
      <c r="V263">
        <v>-2.5000000000000001E-2</v>
      </c>
      <c r="W263" t="s">
        <v>52</v>
      </c>
      <c r="X263">
        <v>0.85209999999999997</v>
      </c>
      <c r="Y263">
        <v>0.88859999999999995</v>
      </c>
      <c r="Z263">
        <v>0.88859999999999995</v>
      </c>
      <c r="AA263">
        <v>0.85209999999999997</v>
      </c>
      <c r="AB263">
        <v>20</v>
      </c>
      <c r="AC263">
        <v>20.0001</v>
      </c>
      <c r="AD263">
        <v>18.803599999999999</v>
      </c>
      <c r="AE263">
        <v>18.803699999999999</v>
      </c>
      <c r="AF263" t="s">
        <v>2233</v>
      </c>
      <c r="AG263" t="s">
        <v>2233</v>
      </c>
      <c r="AH263" t="s">
        <v>3894</v>
      </c>
      <c r="AI263" t="s">
        <v>3894</v>
      </c>
      <c r="AJ263" t="s">
        <v>3895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3896</v>
      </c>
      <c r="AT263" t="s">
        <v>3890</v>
      </c>
      <c r="AU263" t="s">
        <v>4066</v>
      </c>
      <c r="AV263" t="s">
        <v>3898</v>
      </c>
      <c r="AW263">
        <v>2</v>
      </c>
      <c r="AX263">
        <v>0</v>
      </c>
    </row>
    <row r="264" spans="1:50" x14ac:dyDescent="0.25">
      <c r="A264" t="s">
        <v>4231</v>
      </c>
      <c r="B264" t="s">
        <v>3889</v>
      </c>
      <c r="C264" t="s">
        <v>3890</v>
      </c>
      <c r="D264">
        <v>31.323</v>
      </c>
      <c r="E264">
        <v>31.263000000000002</v>
      </c>
      <c r="F264" s="2">
        <v>3.0000000000000001E-3</v>
      </c>
      <c r="G264" t="s">
        <v>1290</v>
      </c>
      <c r="H264" t="s">
        <v>1292</v>
      </c>
      <c r="I264">
        <v>440168.22489999997</v>
      </c>
      <c r="J264">
        <v>1827864.4741</v>
      </c>
      <c r="K264">
        <v>440188.22489999997</v>
      </c>
      <c r="L264">
        <v>1827864.4741</v>
      </c>
      <c r="M264" t="s">
        <v>56</v>
      </c>
      <c r="N264" t="s">
        <v>57</v>
      </c>
      <c r="O264">
        <v>450</v>
      </c>
      <c r="P264" t="s">
        <v>3891</v>
      </c>
      <c r="Q264" t="s">
        <v>3892</v>
      </c>
      <c r="R264" t="s">
        <v>1289</v>
      </c>
      <c r="S264" t="s">
        <v>448</v>
      </c>
      <c r="T264" s="1" t="s">
        <v>452</v>
      </c>
      <c r="U264">
        <v>-1.6000000000000001E-3</v>
      </c>
      <c r="V264">
        <v>-1.6000000000000001E-3</v>
      </c>
      <c r="W264" t="s">
        <v>52</v>
      </c>
      <c r="X264">
        <v>0.88229999999999997</v>
      </c>
      <c r="Y264">
        <v>0.93059999999999998</v>
      </c>
      <c r="Z264">
        <v>0.93059999999999998</v>
      </c>
      <c r="AA264">
        <v>0.88229999999999997</v>
      </c>
      <c r="AB264">
        <v>20</v>
      </c>
      <c r="AC264">
        <v>20.0001</v>
      </c>
      <c r="AD264">
        <v>18.802099999999999</v>
      </c>
      <c r="AE264">
        <v>18.802199999999999</v>
      </c>
      <c r="AF264" t="s">
        <v>183</v>
      </c>
      <c r="AG264" t="s">
        <v>183</v>
      </c>
      <c r="AH264" t="s">
        <v>3894</v>
      </c>
      <c r="AI264" t="s">
        <v>3894</v>
      </c>
      <c r="AJ264" t="s">
        <v>3895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3896</v>
      </c>
      <c r="AT264" t="s">
        <v>3890</v>
      </c>
      <c r="AU264" t="s">
        <v>3897</v>
      </c>
      <c r="AV264" t="s">
        <v>3898</v>
      </c>
      <c r="AW264">
        <v>2</v>
      </c>
      <c r="AX264">
        <v>0</v>
      </c>
    </row>
    <row r="265" spans="1:50" x14ac:dyDescent="0.25">
      <c r="A265" t="s">
        <v>4232</v>
      </c>
      <c r="B265" t="s">
        <v>4010</v>
      </c>
      <c r="C265" t="s">
        <v>3890</v>
      </c>
      <c r="D265">
        <v>31.521999999999998</v>
      </c>
      <c r="E265">
        <v>31.463000000000001</v>
      </c>
      <c r="F265" s="2">
        <v>3.0000000000000001E-3</v>
      </c>
      <c r="G265" t="s">
        <v>1496</v>
      </c>
      <c r="H265" t="s">
        <v>1499</v>
      </c>
      <c r="I265">
        <v>439962.02480000001</v>
      </c>
      <c r="J265">
        <v>1827625.8171000001</v>
      </c>
      <c r="K265">
        <v>439962.02480000001</v>
      </c>
      <c r="L265">
        <v>1827605.8171000001</v>
      </c>
      <c r="M265" t="s">
        <v>56</v>
      </c>
      <c r="N265" t="s">
        <v>57</v>
      </c>
      <c r="O265">
        <v>900</v>
      </c>
      <c r="P265" t="s">
        <v>109</v>
      </c>
      <c r="Q265" t="s">
        <v>3919</v>
      </c>
      <c r="R265" t="s">
        <v>1404</v>
      </c>
      <c r="S265" t="s">
        <v>575</v>
      </c>
      <c r="T265" t="s">
        <v>571</v>
      </c>
      <c r="U265">
        <v>3.27E-2</v>
      </c>
      <c r="V265">
        <v>2.41E-2</v>
      </c>
      <c r="W265" t="s">
        <v>52</v>
      </c>
      <c r="X265">
        <v>0.85150000000000003</v>
      </c>
      <c r="Y265">
        <v>0.86129999999999995</v>
      </c>
      <c r="Z265">
        <v>0.86129999999999995</v>
      </c>
      <c r="AA265">
        <v>0.85150000000000003</v>
      </c>
      <c r="AB265">
        <v>20</v>
      </c>
      <c r="AC265">
        <v>20.0001</v>
      </c>
      <c r="AD265">
        <v>18.8035</v>
      </c>
      <c r="AE265">
        <v>18.803599999999999</v>
      </c>
      <c r="AF265" t="s">
        <v>4011</v>
      </c>
      <c r="AG265" t="s">
        <v>4011</v>
      </c>
      <c r="AH265" t="s">
        <v>3894</v>
      </c>
      <c r="AI265" t="s">
        <v>3894</v>
      </c>
      <c r="AJ265" t="s">
        <v>3895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3896</v>
      </c>
      <c r="AT265" t="s">
        <v>3890</v>
      </c>
      <c r="AU265" t="s">
        <v>4012</v>
      </c>
      <c r="AV265" t="s">
        <v>3898</v>
      </c>
      <c r="AW265">
        <v>2</v>
      </c>
      <c r="AX265">
        <v>0</v>
      </c>
    </row>
    <row r="266" spans="1:50" x14ac:dyDescent="0.25">
      <c r="A266" t="s">
        <v>4233</v>
      </c>
      <c r="B266" t="s">
        <v>4010</v>
      </c>
      <c r="C266" t="s">
        <v>3890</v>
      </c>
      <c r="D266">
        <v>31.591000000000001</v>
      </c>
      <c r="E266">
        <v>31.530999999999999</v>
      </c>
      <c r="F266" s="2">
        <v>3.0000000000000001E-3</v>
      </c>
      <c r="G266" t="s">
        <v>1493</v>
      </c>
      <c r="H266" t="s">
        <v>1496</v>
      </c>
      <c r="I266">
        <v>439962.02480000001</v>
      </c>
      <c r="J266">
        <v>1827645.8171000001</v>
      </c>
      <c r="K266">
        <v>439962.02480000001</v>
      </c>
      <c r="L266">
        <v>1827625.8171000001</v>
      </c>
      <c r="M266" t="s">
        <v>56</v>
      </c>
      <c r="N266" t="s">
        <v>57</v>
      </c>
      <c r="O266">
        <v>900</v>
      </c>
      <c r="P266" t="s">
        <v>109</v>
      </c>
      <c r="Q266" t="s">
        <v>3919</v>
      </c>
      <c r="R266" t="s">
        <v>1404</v>
      </c>
      <c r="S266" t="s">
        <v>1495</v>
      </c>
      <c r="T266" t="s">
        <v>575</v>
      </c>
      <c r="U266">
        <v>4.1300000000000003E-2</v>
      </c>
      <c r="V266">
        <v>3.27E-2</v>
      </c>
      <c r="W266" t="s">
        <v>52</v>
      </c>
      <c r="X266">
        <v>0.85229999999999995</v>
      </c>
      <c r="Y266">
        <v>0.86119999999999997</v>
      </c>
      <c r="Z266">
        <v>0.86119999999999997</v>
      </c>
      <c r="AA266">
        <v>0.85229999999999995</v>
      </c>
      <c r="AB266">
        <v>20</v>
      </c>
      <c r="AC266">
        <v>20.0001</v>
      </c>
      <c r="AD266">
        <v>18.803599999999999</v>
      </c>
      <c r="AE266">
        <v>18.803699999999999</v>
      </c>
      <c r="AF266" t="s">
        <v>4011</v>
      </c>
      <c r="AG266" t="s">
        <v>4011</v>
      </c>
      <c r="AH266" t="s">
        <v>3894</v>
      </c>
      <c r="AI266" t="s">
        <v>3894</v>
      </c>
      <c r="AJ266" t="s">
        <v>3895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3896</v>
      </c>
      <c r="AT266" t="s">
        <v>3890</v>
      </c>
      <c r="AU266" t="s">
        <v>4012</v>
      </c>
      <c r="AV266" t="s">
        <v>3898</v>
      </c>
      <c r="AW266">
        <v>2</v>
      </c>
      <c r="AX266">
        <v>0</v>
      </c>
    </row>
    <row r="267" spans="1:50" x14ac:dyDescent="0.25">
      <c r="A267" t="s">
        <v>4234</v>
      </c>
      <c r="B267" t="s">
        <v>4010</v>
      </c>
      <c r="C267" t="s">
        <v>3890</v>
      </c>
      <c r="D267">
        <v>31.797999999999998</v>
      </c>
      <c r="E267">
        <v>31.738</v>
      </c>
      <c r="F267" s="2">
        <v>3.0000000000000001E-3</v>
      </c>
      <c r="G267" t="s">
        <v>1481</v>
      </c>
      <c r="H267" t="s">
        <v>1485</v>
      </c>
      <c r="I267">
        <v>439962.02480000001</v>
      </c>
      <c r="J267">
        <v>1827705.8171000001</v>
      </c>
      <c r="K267">
        <v>439962.02480000001</v>
      </c>
      <c r="L267">
        <v>1827685.8171000001</v>
      </c>
      <c r="M267" t="s">
        <v>56</v>
      </c>
      <c r="N267" t="s">
        <v>57</v>
      </c>
      <c r="O267">
        <v>900</v>
      </c>
      <c r="P267" t="s">
        <v>109</v>
      </c>
      <c r="Q267" t="s">
        <v>3919</v>
      </c>
      <c r="R267" t="s">
        <v>1404</v>
      </c>
      <c r="S267" t="s">
        <v>1483</v>
      </c>
      <c r="T267" t="s">
        <v>1487</v>
      </c>
      <c r="U267">
        <v>6.7000000000000004E-2</v>
      </c>
      <c r="V267">
        <v>5.8400000000000001E-2</v>
      </c>
      <c r="W267" t="s">
        <v>52</v>
      </c>
      <c r="X267">
        <v>0.8518</v>
      </c>
      <c r="Y267">
        <v>0.86119999999999997</v>
      </c>
      <c r="Z267">
        <v>0.86119999999999997</v>
      </c>
      <c r="AA267">
        <v>0.8518</v>
      </c>
      <c r="AB267">
        <v>20</v>
      </c>
      <c r="AC267">
        <v>20.0001</v>
      </c>
      <c r="AD267">
        <v>18.803599999999999</v>
      </c>
      <c r="AE267">
        <v>18.803699999999999</v>
      </c>
      <c r="AF267" t="s">
        <v>4011</v>
      </c>
      <c r="AG267" t="s">
        <v>4011</v>
      </c>
      <c r="AH267" t="s">
        <v>3894</v>
      </c>
      <c r="AI267" t="s">
        <v>3894</v>
      </c>
      <c r="AJ267" t="s">
        <v>3895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3896</v>
      </c>
      <c r="AT267" t="s">
        <v>3890</v>
      </c>
      <c r="AU267" t="s">
        <v>4012</v>
      </c>
      <c r="AV267" t="s">
        <v>3898</v>
      </c>
      <c r="AW267">
        <v>2</v>
      </c>
      <c r="AX267">
        <v>0</v>
      </c>
    </row>
    <row r="268" spans="1:50" x14ac:dyDescent="0.25">
      <c r="A268" t="s">
        <v>4235</v>
      </c>
      <c r="B268" t="s">
        <v>4010</v>
      </c>
      <c r="C268" t="s">
        <v>3890</v>
      </c>
      <c r="D268">
        <v>31.940999999999999</v>
      </c>
      <c r="E268">
        <v>31.881</v>
      </c>
      <c r="F268" s="2">
        <v>3.0000000000000001E-3</v>
      </c>
      <c r="G268" t="s">
        <v>1474</v>
      </c>
      <c r="H268" t="s">
        <v>1477</v>
      </c>
      <c r="I268">
        <v>439962.02480000001</v>
      </c>
      <c r="J268">
        <v>1827745.8171000001</v>
      </c>
      <c r="K268">
        <v>439962.02480000001</v>
      </c>
      <c r="L268">
        <v>1827725.8171000001</v>
      </c>
      <c r="M268" t="s">
        <v>56</v>
      </c>
      <c r="N268" t="s">
        <v>57</v>
      </c>
      <c r="O268">
        <v>900</v>
      </c>
      <c r="P268" t="s">
        <v>109</v>
      </c>
      <c r="Q268" t="s">
        <v>3919</v>
      </c>
      <c r="R268" t="s">
        <v>1404</v>
      </c>
      <c r="S268" t="s">
        <v>816</v>
      </c>
      <c r="T268" t="s">
        <v>1479</v>
      </c>
      <c r="U268">
        <v>8.4199999999999997E-2</v>
      </c>
      <c r="V268">
        <v>7.5600000000000001E-2</v>
      </c>
      <c r="W268" t="s">
        <v>52</v>
      </c>
      <c r="X268">
        <v>0.85199999999999998</v>
      </c>
      <c r="Y268">
        <v>0.87119999999999997</v>
      </c>
      <c r="Z268">
        <v>0.87119999999999997</v>
      </c>
      <c r="AA268">
        <v>0.85199999999999998</v>
      </c>
      <c r="AB268">
        <v>20</v>
      </c>
      <c r="AC268">
        <v>20.0001</v>
      </c>
      <c r="AD268">
        <v>18.803599999999999</v>
      </c>
      <c r="AE268">
        <v>18.803699999999999</v>
      </c>
      <c r="AF268" t="s">
        <v>4011</v>
      </c>
      <c r="AG268" t="s">
        <v>4011</v>
      </c>
      <c r="AH268" t="s">
        <v>3894</v>
      </c>
      <c r="AI268" t="s">
        <v>3894</v>
      </c>
      <c r="AJ268" t="s">
        <v>3895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3896</v>
      </c>
      <c r="AT268" t="s">
        <v>3890</v>
      </c>
      <c r="AU268" t="s">
        <v>4012</v>
      </c>
      <c r="AV268" t="s">
        <v>3898</v>
      </c>
      <c r="AW268">
        <v>2</v>
      </c>
      <c r="AX268">
        <v>0</v>
      </c>
    </row>
    <row r="269" spans="1:50" x14ac:dyDescent="0.25">
      <c r="A269" t="s">
        <v>4236</v>
      </c>
      <c r="B269" t="s">
        <v>4010</v>
      </c>
      <c r="C269" t="s">
        <v>3890</v>
      </c>
      <c r="D269">
        <v>32.195</v>
      </c>
      <c r="E269">
        <v>32.134999999999998</v>
      </c>
      <c r="F269" s="2">
        <v>3.0000000000000001E-3</v>
      </c>
      <c r="G269" t="s">
        <v>1465</v>
      </c>
      <c r="H269" t="s">
        <v>1468</v>
      </c>
      <c r="I269">
        <v>439962.02480000001</v>
      </c>
      <c r="J269">
        <v>1827805.8171000001</v>
      </c>
      <c r="K269">
        <v>439962.02480000001</v>
      </c>
      <c r="L269">
        <v>1827785.8171000001</v>
      </c>
      <c r="M269" t="s">
        <v>56</v>
      </c>
      <c r="N269" t="s">
        <v>57</v>
      </c>
      <c r="O269">
        <v>900</v>
      </c>
      <c r="P269" t="s">
        <v>109</v>
      </c>
      <c r="Q269" t="s">
        <v>3919</v>
      </c>
      <c r="R269" t="s">
        <v>1404</v>
      </c>
      <c r="S269" t="s">
        <v>865</v>
      </c>
      <c r="T269" t="s">
        <v>832</v>
      </c>
      <c r="U269">
        <v>0.11</v>
      </c>
      <c r="V269">
        <v>0.1014</v>
      </c>
      <c r="W269" t="s">
        <v>52</v>
      </c>
      <c r="X269">
        <v>0.8518</v>
      </c>
      <c r="Y269">
        <v>0.88660000000000005</v>
      </c>
      <c r="Z269">
        <v>0.88660000000000005</v>
      </c>
      <c r="AA269">
        <v>0.8518</v>
      </c>
      <c r="AB269">
        <v>20</v>
      </c>
      <c r="AC269">
        <v>20.0001</v>
      </c>
      <c r="AD269">
        <v>18.803599999999999</v>
      </c>
      <c r="AE269">
        <v>18.803699999999999</v>
      </c>
      <c r="AF269" t="s">
        <v>4011</v>
      </c>
      <c r="AG269" t="s">
        <v>4011</v>
      </c>
      <c r="AH269" t="s">
        <v>3894</v>
      </c>
      <c r="AI269" t="s">
        <v>3894</v>
      </c>
      <c r="AJ269" t="s">
        <v>3895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3896</v>
      </c>
      <c r="AT269" t="s">
        <v>3890</v>
      </c>
      <c r="AU269" t="s">
        <v>4012</v>
      </c>
      <c r="AV269" t="s">
        <v>3898</v>
      </c>
      <c r="AW269">
        <v>2</v>
      </c>
      <c r="AX269">
        <v>0</v>
      </c>
    </row>
    <row r="270" spans="1:50" x14ac:dyDescent="0.25">
      <c r="A270" t="s">
        <v>4237</v>
      </c>
      <c r="B270" t="s">
        <v>4010</v>
      </c>
      <c r="C270" t="s">
        <v>3890</v>
      </c>
      <c r="D270">
        <v>32.39</v>
      </c>
      <c r="E270">
        <v>32.33</v>
      </c>
      <c r="F270" s="2">
        <v>3.0000000000000001E-3</v>
      </c>
      <c r="G270" t="s">
        <v>1452</v>
      </c>
      <c r="H270" t="s">
        <v>1455</v>
      </c>
      <c r="I270">
        <v>439962.02480000001</v>
      </c>
      <c r="J270">
        <v>1827885.8171000001</v>
      </c>
      <c r="K270">
        <v>439962.02480000001</v>
      </c>
      <c r="L270">
        <v>1827865.8171000001</v>
      </c>
      <c r="M270" t="s">
        <v>56</v>
      </c>
      <c r="N270" t="s">
        <v>57</v>
      </c>
      <c r="O270">
        <v>900</v>
      </c>
      <c r="P270" t="s">
        <v>109</v>
      </c>
      <c r="Q270" t="s">
        <v>3919</v>
      </c>
      <c r="R270" t="s">
        <v>1404</v>
      </c>
      <c r="S270" t="s">
        <v>1065</v>
      </c>
      <c r="T270" t="s">
        <v>1457</v>
      </c>
      <c r="U270">
        <v>0.14430000000000001</v>
      </c>
      <c r="V270">
        <v>0.13569999999999999</v>
      </c>
      <c r="W270" t="s">
        <v>52</v>
      </c>
      <c r="X270">
        <v>0.99790000000000001</v>
      </c>
      <c r="Y270">
        <v>1.0745</v>
      </c>
      <c r="Z270">
        <v>1.0745</v>
      </c>
      <c r="AA270">
        <v>0.99819999999999998</v>
      </c>
      <c r="AB270">
        <v>20</v>
      </c>
      <c r="AC270">
        <v>20.0001</v>
      </c>
      <c r="AD270">
        <v>18.803599999999999</v>
      </c>
      <c r="AE270">
        <v>18.803699999999999</v>
      </c>
      <c r="AF270" t="s">
        <v>4011</v>
      </c>
      <c r="AG270" t="s">
        <v>4011</v>
      </c>
      <c r="AH270" t="s">
        <v>3894</v>
      </c>
      <c r="AI270" t="s">
        <v>3894</v>
      </c>
      <c r="AJ270" t="s">
        <v>3895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3896</v>
      </c>
      <c r="AT270" t="s">
        <v>3890</v>
      </c>
      <c r="AU270" t="s">
        <v>4012</v>
      </c>
      <c r="AV270" t="s">
        <v>3898</v>
      </c>
      <c r="AW270">
        <v>2</v>
      </c>
      <c r="AX270">
        <v>0</v>
      </c>
    </row>
    <row r="271" spans="1:50" x14ac:dyDescent="0.25">
      <c r="A271" t="s">
        <v>4238</v>
      </c>
      <c r="B271" t="s">
        <v>4010</v>
      </c>
      <c r="C271" t="s">
        <v>3890</v>
      </c>
      <c r="D271">
        <v>31.521999999999998</v>
      </c>
      <c r="E271">
        <v>31.463000000000001</v>
      </c>
      <c r="F271" s="2">
        <v>3.0000000000000001E-3</v>
      </c>
      <c r="G271" t="s">
        <v>1586</v>
      </c>
      <c r="H271" t="s">
        <v>1588</v>
      </c>
      <c r="I271">
        <v>439951.42479999998</v>
      </c>
      <c r="J271">
        <v>1827625.8171000001</v>
      </c>
      <c r="K271">
        <v>439951.42479999998</v>
      </c>
      <c r="L271">
        <v>1827605.8171000001</v>
      </c>
      <c r="M271" t="s">
        <v>56</v>
      </c>
      <c r="N271" t="s">
        <v>57</v>
      </c>
      <c r="O271">
        <v>900</v>
      </c>
      <c r="P271" t="s">
        <v>109</v>
      </c>
      <c r="Q271" t="s">
        <v>3919</v>
      </c>
      <c r="R271" t="s">
        <v>1510</v>
      </c>
      <c r="S271" t="s">
        <v>575</v>
      </c>
      <c r="T271" t="s">
        <v>571</v>
      </c>
      <c r="U271">
        <v>-2.5000000000000001E-2</v>
      </c>
      <c r="V271">
        <v>-2.5000000000000001E-2</v>
      </c>
      <c r="W271" t="s">
        <v>52</v>
      </c>
      <c r="X271">
        <v>0.85150000000000003</v>
      </c>
      <c r="Y271">
        <v>0.86129999999999995</v>
      </c>
      <c r="Z271">
        <v>0.86129999999999995</v>
      </c>
      <c r="AA271">
        <v>0.85150000000000003</v>
      </c>
      <c r="AB271">
        <v>20</v>
      </c>
      <c r="AC271">
        <v>20.0001</v>
      </c>
      <c r="AD271">
        <v>18.8035</v>
      </c>
      <c r="AE271">
        <v>18.803599999999999</v>
      </c>
      <c r="AF271" t="s">
        <v>4011</v>
      </c>
      <c r="AG271" t="s">
        <v>4011</v>
      </c>
      <c r="AH271" t="s">
        <v>3894</v>
      </c>
      <c r="AI271" t="s">
        <v>3894</v>
      </c>
      <c r="AJ271" t="s">
        <v>3895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3896</v>
      </c>
      <c r="AT271" t="s">
        <v>3890</v>
      </c>
      <c r="AU271" t="s">
        <v>4012</v>
      </c>
      <c r="AV271" t="s">
        <v>3898</v>
      </c>
      <c r="AW271">
        <v>2</v>
      </c>
      <c r="AX271">
        <v>0</v>
      </c>
    </row>
    <row r="272" spans="1:50" x14ac:dyDescent="0.25">
      <c r="A272" t="s">
        <v>4239</v>
      </c>
      <c r="B272" t="s">
        <v>4010</v>
      </c>
      <c r="C272" t="s">
        <v>3890</v>
      </c>
      <c r="D272">
        <v>31.591000000000001</v>
      </c>
      <c r="E272">
        <v>31.530999999999999</v>
      </c>
      <c r="F272" s="2">
        <v>3.0000000000000001E-3</v>
      </c>
      <c r="G272" t="s">
        <v>1584</v>
      </c>
      <c r="H272" t="s">
        <v>1586</v>
      </c>
      <c r="I272">
        <v>439951.42479999998</v>
      </c>
      <c r="J272">
        <v>1827645.8171000001</v>
      </c>
      <c r="K272">
        <v>439951.42479999998</v>
      </c>
      <c r="L272">
        <v>1827625.8171000001</v>
      </c>
      <c r="M272" t="s">
        <v>56</v>
      </c>
      <c r="N272" t="s">
        <v>57</v>
      </c>
      <c r="O272">
        <v>900</v>
      </c>
      <c r="P272" t="s">
        <v>109</v>
      </c>
      <c r="Q272" t="s">
        <v>3919</v>
      </c>
      <c r="R272" t="s">
        <v>1510</v>
      </c>
      <c r="S272" t="s">
        <v>1495</v>
      </c>
      <c r="T272" t="s">
        <v>575</v>
      </c>
      <c r="U272">
        <v>-2.5000000000000001E-2</v>
      </c>
      <c r="V272">
        <v>-2.5000000000000001E-2</v>
      </c>
      <c r="W272" t="s">
        <v>52</v>
      </c>
      <c r="X272">
        <v>0.85229999999999995</v>
      </c>
      <c r="Y272">
        <v>0.86119999999999997</v>
      </c>
      <c r="Z272">
        <v>0.86119999999999997</v>
      </c>
      <c r="AA272">
        <v>0.85229999999999995</v>
      </c>
      <c r="AB272">
        <v>20</v>
      </c>
      <c r="AC272">
        <v>20.0001</v>
      </c>
      <c r="AD272">
        <v>18.803599999999999</v>
      </c>
      <c r="AE272">
        <v>18.803699999999999</v>
      </c>
      <c r="AF272" t="s">
        <v>4011</v>
      </c>
      <c r="AG272" t="s">
        <v>4011</v>
      </c>
      <c r="AH272" t="s">
        <v>3894</v>
      </c>
      <c r="AI272" t="s">
        <v>3894</v>
      </c>
      <c r="AJ272" t="s">
        <v>3895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3896</v>
      </c>
      <c r="AT272" t="s">
        <v>3890</v>
      </c>
      <c r="AU272" t="s">
        <v>4012</v>
      </c>
      <c r="AV272" t="s">
        <v>3898</v>
      </c>
      <c r="AW272">
        <v>2</v>
      </c>
      <c r="AX272">
        <v>0</v>
      </c>
    </row>
    <row r="273" spans="1:50" x14ac:dyDescent="0.25">
      <c r="A273" t="s">
        <v>4240</v>
      </c>
      <c r="B273" t="s">
        <v>4010</v>
      </c>
      <c r="C273" t="s">
        <v>3890</v>
      </c>
      <c r="D273">
        <v>31.797999999999998</v>
      </c>
      <c r="E273">
        <v>31.738</v>
      </c>
      <c r="F273" s="2">
        <v>3.0000000000000001E-3</v>
      </c>
      <c r="G273" t="s">
        <v>1577</v>
      </c>
      <c r="H273" t="s">
        <v>1579</v>
      </c>
      <c r="I273">
        <v>439951.42479999998</v>
      </c>
      <c r="J273">
        <v>1827705.8171000001</v>
      </c>
      <c r="K273">
        <v>439951.42479999998</v>
      </c>
      <c r="L273">
        <v>1827685.8171000001</v>
      </c>
      <c r="M273" t="s">
        <v>56</v>
      </c>
      <c r="N273" t="s">
        <v>57</v>
      </c>
      <c r="O273">
        <v>900</v>
      </c>
      <c r="P273" t="s">
        <v>109</v>
      </c>
      <c r="Q273" t="s">
        <v>3919</v>
      </c>
      <c r="R273" t="s">
        <v>1510</v>
      </c>
      <c r="S273" t="s">
        <v>1483</v>
      </c>
      <c r="T273" t="s">
        <v>1487</v>
      </c>
      <c r="U273">
        <v>-2.5000000000000001E-2</v>
      </c>
      <c r="V273">
        <v>-2.5000000000000001E-2</v>
      </c>
      <c r="W273" t="s">
        <v>52</v>
      </c>
      <c r="X273">
        <v>0.8518</v>
      </c>
      <c r="Y273">
        <v>0.86119999999999997</v>
      </c>
      <c r="Z273">
        <v>0.86119999999999997</v>
      </c>
      <c r="AA273">
        <v>0.8518</v>
      </c>
      <c r="AB273">
        <v>20</v>
      </c>
      <c r="AC273">
        <v>20.0001</v>
      </c>
      <c r="AD273">
        <v>18.803599999999999</v>
      </c>
      <c r="AE273">
        <v>18.803699999999999</v>
      </c>
      <c r="AF273" t="s">
        <v>4011</v>
      </c>
      <c r="AG273" t="s">
        <v>4011</v>
      </c>
      <c r="AH273" t="s">
        <v>3894</v>
      </c>
      <c r="AI273" t="s">
        <v>3894</v>
      </c>
      <c r="AJ273" t="s">
        <v>3895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3896</v>
      </c>
      <c r="AT273" t="s">
        <v>3890</v>
      </c>
      <c r="AU273" t="s">
        <v>4012</v>
      </c>
      <c r="AV273" t="s">
        <v>3898</v>
      </c>
      <c r="AW273">
        <v>2</v>
      </c>
      <c r="AX273">
        <v>0</v>
      </c>
    </row>
    <row r="274" spans="1:50" x14ac:dyDescent="0.25">
      <c r="A274" t="s">
        <v>4241</v>
      </c>
      <c r="B274" t="s">
        <v>4010</v>
      </c>
      <c r="C274" t="s">
        <v>3890</v>
      </c>
      <c r="D274">
        <v>31.940999999999999</v>
      </c>
      <c r="E274">
        <v>31.881</v>
      </c>
      <c r="F274" s="2">
        <v>3.0000000000000001E-3</v>
      </c>
      <c r="G274" t="s">
        <v>1573</v>
      </c>
      <c r="H274" t="s">
        <v>1575</v>
      </c>
      <c r="I274">
        <v>439951.42479999998</v>
      </c>
      <c r="J274">
        <v>1827745.8171000001</v>
      </c>
      <c r="K274">
        <v>439951.42479999998</v>
      </c>
      <c r="L274">
        <v>1827725.8171000001</v>
      </c>
      <c r="M274" t="s">
        <v>56</v>
      </c>
      <c r="N274" t="s">
        <v>57</v>
      </c>
      <c r="O274">
        <v>900</v>
      </c>
      <c r="P274" t="s">
        <v>109</v>
      </c>
      <c r="Q274" t="s">
        <v>3919</v>
      </c>
      <c r="R274" t="s">
        <v>1510</v>
      </c>
      <c r="S274" t="s">
        <v>816</v>
      </c>
      <c r="T274" t="s">
        <v>1479</v>
      </c>
      <c r="U274">
        <v>-2.5000000000000001E-2</v>
      </c>
      <c r="V274">
        <v>-2.5000000000000001E-2</v>
      </c>
      <c r="W274" t="s">
        <v>52</v>
      </c>
      <c r="X274">
        <v>0.85199999999999998</v>
      </c>
      <c r="Y274">
        <v>0.87119999999999997</v>
      </c>
      <c r="Z274">
        <v>0.87119999999999997</v>
      </c>
      <c r="AA274">
        <v>0.85199999999999998</v>
      </c>
      <c r="AB274">
        <v>20</v>
      </c>
      <c r="AC274">
        <v>20.0001</v>
      </c>
      <c r="AD274">
        <v>18.803599999999999</v>
      </c>
      <c r="AE274">
        <v>18.803699999999999</v>
      </c>
      <c r="AF274" t="s">
        <v>4011</v>
      </c>
      <c r="AG274" t="s">
        <v>4011</v>
      </c>
      <c r="AH274" t="s">
        <v>3894</v>
      </c>
      <c r="AI274" t="s">
        <v>3894</v>
      </c>
      <c r="AJ274" t="s">
        <v>3895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3896</v>
      </c>
      <c r="AT274" t="s">
        <v>3890</v>
      </c>
      <c r="AU274" t="s">
        <v>4012</v>
      </c>
      <c r="AV274" t="s">
        <v>3898</v>
      </c>
      <c r="AW274">
        <v>2</v>
      </c>
      <c r="AX274">
        <v>0</v>
      </c>
    </row>
    <row r="275" spans="1:50" x14ac:dyDescent="0.25">
      <c r="A275" t="s">
        <v>4242</v>
      </c>
      <c r="B275" t="s">
        <v>4010</v>
      </c>
      <c r="C275" t="s">
        <v>3890</v>
      </c>
      <c r="D275">
        <v>32.195</v>
      </c>
      <c r="E275">
        <v>32.134999999999998</v>
      </c>
      <c r="F275" s="2">
        <v>3.0000000000000001E-3</v>
      </c>
      <c r="G275" t="s">
        <v>1567</v>
      </c>
      <c r="H275" t="s">
        <v>1569</v>
      </c>
      <c r="I275">
        <v>439951.42479999998</v>
      </c>
      <c r="J275">
        <v>1827805.8171000001</v>
      </c>
      <c r="K275">
        <v>439951.42479999998</v>
      </c>
      <c r="L275">
        <v>1827785.8171000001</v>
      </c>
      <c r="M275" t="s">
        <v>56</v>
      </c>
      <c r="N275" t="s">
        <v>57</v>
      </c>
      <c r="O275">
        <v>900</v>
      </c>
      <c r="P275" t="s">
        <v>109</v>
      </c>
      <c r="Q275" t="s">
        <v>3919</v>
      </c>
      <c r="R275" t="s">
        <v>1510</v>
      </c>
      <c r="S275" t="s">
        <v>865</v>
      </c>
      <c r="T275" t="s">
        <v>832</v>
      </c>
      <c r="U275">
        <v>-2.5000000000000001E-2</v>
      </c>
      <c r="V275">
        <v>-2.5000000000000001E-2</v>
      </c>
      <c r="W275" t="s">
        <v>52</v>
      </c>
      <c r="X275">
        <v>0.8518</v>
      </c>
      <c r="Y275">
        <v>0.88660000000000005</v>
      </c>
      <c r="Z275">
        <v>0.88660000000000005</v>
      </c>
      <c r="AA275">
        <v>0.8518</v>
      </c>
      <c r="AB275">
        <v>20</v>
      </c>
      <c r="AC275">
        <v>20.0001</v>
      </c>
      <c r="AD275">
        <v>18.803599999999999</v>
      </c>
      <c r="AE275">
        <v>18.803699999999999</v>
      </c>
      <c r="AF275" t="s">
        <v>4011</v>
      </c>
      <c r="AG275" t="s">
        <v>4011</v>
      </c>
      <c r="AH275" t="s">
        <v>3894</v>
      </c>
      <c r="AI275" t="s">
        <v>3894</v>
      </c>
      <c r="AJ275" t="s">
        <v>3895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3896</v>
      </c>
      <c r="AT275" t="s">
        <v>3890</v>
      </c>
      <c r="AU275" t="s">
        <v>4012</v>
      </c>
      <c r="AV275" t="s">
        <v>3898</v>
      </c>
      <c r="AW275">
        <v>2</v>
      </c>
      <c r="AX275">
        <v>0</v>
      </c>
    </row>
    <row r="276" spans="1:50" x14ac:dyDescent="0.25">
      <c r="A276" t="s">
        <v>4243</v>
      </c>
      <c r="B276" t="s">
        <v>3963</v>
      </c>
      <c r="C276" t="s">
        <v>3890</v>
      </c>
      <c r="D276">
        <v>31.297999999999998</v>
      </c>
      <c r="E276">
        <v>31.238</v>
      </c>
      <c r="F276" s="2">
        <v>3.0000000000000001E-3</v>
      </c>
      <c r="G276" t="s">
        <v>1671</v>
      </c>
      <c r="H276" t="s">
        <v>1675</v>
      </c>
      <c r="I276">
        <v>440044.1495</v>
      </c>
      <c r="J276">
        <v>1827601.0604999999</v>
      </c>
      <c r="K276">
        <v>440044.1495</v>
      </c>
      <c r="L276">
        <v>1827581.0604999999</v>
      </c>
      <c r="M276" t="s">
        <v>56</v>
      </c>
      <c r="N276" t="s">
        <v>57</v>
      </c>
      <c r="O276">
        <v>600</v>
      </c>
      <c r="P276" t="s">
        <v>3891</v>
      </c>
      <c r="Q276" t="s">
        <v>3892</v>
      </c>
      <c r="R276" t="s">
        <v>390</v>
      </c>
      <c r="S276" t="s">
        <v>1673</v>
      </c>
      <c r="T276" t="s">
        <v>1677</v>
      </c>
      <c r="U276">
        <v>7.4999999999999997E-2</v>
      </c>
      <c r="V276">
        <v>7.4999999999999997E-2</v>
      </c>
      <c r="W276" t="s">
        <v>52</v>
      </c>
      <c r="X276">
        <v>0.89249999999999996</v>
      </c>
      <c r="Y276">
        <v>0.94069999999999998</v>
      </c>
      <c r="Z276">
        <v>0.94069999999999998</v>
      </c>
      <c r="AA276">
        <v>0.89249999999999996</v>
      </c>
      <c r="AB276">
        <v>20</v>
      </c>
      <c r="AC276">
        <v>20.0001</v>
      </c>
      <c r="AD276">
        <v>18.802499999999998</v>
      </c>
      <c r="AE276">
        <v>18.802600000000002</v>
      </c>
      <c r="AF276" t="s">
        <v>2233</v>
      </c>
      <c r="AG276" t="s">
        <v>2233</v>
      </c>
      <c r="AH276" t="s">
        <v>3894</v>
      </c>
      <c r="AI276" t="s">
        <v>3894</v>
      </c>
      <c r="AJ276" t="s">
        <v>3895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3896</v>
      </c>
      <c r="AT276" t="s">
        <v>3890</v>
      </c>
      <c r="AU276" t="s">
        <v>3964</v>
      </c>
      <c r="AV276" t="s">
        <v>3898</v>
      </c>
      <c r="AW276">
        <v>2</v>
      </c>
      <c r="AX276">
        <v>0</v>
      </c>
    </row>
    <row r="277" spans="1:50" x14ac:dyDescent="0.25">
      <c r="A277" t="s">
        <v>4244</v>
      </c>
      <c r="B277" t="s">
        <v>3963</v>
      </c>
      <c r="C277" t="s">
        <v>3890</v>
      </c>
      <c r="D277">
        <v>31.515000000000001</v>
      </c>
      <c r="E277">
        <v>31.454999999999998</v>
      </c>
      <c r="F277" s="2">
        <v>3.0000000000000001E-3</v>
      </c>
      <c r="G277" t="s">
        <v>1663</v>
      </c>
      <c r="H277" t="s">
        <v>1667</v>
      </c>
      <c r="I277">
        <v>440044.1495</v>
      </c>
      <c r="J277">
        <v>1827641.0604999999</v>
      </c>
      <c r="K277">
        <v>440044.1495</v>
      </c>
      <c r="L277">
        <v>1827621.0604999999</v>
      </c>
      <c r="M277" t="s">
        <v>56</v>
      </c>
      <c r="N277" t="s">
        <v>57</v>
      </c>
      <c r="O277">
        <v>600</v>
      </c>
      <c r="P277" t="s">
        <v>3891</v>
      </c>
      <c r="Q277" t="s">
        <v>3892</v>
      </c>
      <c r="R277" t="s">
        <v>390</v>
      </c>
      <c r="S277" t="s">
        <v>1665</v>
      </c>
      <c r="T277" t="s">
        <v>1669</v>
      </c>
      <c r="U277">
        <v>7.4999999999999997E-2</v>
      </c>
      <c r="V277">
        <v>7.4999999999999997E-2</v>
      </c>
      <c r="W277" t="s">
        <v>52</v>
      </c>
      <c r="X277">
        <v>0.89200000000000002</v>
      </c>
      <c r="Y277">
        <v>0.94030000000000002</v>
      </c>
      <c r="Z277">
        <v>0.94030000000000002</v>
      </c>
      <c r="AA277">
        <v>0.89200000000000002</v>
      </c>
      <c r="AB277">
        <v>20</v>
      </c>
      <c r="AC277">
        <v>20.0001</v>
      </c>
      <c r="AD277">
        <v>18.802499999999998</v>
      </c>
      <c r="AE277">
        <v>18.802600000000002</v>
      </c>
      <c r="AF277" t="s">
        <v>2233</v>
      </c>
      <c r="AG277" t="s">
        <v>2233</v>
      </c>
      <c r="AH277" t="s">
        <v>3894</v>
      </c>
      <c r="AI277" t="s">
        <v>3894</v>
      </c>
      <c r="AJ277" t="s">
        <v>3895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3896</v>
      </c>
      <c r="AT277" t="s">
        <v>3890</v>
      </c>
      <c r="AU277" t="s">
        <v>3964</v>
      </c>
      <c r="AV277" t="s">
        <v>3898</v>
      </c>
      <c r="AW277">
        <v>2</v>
      </c>
      <c r="AX277">
        <v>0</v>
      </c>
    </row>
    <row r="278" spans="1:50" x14ac:dyDescent="0.25">
      <c r="A278" t="s">
        <v>4245</v>
      </c>
      <c r="B278" t="s">
        <v>3889</v>
      </c>
      <c r="C278" t="s">
        <v>3890</v>
      </c>
      <c r="D278">
        <v>32.222000000000001</v>
      </c>
      <c r="E278">
        <v>32.161999999999999</v>
      </c>
      <c r="F278" s="2">
        <v>3.0000000000000001E-3</v>
      </c>
      <c r="G278" t="s">
        <v>1993</v>
      </c>
      <c r="H278" t="s">
        <v>1996</v>
      </c>
      <c r="I278">
        <v>440132.7745</v>
      </c>
      <c r="J278">
        <v>1828002.8171999999</v>
      </c>
      <c r="K278">
        <v>440132.7745</v>
      </c>
      <c r="L278">
        <v>1827982.8171999999</v>
      </c>
      <c r="M278" t="s">
        <v>56</v>
      </c>
      <c r="N278" t="s">
        <v>57</v>
      </c>
      <c r="O278">
        <v>450</v>
      </c>
      <c r="P278" t="s">
        <v>3891</v>
      </c>
      <c r="Q278" t="s">
        <v>3892</v>
      </c>
      <c r="R278" t="s">
        <v>1968</v>
      </c>
      <c r="S278" t="s">
        <v>416</v>
      </c>
      <c r="T278" t="s">
        <v>529</v>
      </c>
      <c r="U278">
        <v>-6.8699999999999997E-2</v>
      </c>
      <c r="V278">
        <v>-7.7799999999999994E-2</v>
      </c>
      <c r="W278" t="s">
        <v>52</v>
      </c>
      <c r="X278">
        <v>0.88200000000000001</v>
      </c>
      <c r="Y278">
        <v>0.94350000000000001</v>
      </c>
      <c r="Z278">
        <v>0.94350000000000001</v>
      </c>
      <c r="AA278">
        <v>0.88200000000000001</v>
      </c>
      <c r="AB278">
        <v>20</v>
      </c>
      <c r="AC278">
        <v>20.0001</v>
      </c>
      <c r="AD278">
        <v>18.802099999999999</v>
      </c>
      <c r="AE278">
        <v>18.802199999999999</v>
      </c>
      <c r="AF278" t="s">
        <v>2233</v>
      </c>
      <c r="AG278" t="s">
        <v>2233</v>
      </c>
      <c r="AH278" t="s">
        <v>3894</v>
      </c>
      <c r="AI278" t="s">
        <v>3894</v>
      </c>
      <c r="AJ278" t="s">
        <v>3895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3896</v>
      </c>
      <c r="AT278" t="s">
        <v>3890</v>
      </c>
      <c r="AU278" t="s">
        <v>3897</v>
      </c>
      <c r="AV278" t="s">
        <v>3898</v>
      </c>
      <c r="AW278">
        <v>2</v>
      </c>
      <c r="AX278">
        <v>0</v>
      </c>
    </row>
    <row r="279" spans="1:50" x14ac:dyDescent="0.25">
      <c r="A279" t="s">
        <v>4246</v>
      </c>
      <c r="B279" t="s">
        <v>3889</v>
      </c>
      <c r="C279" t="s">
        <v>3890</v>
      </c>
      <c r="D279">
        <v>32.343000000000004</v>
      </c>
      <c r="E279">
        <v>32.283000000000001</v>
      </c>
      <c r="F279" s="2">
        <v>3.0000000000000001E-3</v>
      </c>
      <c r="G279" t="s">
        <v>1990</v>
      </c>
      <c r="H279" t="s">
        <v>1993</v>
      </c>
      <c r="I279">
        <v>440132.7745</v>
      </c>
      <c r="J279">
        <v>1828022.8171999999</v>
      </c>
      <c r="K279">
        <v>440132.7745</v>
      </c>
      <c r="L279">
        <v>1828002.8171999999</v>
      </c>
      <c r="M279" t="s">
        <v>56</v>
      </c>
      <c r="N279" t="s">
        <v>57</v>
      </c>
      <c r="O279">
        <v>450</v>
      </c>
      <c r="P279" t="s">
        <v>3891</v>
      </c>
      <c r="Q279" t="s">
        <v>3892</v>
      </c>
      <c r="R279" t="s">
        <v>1968</v>
      </c>
      <c r="S279" t="s">
        <v>420</v>
      </c>
      <c r="T279" t="s">
        <v>416</v>
      </c>
      <c r="U279">
        <v>-5.96E-2</v>
      </c>
      <c r="V279">
        <v>-6.8699999999999997E-2</v>
      </c>
      <c r="W279" t="s">
        <v>52</v>
      </c>
      <c r="X279">
        <v>0.88249999999999995</v>
      </c>
      <c r="Y279">
        <v>0.94389999999999996</v>
      </c>
      <c r="Z279">
        <v>0.94389999999999996</v>
      </c>
      <c r="AA279">
        <v>0.88249999999999995</v>
      </c>
      <c r="AB279">
        <v>20</v>
      </c>
      <c r="AC279">
        <v>20.0001</v>
      </c>
      <c r="AD279">
        <v>18.802099999999999</v>
      </c>
      <c r="AE279">
        <v>18.802199999999999</v>
      </c>
      <c r="AF279" t="s">
        <v>2233</v>
      </c>
      <c r="AG279" t="s">
        <v>2233</v>
      </c>
      <c r="AH279" t="s">
        <v>3894</v>
      </c>
      <c r="AI279" t="s">
        <v>3894</v>
      </c>
      <c r="AJ279" t="s">
        <v>3895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3896</v>
      </c>
      <c r="AT279" t="s">
        <v>3890</v>
      </c>
      <c r="AU279" t="s">
        <v>3897</v>
      </c>
      <c r="AV279" t="s">
        <v>3898</v>
      </c>
      <c r="AW279">
        <v>2</v>
      </c>
      <c r="AX279">
        <v>0</v>
      </c>
    </row>
    <row r="280" spans="1:50" x14ac:dyDescent="0.25">
      <c r="A280" t="s">
        <v>4247</v>
      </c>
      <c r="B280" t="s">
        <v>3889</v>
      </c>
      <c r="C280" t="s">
        <v>3890</v>
      </c>
      <c r="D280">
        <v>33.072000000000003</v>
      </c>
      <c r="E280">
        <v>33.012</v>
      </c>
      <c r="F280" s="2">
        <v>3.0000000000000001E-3</v>
      </c>
      <c r="G280" t="s">
        <v>1973</v>
      </c>
      <c r="H280" t="s">
        <v>1975</v>
      </c>
      <c r="I280">
        <v>440132.7745</v>
      </c>
      <c r="J280">
        <v>1828142.8171999999</v>
      </c>
      <c r="K280">
        <v>440132.7745</v>
      </c>
      <c r="L280">
        <v>1828122.8171999999</v>
      </c>
      <c r="M280" t="s">
        <v>56</v>
      </c>
      <c r="N280" t="s">
        <v>57</v>
      </c>
      <c r="O280">
        <v>450</v>
      </c>
      <c r="P280" t="s">
        <v>3891</v>
      </c>
      <c r="Q280" t="s">
        <v>3892</v>
      </c>
      <c r="R280" t="s">
        <v>1968</v>
      </c>
      <c r="S280" t="s">
        <v>444</v>
      </c>
      <c r="T280" t="s">
        <v>440</v>
      </c>
      <c r="U280">
        <v>-5.0000000000000001E-3</v>
      </c>
      <c r="V280">
        <v>-1.41E-2</v>
      </c>
      <c r="W280" t="s">
        <v>52</v>
      </c>
      <c r="X280">
        <v>0.88239999999999996</v>
      </c>
      <c r="Y280">
        <v>0.94379999999999997</v>
      </c>
      <c r="Z280">
        <v>0.94379999999999997</v>
      </c>
      <c r="AA280">
        <v>0.88239999999999996</v>
      </c>
      <c r="AB280">
        <v>20</v>
      </c>
      <c r="AC280">
        <v>20.0001</v>
      </c>
      <c r="AD280">
        <v>18.802099999999999</v>
      </c>
      <c r="AE280">
        <v>18.802199999999999</v>
      </c>
      <c r="AF280" t="s">
        <v>2233</v>
      </c>
      <c r="AG280" t="s">
        <v>2233</v>
      </c>
      <c r="AH280" t="s">
        <v>3894</v>
      </c>
      <c r="AI280" t="s">
        <v>3894</v>
      </c>
      <c r="AJ280" t="s">
        <v>3895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3896</v>
      </c>
      <c r="AT280" t="s">
        <v>3890</v>
      </c>
      <c r="AU280" t="s">
        <v>3897</v>
      </c>
      <c r="AV280" t="s">
        <v>3898</v>
      </c>
      <c r="AW280">
        <v>2</v>
      </c>
      <c r="AX280">
        <v>0</v>
      </c>
    </row>
    <row r="281" spans="1:50" x14ac:dyDescent="0.25">
      <c r="A281" t="s">
        <v>1967</v>
      </c>
      <c r="B281" t="s">
        <v>3889</v>
      </c>
      <c r="C281" t="s">
        <v>3890</v>
      </c>
      <c r="D281">
        <v>33.436999999999998</v>
      </c>
      <c r="E281">
        <v>33.377000000000002</v>
      </c>
      <c r="F281" s="2">
        <v>3.0000000000000001E-3</v>
      </c>
      <c r="G281" t="s">
        <v>1966</v>
      </c>
      <c r="H281" t="s">
        <v>1969</v>
      </c>
      <c r="I281">
        <v>440132.7745</v>
      </c>
      <c r="J281">
        <v>1828202.8171000001</v>
      </c>
      <c r="K281">
        <v>440132.7745</v>
      </c>
      <c r="L281">
        <v>1828182.8171999999</v>
      </c>
      <c r="M281" t="s">
        <v>56</v>
      </c>
      <c r="N281" t="s">
        <v>57</v>
      </c>
      <c r="O281">
        <v>450</v>
      </c>
      <c r="P281" t="s">
        <v>3891</v>
      </c>
      <c r="Q281" t="s">
        <v>3892</v>
      </c>
      <c r="R281" t="s">
        <v>1968</v>
      </c>
      <c r="S281" t="s">
        <v>774</v>
      </c>
      <c r="T281" t="s">
        <v>452</v>
      </c>
      <c r="U281">
        <v>2.24E-2</v>
      </c>
      <c r="V281">
        <v>1.32E-2</v>
      </c>
      <c r="W281" t="s">
        <v>52</v>
      </c>
      <c r="X281">
        <v>0.88180000000000003</v>
      </c>
      <c r="Y281">
        <v>0.94330000000000003</v>
      </c>
      <c r="Z281">
        <v>0.94330000000000003</v>
      </c>
      <c r="AA281">
        <v>0.88180000000000003</v>
      </c>
      <c r="AB281">
        <v>19.9999</v>
      </c>
      <c r="AC281">
        <v>19.9999</v>
      </c>
      <c r="AD281">
        <v>18.802</v>
      </c>
      <c r="AE281">
        <v>18.802</v>
      </c>
      <c r="AF281" t="s">
        <v>2233</v>
      </c>
      <c r="AG281" t="s">
        <v>2233</v>
      </c>
      <c r="AH281" t="s">
        <v>3894</v>
      </c>
      <c r="AI281" t="s">
        <v>3894</v>
      </c>
      <c r="AJ281" t="s">
        <v>3895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3896</v>
      </c>
      <c r="AT281" t="s">
        <v>3890</v>
      </c>
      <c r="AU281" t="s">
        <v>3897</v>
      </c>
      <c r="AV281" t="s">
        <v>3898</v>
      </c>
      <c r="AW281">
        <v>2</v>
      </c>
      <c r="AX281">
        <v>0</v>
      </c>
    </row>
    <row r="282" spans="1:50" x14ac:dyDescent="0.25">
      <c r="A282" t="s">
        <v>4248</v>
      </c>
      <c r="B282" t="s">
        <v>3889</v>
      </c>
      <c r="C282" t="s">
        <v>3890</v>
      </c>
      <c r="D282">
        <v>33.072000000000003</v>
      </c>
      <c r="E282">
        <v>33.012</v>
      </c>
      <c r="F282" s="2">
        <v>3.0000000000000001E-3</v>
      </c>
      <c r="G282" t="s">
        <v>1777</v>
      </c>
      <c r="H282" t="s">
        <v>1780</v>
      </c>
      <c r="I282">
        <v>440121.67450000002</v>
      </c>
      <c r="J282">
        <v>1828142.8171999999</v>
      </c>
      <c r="K282">
        <v>440121.67450000002</v>
      </c>
      <c r="L282">
        <v>1828122.8171999999</v>
      </c>
      <c r="M282" t="s">
        <v>56</v>
      </c>
      <c r="N282" t="s">
        <v>57</v>
      </c>
      <c r="O282">
        <v>450</v>
      </c>
      <c r="P282" t="s">
        <v>3891</v>
      </c>
      <c r="Q282" t="s">
        <v>3892</v>
      </c>
      <c r="R282" t="s">
        <v>395</v>
      </c>
      <c r="S282" t="s">
        <v>444</v>
      </c>
      <c r="T282" t="s">
        <v>440</v>
      </c>
      <c r="U282">
        <v>7.7899999999999997E-2</v>
      </c>
      <c r="V282">
        <v>7.7899999999999997E-2</v>
      </c>
      <c r="W282" t="s">
        <v>52</v>
      </c>
      <c r="X282">
        <v>0.88239999999999996</v>
      </c>
      <c r="Y282">
        <v>0.94379999999999997</v>
      </c>
      <c r="Z282">
        <v>0.94379999999999997</v>
      </c>
      <c r="AA282">
        <v>0.88239999999999996</v>
      </c>
      <c r="AB282">
        <v>20</v>
      </c>
      <c r="AC282">
        <v>20.0001</v>
      </c>
      <c r="AD282">
        <v>18.802099999999999</v>
      </c>
      <c r="AE282">
        <v>18.802199999999999</v>
      </c>
      <c r="AF282" t="s">
        <v>2233</v>
      </c>
      <c r="AG282" t="s">
        <v>2233</v>
      </c>
      <c r="AH282" t="s">
        <v>3894</v>
      </c>
      <c r="AI282" t="s">
        <v>3894</v>
      </c>
      <c r="AJ282" t="s">
        <v>3895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3896</v>
      </c>
      <c r="AT282" t="s">
        <v>3890</v>
      </c>
      <c r="AU282" t="s">
        <v>3897</v>
      </c>
      <c r="AV282" t="s">
        <v>3898</v>
      </c>
      <c r="AW282">
        <v>2</v>
      </c>
      <c r="AX282">
        <v>0</v>
      </c>
    </row>
    <row r="283" spans="1:50" x14ac:dyDescent="0.25">
      <c r="A283" t="s">
        <v>1769</v>
      </c>
      <c r="B283" t="s">
        <v>3889</v>
      </c>
      <c r="C283" t="s">
        <v>3890</v>
      </c>
      <c r="D283">
        <v>33.436999999999998</v>
      </c>
      <c r="E283">
        <v>33.377000000000002</v>
      </c>
      <c r="F283" s="2">
        <v>3.0000000000000001E-3</v>
      </c>
      <c r="G283" t="s">
        <v>1768</v>
      </c>
      <c r="H283" t="s">
        <v>1771</v>
      </c>
      <c r="I283">
        <v>440121.67450000002</v>
      </c>
      <c r="J283">
        <v>1828202.8171000001</v>
      </c>
      <c r="K283">
        <v>440121.67450000002</v>
      </c>
      <c r="L283">
        <v>1828182.8171999999</v>
      </c>
      <c r="M283" t="s">
        <v>56</v>
      </c>
      <c r="N283" t="s">
        <v>57</v>
      </c>
      <c r="O283">
        <v>450</v>
      </c>
      <c r="P283" t="s">
        <v>3891</v>
      </c>
      <c r="Q283" t="s">
        <v>3892</v>
      </c>
      <c r="R283" t="s">
        <v>395</v>
      </c>
      <c r="S283" t="s">
        <v>774</v>
      </c>
      <c r="T283" t="s">
        <v>452</v>
      </c>
      <c r="U283">
        <v>7.7899999999999997E-2</v>
      </c>
      <c r="V283">
        <v>7.7899999999999997E-2</v>
      </c>
      <c r="W283" t="s">
        <v>52</v>
      </c>
      <c r="X283">
        <v>0.88180000000000003</v>
      </c>
      <c r="Y283">
        <v>0.94330000000000003</v>
      </c>
      <c r="Z283">
        <v>0.94330000000000003</v>
      </c>
      <c r="AA283">
        <v>0.88180000000000003</v>
      </c>
      <c r="AB283">
        <v>19.9999</v>
      </c>
      <c r="AC283">
        <v>19.9999</v>
      </c>
      <c r="AD283">
        <v>18.802</v>
      </c>
      <c r="AE283">
        <v>18.802</v>
      </c>
      <c r="AF283" t="s">
        <v>2233</v>
      </c>
      <c r="AG283" t="s">
        <v>2233</v>
      </c>
      <c r="AH283" t="s">
        <v>3894</v>
      </c>
      <c r="AI283" t="s">
        <v>3894</v>
      </c>
      <c r="AJ283" t="s">
        <v>3895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3896</v>
      </c>
      <c r="AT283" t="s">
        <v>3890</v>
      </c>
      <c r="AU283" t="s">
        <v>3897</v>
      </c>
      <c r="AV283" t="s">
        <v>3898</v>
      </c>
      <c r="AW283">
        <v>2</v>
      </c>
      <c r="AX283">
        <v>0</v>
      </c>
    </row>
    <row r="284" spans="1:50" x14ac:dyDescent="0.25">
      <c r="A284" t="s">
        <v>4249</v>
      </c>
      <c r="B284" t="s">
        <v>3889</v>
      </c>
      <c r="C284" t="s">
        <v>3890</v>
      </c>
      <c r="D284">
        <v>31.756</v>
      </c>
      <c r="E284">
        <v>31.696000000000002</v>
      </c>
      <c r="F284" s="2">
        <v>3.0000000000000001E-3</v>
      </c>
      <c r="G284" t="s">
        <v>1883</v>
      </c>
      <c r="H284" t="s">
        <v>1886</v>
      </c>
      <c r="I284">
        <v>440088.22489999997</v>
      </c>
      <c r="J284">
        <v>1827864.4741</v>
      </c>
      <c r="K284">
        <v>440108.22489999997</v>
      </c>
      <c r="L284">
        <v>1827864.4741</v>
      </c>
      <c r="M284" t="s">
        <v>56</v>
      </c>
      <c r="N284" t="s">
        <v>57</v>
      </c>
      <c r="O284">
        <v>450</v>
      </c>
      <c r="P284" t="s">
        <v>3891</v>
      </c>
      <c r="Q284" t="s">
        <v>3892</v>
      </c>
      <c r="R284" t="s">
        <v>1289</v>
      </c>
      <c r="S284" t="s">
        <v>432</v>
      </c>
      <c r="T284" t="s">
        <v>597</v>
      </c>
      <c r="U284">
        <v>-1.6000000000000001E-3</v>
      </c>
      <c r="V284">
        <v>-1.6000000000000001E-3</v>
      </c>
      <c r="W284" t="s">
        <v>52</v>
      </c>
      <c r="X284">
        <v>0.88239999999999996</v>
      </c>
      <c r="Y284">
        <v>0.93069999999999997</v>
      </c>
      <c r="Z284">
        <v>0.93069999999999997</v>
      </c>
      <c r="AA284">
        <v>0.88239999999999996</v>
      </c>
      <c r="AB284">
        <v>20</v>
      </c>
      <c r="AC284">
        <v>20.0001</v>
      </c>
      <c r="AD284">
        <v>18.802099999999999</v>
      </c>
      <c r="AE284">
        <v>18.802199999999999</v>
      </c>
      <c r="AF284" t="s">
        <v>183</v>
      </c>
      <c r="AG284" t="s">
        <v>183</v>
      </c>
      <c r="AH284" t="s">
        <v>3894</v>
      </c>
      <c r="AI284" t="s">
        <v>3894</v>
      </c>
      <c r="AJ284" t="s">
        <v>3895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3896</v>
      </c>
      <c r="AT284" t="s">
        <v>3890</v>
      </c>
      <c r="AU284" t="s">
        <v>3897</v>
      </c>
      <c r="AV284" t="s">
        <v>3898</v>
      </c>
      <c r="AW284">
        <v>2</v>
      </c>
      <c r="AX284">
        <v>0</v>
      </c>
    </row>
    <row r="285" spans="1:50" x14ac:dyDescent="0.25">
      <c r="A285" t="s">
        <v>4250</v>
      </c>
      <c r="B285" t="s">
        <v>3889</v>
      </c>
      <c r="C285" t="s">
        <v>3890</v>
      </c>
      <c r="D285">
        <v>29.603999999999999</v>
      </c>
      <c r="E285">
        <v>29.544</v>
      </c>
      <c r="F285" s="2">
        <v>3.0000000000000001E-3</v>
      </c>
      <c r="G285" t="s">
        <v>2185</v>
      </c>
      <c r="H285" t="s">
        <v>2189</v>
      </c>
      <c r="I285">
        <v>440323.97489999997</v>
      </c>
      <c r="J285">
        <v>1827755.5748000001</v>
      </c>
      <c r="K285">
        <v>440323.97489999997</v>
      </c>
      <c r="L285">
        <v>1827735.5748000001</v>
      </c>
      <c r="M285" t="s">
        <v>56</v>
      </c>
      <c r="N285" t="s">
        <v>57</v>
      </c>
      <c r="O285">
        <v>450</v>
      </c>
      <c r="P285" t="s">
        <v>3891</v>
      </c>
      <c r="Q285" t="s">
        <v>3892</v>
      </c>
      <c r="R285" t="s">
        <v>161</v>
      </c>
      <c r="S285" t="s">
        <v>2187</v>
      </c>
      <c r="T285" t="s">
        <v>2191</v>
      </c>
      <c r="U285">
        <v>0</v>
      </c>
      <c r="V285">
        <v>0</v>
      </c>
      <c r="W285" t="s">
        <v>52</v>
      </c>
      <c r="X285">
        <v>0.88180000000000003</v>
      </c>
      <c r="Y285">
        <v>0.89859999999999995</v>
      </c>
      <c r="Z285">
        <v>0.89859999999999995</v>
      </c>
      <c r="AA285">
        <v>0.88180000000000003</v>
      </c>
      <c r="AB285">
        <v>20</v>
      </c>
      <c r="AC285">
        <v>20.0001</v>
      </c>
      <c r="AD285">
        <v>18.802099999999999</v>
      </c>
      <c r="AE285">
        <v>18.802199999999999</v>
      </c>
      <c r="AF285" t="s">
        <v>2233</v>
      </c>
      <c r="AG285" t="s">
        <v>2233</v>
      </c>
      <c r="AH285" t="s">
        <v>3894</v>
      </c>
      <c r="AI285" t="s">
        <v>3894</v>
      </c>
      <c r="AJ285" t="s">
        <v>3895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3896</v>
      </c>
      <c r="AT285" t="s">
        <v>3890</v>
      </c>
      <c r="AU285" t="s">
        <v>3897</v>
      </c>
      <c r="AV285" t="s">
        <v>3898</v>
      </c>
      <c r="AW285">
        <v>2</v>
      </c>
      <c r="AX285">
        <v>0</v>
      </c>
    </row>
    <row r="286" spans="1:50" x14ac:dyDescent="0.25">
      <c r="A286" t="s">
        <v>2161</v>
      </c>
      <c r="B286" t="s">
        <v>3889</v>
      </c>
      <c r="C286" t="s">
        <v>3890</v>
      </c>
      <c r="D286">
        <v>30.422999999999998</v>
      </c>
      <c r="E286">
        <v>30.363</v>
      </c>
      <c r="F286" s="2">
        <v>3.0000000000000001E-3</v>
      </c>
      <c r="G286" t="s">
        <v>2160</v>
      </c>
      <c r="H286" t="s">
        <v>2164</v>
      </c>
      <c r="I286">
        <v>440259.1249</v>
      </c>
      <c r="J286">
        <v>1827821.1248000001</v>
      </c>
      <c r="K286">
        <v>440279.1249</v>
      </c>
      <c r="L286">
        <v>1827821.1248000001</v>
      </c>
      <c r="M286" t="s">
        <v>56</v>
      </c>
      <c r="N286" t="s">
        <v>57</v>
      </c>
      <c r="O286">
        <v>450</v>
      </c>
      <c r="P286" t="s">
        <v>3891</v>
      </c>
      <c r="Q286" t="s">
        <v>3892</v>
      </c>
      <c r="R286" t="s">
        <v>2162</v>
      </c>
      <c r="S286" t="s">
        <v>444</v>
      </c>
      <c r="T286" t="s">
        <v>448</v>
      </c>
      <c r="U286">
        <v>0.22770000000000001</v>
      </c>
      <c r="V286">
        <v>0.29449999999999998</v>
      </c>
      <c r="W286" t="s">
        <v>52</v>
      </c>
      <c r="X286">
        <v>0.88180000000000003</v>
      </c>
      <c r="Y286">
        <v>1.0305</v>
      </c>
      <c r="Z286">
        <v>1.0305</v>
      </c>
      <c r="AA286">
        <v>0.88180000000000003</v>
      </c>
      <c r="AB286">
        <v>20</v>
      </c>
      <c r="AC286">
        <v>20.0001</v>
      </c>
      <c r="AD286">
        <v>18.802099999999999</v>
      </c>
      <c r="AE286">
        <v>18.802199999999999</v>
      </c>
      <c r="AF286" t="s">
        <v>183</v>
      </c>
      <c r="AG286" t="s">
        <v>183</v>
      </c>
      <c r="AH286" t="s">
        <v>3894</v>
      </c>
      <c r="AI286" t="s">
        <v>3894</v>
      </c>
      <c r="AJ286" t="s">
        <v>3895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3896</v>
      </c>
      <c r="AT286" t="s">
        <v>3890</v>
      </c>
      <c r="AU286" t="s">
        <v>3897</v>
      </c>
      <c r="AV286" t="s">
        <v>3898</v>
      </c>
      <c r="AW286">
        <v>2</v>
      </c>
      <c r="AX286">
        <v>0</v>
      </c>
    </row>
    <row r="287" spans="1:50" x14ac:dyDescent="0.25">
      <c r="A287" t="s">
        <v>4251</v>
      </c>
      <c r="B287" t="s">
        <v>3917</v>
      </c>
      <c r="C287" t="s">
        <v>3890</v>
      </c>
      <c r="D287">
        <v>29.350999999999999</v>
      </c>
      <c r="E287">
        <v>29.291</v>
      </c>
      <c r="F287" s="2">
        <v>3.0000000000000001E-3</v>
      </c>
      <c r="G287" t="s">
        <v>668</v>
      </c>
      <c r="H287" t="s">
        <v>671</v>
      </c>
      <c r="I287">
        <v>440088.22489999997</v>
      </c>
      <c r="J287">
        <v>1827531.6088</v>
      </c>
      <c r="K287">
        <v>440108.22489999997</v>
      </c>
      <c r="L287">
        <v>1827531.6088</v>
      </c>
      <c r="M287" t="s">
        <v>56</v>
      </c>
      <c r="N287" t="s">
        <v>57</v>
      </c>
      <c r="O287">
        <v>750</v>
      </c>
      <c r="P287" t="s">
        <v>3918</v>
      </c>
      <c r="Q287" t="s">
        <v>3919</v>
      </c>
      <c r="R287" t="s">
        <v>127</v>
      </c>
      <c r="S287" t="s">
        <v>432</v>
      </c>
      <c r="T287" t="s">
        <v>597</v>
      </c>
      <c r="U287">
        <v>5.8299999999999998E-2</v>
      </c>
      <c r="V287">
        <v>5.8299999999999998E-2</v>
      </c>
      <c r="W287" t="s">
        <v>52</v>
      </c>
      <c r="X287">
        <v>1.7536</v>
      </c>
      <c r="Y287">
        <v>1.8073999999999999</v>
      </c>
      <c r="Z287">
        <v>1.8073999999999999</v>
      </c>
      <c r="AA287">
        <v>1.7536</v>
      </c>
      <c r="AB287">
        <v>20</v>
      </c>
      <c r="AC287">
        <v>20.0001</v>
      </c>
      <c r="AD287">
        <v>18.803100000000001</v>
      </c>
      <c r="AE287">
        <v>18.8032</v>
      </c>
      <c r="AF287" t="s">
        <v>3920</v>
      </c>
      <c r="AG287" t="s">
        <v>3920</v>
      </c>
      <c r="AH287" t="s">
        <v>3894</v>
      </c>
      <c r="AI287" t="s">
        <v>3894</v>
      </c>
      <c r="AJ287" t="s">
        <v>3895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3896</v>
      </c>
      <c r="AT287" t="s">
        <v>3890</v>
      </c>
      <c r="AU287" t="s">
        <v>3921</v>
      </c>
      <c r="AV287" t="s">
        <v>3898</v>
      </c>
      <c r="AW287">
        <v>2</v>
      </c>
      <c r="AX287">
        <v>0</v>
      </c>
    </row>
    <row r="288" spans="1:50" x14ac:dyDescent="0.25">
      <c r="A288" t="s">
        <v>4252</v>
      </c>
      <c r="B288" t="s">
        <v>3889</v>
      </c>
      <c r="C288" t="s">
        <v>3890</v>
      </c>
      <c r="D288">
        <v>32.344999999999999</v>
      </c>
      <c r="E288">
        <v>32.284999999999997</v>
      </c>
      <c r="F288" s="2">
        <v>3.0000000000000001E-3</v>
      </c>
      <c r="G288" t="s">
        <v>626</v>
      </c>
      <c r="H288" t="s">
        <v>629</v>
      </c>
      <c r="I288">
        <v>440030.47519999999</v>
      </c>
      <c r="J288">
        <v>1827337.2726</v>
      </c>
      <c r="K288">
        <v>440030.47519999999</v>
      </c>
      <c r="L288">
        <v>1827357.2726</v>
      </c>
      <c r="M288" t="s">
        <v>56</v>
      </c>
      <c r="N288" t="s">
        <v>57</v>
      </c>
      <c r="O288">
        <v>450</v>
      </c>
      <c r="P288" t="s">
        <v>3891</v>
      </c>
      <c r="Q288" t="s">
        <v>3892</v>
      </c>
      <c r="R288" t="s">
        <v>617</v>
      </c>
      <c r="S288" t="s">
        <v>628</v>
      </c>
      <c r="T288" t="s">
        <v>631</v>
      </c>
      <c r="U288">
        <v>-0.15</v>
      </c>
      <c r="V288">
        <v>-0.15</v>
      </c>
      <c r="W288" t="s">
        <v>52</v>
      </c>
      <c r="X288">
        <v>0.89280000000000004</v>
      </c>
      <c r="Y288">
        <v>0.90280000000000005</v>
      </c>
      <c r="Z288">
        <v>0.90280000000000005</v>
      </c>
      <c r="AA288">
        <v>0.89280000000000004</v>
      </c>
      <c r="AB288">
        <v>20</v>
      </c>
      <c r="AC288">
        <v>20.0001</v>
      </c>
      <c r="AD288">
        <v>18.802099999999999</v>
      </c>
      <c r="AE288">
        <v>18.802199999999999</v>
      </c>
      <c r="AF288" t="s">
        <v>4102</v>
      </c>
      <c r="AG288" t="s">
        <v>4102</v>
      </c>
      <c r="AH288" t="s">
        <v>3894</v>
      </c>
      <c r="AI288" t="s">
        <v>3894</v>
      </c>
      <c r="AJ288" t="s">
        <v>3895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3896</v>
      </c>
      <c r="AT288" t="s">
        <v>3890</v>
      </c>
      <c r="AU288" t="s">
        <v>3897</v>
      </c>
      <c r="AV288" t="s">
        <v>3898</v>
      </c>
      <c r="AW288">
        <v>2</v>
      </c>
      <c r="AX288">
        <v>0</v>
      </c>
    </row>
    <row r="289" spans="1:50" x14ac:dyDescent="0.25">
      <c r="A289" t="s">
        <v>4253</v>
      </c>
      <c r="B289" t="s">
        <v>3889</v>
      </c>
      <c r="C289" t="s">
        <v>3890</v>
      </c>
      <c r="D289">
        <v>32.414999999999999</v>
      </c>
      <c r="E289">
        <v>32.354999999999997</v>
      </c>
      <c r="F289" s="2">
        <v>3.0000000000000001E-3</v>
      </c>
      <c r="G289" t="s">
        <v>623</v>
      </c>
      <c r="H289" t="s">
        <v>626</v>
      </c>
      <c r="I289">
        <v>440030.47519999999</v>
      </c>
      <c r="J289">
        <v>1827317.2726</v>
      </c>
      <c r="K289">
        <v>440030.47519999999</v>
      </c>
      <c r="L289">
        <v>1827337.2726</v>
      </c>
      <c r="M289" t="s">
        <v>56</v>
      </c>
      <c r="N289" t="s">
        <v>57</v>
      </c>
      <c r="O289">
        <v>450</v>
      </c>
      <c r="P289" t="s">
        <v>3891</v>
      </c>
      <c r="Q289" t="s">
        <v>3892</v>
      </c>
      <c r="R289" t="s">
        <v>617</v>
      </c>
      <c r="S289" t="s">
        <v>625</v>
      </c>
      <c r="T289" t="s">
        <v>628</v>
      </c>
      <c r="U289">
        <v>-0.15</v>
      </c>
      <c r="V289">
        <v>-0.15</v>
      </c>
      <c r="W289" t="s">
        <v>52</v>
      </c>
      <c r="X289">
        <v>0.89280000000000004</v>
      </c>
      <c r="Y289">
        <v>0.90280000000000005</v>
      </c>
      <c r="Z289">
        <v>0.90280000000000005</v>
      </c>
      <c r="AA289">
        <v>0.89280000000000004</v>
      </c>
      <c r="AB289">
        <v>20</v>
      </c>
      <c r="AC289">
        <v>20.0001</v>
      </c>
      <c r="AD289">
        <v>18.802099999999999</v>
      </c>
      <c r="AE289">
        <v>18.802199999999999</v>
      </c>
      <c r="AF289" t="s">
        <v>4102</v>
      </c>
      <c r="AG289" t="s">
        <v>4102</v>
      </c>
      <c r="AH289" t="s">
        <v>3894</v>
      </c>
      <c r="AI289" t="s">
        <v>3894</v>
      </c>
      <c r="AJ289" t="s">
        <v>3895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3896</v>
      </c>
      <c r="AT289" t="s">
        <v>3890</v>
      </c>
      <c r="AU289" t="s">
        <v>3897</v>
      </c>
      <c r="AV289" t="s">
        <v>3898</v>
      </c>
      <c r="AW289">
        <v>2</v>
      </c>
      <c r="AX289">
        <v>0</v>
      </c>
    </row>
    <row r="290" spans="1:50" x14ac:dyDescent="0.25">
      <c r="A290" t="s">
        <v>4254</v>
      </c>
      <c r="B290" t="s">
        <v>3889</v>
      </c>
      <c r="C290" t="s">
        <v>3890</v>
      </c>
      <c r="D290">
        <v>32.344999999999999</v>
      </c>
      <c r="E290">
        <v>32.284999999999997</v>
      </c>
      <c r="F290" s="2">
        <v>3.0000000000000001E-3</v>
      </c>
      <c r="G290" t="s">
        <v>547</v>
      </c>
      <c r="H290" t="s">
        <v>551</v>
      </c>
      <c r="I290">
        <v>440020.77519999997</v>
      </c>
      <c r="J290">
        <v>1827335.4184000001</v>
      </c>
      <c r="K290">
        <v>440020.77519999997</v>
      </c>
      <c r="L290">
        <v>1827355.4184000001</v>
      </c>
      <c r="M290" t="s">
        <v>56</v>
      </c>
      <c r="N290" t="s">
        <v>57</v>
      </c>
      <c r="O290">
        <v>450</v>
      </c>
      <c r="P290" t="s">
        <v>3891</v>
      </c>
      <c r="Q290" t="s">
        <v>3892</v>
      </c>
      <c r="R290" t="s">
        <v>536</v>
      </c>
      <c r="S290" t="s">
        <v>549</v>
      </c>
      <c r="T290" s="1" t="s">
        <v>553</v>
      </c>
      <c r="U290">
        <v>0.15</v>
      </c>
      <c r="V290">
        <v>0.15</v>
      </c>
      <c r="W290" t="s">
        <v>52</v>
      </c>
      <c r="X290">
        <v>0.89929999999999999</v>
      </c>
      <c r="Y290">
        <v>0.9093</v>
      </c>
      <c r="Z290">
        <v>0.9093</v>
      </c>
      <c r="AA290">
        <v>0.89929999999999999</v>
      </c>
      <c r="AB290">
        <v>20</v>
      </c>
      <c r="AC290">
        <v>20.0001</v>
      </c>
      <c r="AD290">
        <v>18.802099999999999</v>
      </c>
      <c r="AE290">
        <v>18.802199999999999</v>
      </c>
      <c r="AF290" t="s">
        <v>4102</v>
      </c>
      <c r="AG290" t="s">
        <v>4102</v>
      </c>
      <c r="AH290" t="s">
        <v>3894</v>
      </c>
      <c r="AI290" t="s">
        <v>3894</v>
      </c>
      <c r="AJ290" t="s">
        <v>3895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3896</v>
      </c>
      <c r="AT290" t="s">
        <v>3890</v>
      </c>
      <c r="AU290" t="s">
        <v>3897</v>
      </c>
      <c r="AV290" t="s">
        <v>3898</v>
      </c>
      <c r="AW290">
        <v>2</v>
      </c>
      <c r="AX290">
        <v>0</v>
      </c>
    </row>
    <row r="291" spans="1:50" x14ac:dyDescent="0.25">
      <c r="A291" t="s">
        <v>4255</v>
      </c>
      <c r="B291" t="s">
        <v>3963</v>
      </c>
      <c r="C291" t="s">
        <v>3890</v>
      </c>
      <c r="D291">
        <v>32.295999999999999</v>
      </c>
      <c r="E291">
        <v>32.235999999999997</v>
      </c>
      <c r="F291" s="2">
        <v>3.0000000000000001E-3</v>
      </c>
      <c r="G291" t="s">
        <v>446</v>
      </c>
      <c r="H291" t="s">
        <v>450</v>
      </c>
      <c r="I291">
        <v>439938.8002</v>
      </c>
      <c r="J291">
        <v>1827479.4839000001</v>
      </c>
      <c r="K291">
        <v>439938.8002</v>
      </c>
      <c r="L291">
        <v>1827499.4839000001</v>
      </c>
      <c r="M291" t="s">
        <v>56</v>
      </c>
      <c r="N291" t="s">
        <v>57</v>
      </c>
      <c r="O291">
        <v>600</v>
      </c>
      <c r="P291" t="s">
        <v>3891</v>
      </c>
      <c r="Q291" t="s">
        <v>3892</v>
      </c>
      <c r="R291" t="s">
        <v>75</v>
      </c>
      <c r="S291" t="s">
        <v>448</v>
      </c>
      <c r="T291" t="s">
        <v>452</v>
      </c>
      <c r="U291">
        <v>-7.6300000000000007E-2</v>
      </c>
      <c r="V291">
        <v>-7.6300000000000007E-2</v>
      </c>
      <c r="W291" t="s">
        <v>52</v>
      </c>
      <c r="X291">
        <v>0.88060000000000005</v>
      </c>
      <c r="Y291">
        <v>0.99970000000000003</v>
      </c>
      <c r="Z291">
        <v>0.99970000000000003</v>
      </c>
      <c r="AA291">
        <v>0.88060000000000005</v>
      </c>
      <c r="AB291">
        <v>20</v>
      </c>
      <c r="AC291">
        <v>20.0001</v>
      </c>
      <c r="AD291">
        <v>18.802499999999998</v>
      </c>
      <c r="AE291">
        <v>18.802600000000002</v>
      </c>
      <c r="AF291" t="s">
        <v>67</v>
      </c>
      <c r="AG291" t="s">
        <v>67</v>
      </c>
      <c r="AH291" t="s">
        <v>3894</v>
      </c>
      <c r="AI291" t="s">
        <v>3894</v>
      </c>
      <c r="AJ291" t="s">
        <v>3895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3896</v>
      </c>
      <c r="AT291" t="s">
        <v>3890</v>
      </c>
      <c r="AU291" t="s">
        <v>3964</v>
      </c>
      <c r="AV291" t="s">
        <v>3898</v>
      </c>
      <c r="AW291">
        <v>2</v>
      </c>
      <c r="AX291">
        <v>0</v>
      </c>
    </row>
    <row r="292" spans="1:50" x14ac:dyDescent="0.25">
      <c r="A292" t="s">
        <v>4256</v>
      </c>
      <c r="B292" t="s">
        <v>3924</v>
      </c>
      <c r="C292" t="s">
        <v>3890</v>
      </c>
      <c r="D292">
        <v>32.295999999999999</v>
      </c>
      <c r="E292">
        <v>32.235999999999997</v>
      </c>
      <c r="F292" s="2">
        <v>3.0000000000000001E-3</v>
      </c>
      <c r="G292" t="s">
        <v>498</v>
      </c>
      <c r="H292" t="s">
        <v>505</v>
      </c>
      <c r="I292">
        <v>439929.32520000002</v>
      </c>
      <c r="J292">
        <v>1827479.4839000001</v>
      </c>
      <c r="K292">
        <v>439929.32520000002</v>
      </c>
      <c r="L292">
        <v>1827499.4839000001</v>
      </c>
      <c r="M292" t="s">
        <v>56</v>
      </c>
      <c r="N292" t="s">
        <v>57</v>
      </c>
      <c r="O292">
        <v>750</v>
      </c>
      <c r="P292" t="s">
        <v>3891</v>
      </c>
      <c r="Q292" t="s">
        <v>3892</v>
      </c>
      <c r="R292" t="s">
        <v>320</v>
      </c>
      <c r="S292" t="s">
        <v>448</v>
      </c>
      <c r="T292" t="s">
        <v>452</v>
      </c>
      <c r="U292">
        <v>-0.20480000000000001</v>
      </c>
      <c r="V292">
        <v>-0.20480000000000001</v>
      </c>
      <c r="W292" t="s">
        <v>52</v>
      </c>
      <c r="X292">
        <v>0.87909999999999999</v>
      </c>
      <c r="Y292">
        <v>0.99819999999999998</v>
      </c>
      <c r="Z292">
        <v>0.99819999999999998</v>
      </c>
      <c r="AA292">
        <v>0.87909999999999999</v>
      </c>
      <c r="AB292">
        <v>20</v>
      </c>
      <c r="AC292">
        <v>20.0001</v>
      </c>
      <c r="AD292">
        <v>18.803000000000001</v>
      </c>
      <c r="AE292">
        <v>18.803100000000001</v>
      </c>
      <c r="AF292" t="s">
        <v>67</v>
      </c>
      <c r="AG292" t="s">
        <v>67</v>
      </c>
      <c r="AH292" t="s">
        <v>3894</v>
      </c>
      <c r="AI292" t="s">
        <v>3894</v>
      </c>
      <c r="AJ292" t="s">
        <v>3895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3896</v>
      </c>
      <c r="AT292" t="s">
        <v>3890</v>
      </c>
      <c r="AU292" t="s">
        <v>3926</v>
      </c>
      <c r="AV292" t="s">
        <v>3898</v>
      </c>
      <c r="AW292">
        <v>2</v>
      </c>
      <c r="AX292">
        <v>0</v>
      </c>
    </row>
    <row r="293" spans="1:50" x14ac:dyDescent="0.25">
      <c r="A293" t="s">
        <v>4257</v>
      </c>
      <c r="B293" t="s">
        <v>3889</v>
      </c>
      <c r="C293" t="s">
        <v>3890</v>
      </c>
      <c r="D293">
        <v>31.013999999999999</v>
      </c>
      <c r="E293">
        <v>30.954000000000001</v>
      </c>
      <c r="F293" s="2">
        <v>3.2000000000000002E-3</v>
      </c>
      <c r="G293" t="s">
        <v>685</v>
      </c>
      <c r="H293" t="s">
        <v>305</v>
      </c>
      <c r="I293">
        <v>440127.17499999999</v>
      </c>
      <c r="J293">
        <v>1827499.4831999999</v>
      </c>
      <c r="K293">
        <v>440127.17499999999</v>
      </c>
      <c r="L293">
        <v>1827518.3991</v>
      </c>
      <c r="M293" t="s">
        <v>56</v>
      </c>
      <c r="N293" t="s">
        <v>57</v>
      </c>
      <c r="O293">
        <v>450</v>
      </c>
      <c r="P293" t="s">
        <v>3891</v>
      </c>
      <c r="Q293" t="s">
        <v>3892</v>
      </c>
      <c r="R293" t="s">
        <v>307</v>
      </c>
      <c r="S293" t="s">
        <v>452</v>
      </c>
      <c r="T293" t="s">
        <v>308</v>
      </c>
      <c r="U293">
        <v>-0.16719999999999999</v>
      </c>
      <c r="V293">
        <v>-0.17169999999999999</v>
      </c>
      <c r="W293" t="s">
        <v>52</v>
      </c>
      <c r="X293">
        <v>0.88770000000000004</v>
      </c>
      <c r="Y293">
        <v>0.92400000000000004</v>
      </c>
      <c r="Z293">
        <v>0.92400000000000004</v>
      </c>
      <c r="AA293">
        <v>0.88770000000000004</v>
      </c>
      <c r="AB293">
        <v>18.915900000000001</v>
      </c>
      <c r="AC293">
        <v>18.916</v>
      </c>
      <c r="AD293">
        <v>17.7181</v>
      </c>
      <c r="AE293">
        <v>17.7182</v>
      </c>
      <c r="AF293" t="s">
        <v>67</v>
      </c>
      <c r="AG293" t="s">
        <v>67</v>
      </c>
      <c r="AH293" t="s">
        <v>3894</v>
      </c>
      <c r="AI293" t="s">
        <v>3894</v>
      </c>
      <c r="AJ293" t="s">
        <v>3895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3896</v>
      </c>
      <c r="AT293" t="s">
        <v>3890</v>
      </c>
      <c r="AU293" t="s">
        <v>3897</v>
      </c>
      <c r="AV293" t="s">
        <v>3898</v>
      </c>
      <c r="AW293">
        <v>2</v>
      </c>
      <c r="AX293">
        <v>0</v>
      </c>
    </row>
    <row r="294" spans="1:50" x14ac:dyDescent="0.25">
      <c r="A294" t="s">
        <v>4258</v>
      </c>
      <c r="B294" t="s">
        <v>3889</v>
      </c>
      <c r="C294" t="s">
        <v>3890</v>
      </c>
      <c r="D294">
        <v>31.116</v>
      </c>
      <c r="E294">
        <v>31.056000000000001</v>
      </c>
      <c r="F294" s="2">
        <v>3.0000000000000001E-3</v>
      </c>
      <c r="G294" t="s">
        <v>682</v>
      </c>
      <c r="H294" t="s">
        <v>685</v>
      </c>
      <c r="I294">
        <v>440127.17499999999</v>
      </c>
      <c r="J294">
        <v>1827479.4831999999</v>
      </c>
      <c r="K294">
        <v>440127.17499999999</v>
      </c>
      <c r="L294">
        <v>1827499.4831999999</v>
      </c>
      <c r="M294" t="s">
        <v>56</v>
      </c>
      <c r="N294" t="s">
        <v>57</v>
      </c>
      <c r="O294">
        <v>450</v>
      </c>
      <c r="P294" t="s">
        <v>3891</v>
      </c>
      <c r="Q294" t="s">
        <v>3892</v>
      </c>
      <c r="R294" t="s">
        <v>307</v>
      </c>
      <c r="S294" t="s">
        <v>448</v>
      </c>
      <c r="T294" s="1" t="s">
        <v>452</v>
      </c>
      <c r="U294">
        <v>-0.16250000000000001</v>
      </c>
      <c r="V294">
        <v>-0.16719999999999999</v>
      </c>
      <c r="W294" t="s">
        <v>52</v>
      </c>
      <c r="X294">
        <v>0.88200000000000001</v>
      </c>
      <c r="Y294">
        <v>0.92390000000000005</v>
      </c>
      <c r="Z294">
        <v>0.92390000000000005</v>
      </c>
      <c r="AA294">
        <v>0.88200000000000001</v>
      </c>
      <c r="AB294">
        <v>20</v>
      </c>
      <c r="AC294">
        <v>20.0001</v>
      </c>
      <c r="AD294">
        <v>18.802099999999999</v>
      </c>
      <c r="AE294">
        <v>18.802199999999999</v>
      </c>
      <c r="AF294" t="s">
        <v>67</v>
      </c>
      <c r="AG294" t="s">
        <v>67</v>
      </c>
      <c r="AH294" t="s">
        <v>3894</v>
      </c>
      <c r="AI294" t="s">
        <v>3894</v>
      </c>
      <c r="AJ294" t="s">
        <v>3895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3896</v>
      </c>
      <c r="AT294" t="s">
        <v>3890</v>
      </c>
      <c r="AU294" t="s">
        <v>3897</v>
      </c>
      <c r="AV294" t="s">
        <v>3898</v>
      </c>
      <c r="AW294">
        <v>2</v>
      </c>
      <c r="AX294">
        <v>0</v>
      </c>
    </row>
    <row r="295" spans="1:50" x14ac:dyDescent="0.25">
      <c r="A295" t="s">
        <v>4259</v>
      </c>
      <c r="B295" t="s">
        <v>3963</v>
      </c>
      <c r="C295" t="s">
        <v>3890</v>
      </c>
      <c r="D295">
        <v>31.013999999999999</v>
      </c>
      <c r="E295">
        <v>30.954000000000001</v>
      </c>
      <c r="F295" s="2">
        <v>3.2000000000000002E-3</v>
      </c>
      <c r="G295" t="s">
        <v>723</v>
      </c>
      <c r="H295" t="s">
        <v>726</v>
      </c>
      <c r="I295">
        <v>440117.55</v>
      </c>
      <c r="J295">
        <v>1827499.4831999999</v>
      </c>
      <c r="K295">
        <v>440117.55</v>
      </c>
      <c r="L295">
        <v>1827518.3062</v>
      </c>
      <c r="M295" t="s">
        <v>56</v>
      </c>
      <c r="N295" t="s">
        <v>57</v>
      </c>
      <c r="O295">
        <v>600</v>
      </c>
      <c r="P295" t="s">
        <v>3891</v>
      </c>
      <c r="Q295" t="s">
        <v>3892</v>
      </c>
      <c r="R295" t="s">
        <v>715</v>
      </c>
      <c r="S295" t="s">
        <v>452</v>
      </c>
      <c r="T295" t="s">
        <v>728</v>
      </c>
      <c r="U295">
        <v>0.1173</v>
      </c>
      <c r="V295">
        <v>0.1173</v>
      </c>
      <c r="W295" t="s">
        <v>52</v>
      </c>
      <c r="X295">
        <v>0.88670000000000004</v>
      </c>
      <c r="Y295">
        <v>0.92249999999999999</v>
      </c>
      <c r="Z295">
        <v>0.92249999999999999</v>
      </c>
      <c r="AA295">
        <v>0.88670000000000004</v>
      </c>
      <c r="AB295">
        <v>18.8231</v>
      </c>
      <c r="AC295">
        <v>18.8232</v>
      </c>
      <c r="AD295">
        <v>17.625800000000002</v>
      </c>
      <c r="AE295">
        <v>17.625900000000001</v>
      </c>
      <c r="AF295" t="s">
        <v>67</v>
      </c>
      <c r="AG295" t="s">
        <v>67</v>
      </c>
      <c r="AH295" t="s">
        <v>3894</v>
      </c>
      <c r="AI295" t="s">
        <v>3894</v>
      </c>
      <c r="AJ295" t="s">
        <v>3895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3896</v>
      </c>
      <c r="AT295" t="s">
        <v>3890</v>
      </c>
      <c r="AU295" t="s">
        <v>3964</v>
      </c>
      <c r="AV295" t="s">
        <v>3898</v>
      </c>
      <c r="AW295">
        <v>2</v>
      </c>
      <c r="AX295">
        <v>0</v>
      </c>
    </row>
    <row r="296" spans="1:50" x14ac:dyDescent="0.25">
      <c r="A296" t="s">
        <v>4260</v>
      </c>
      <c r="B296" t="s">
        <v>3963</v>
      </c>
      <c r="C296" t="s">
        <v>3890</v>
      </c>
      <c r="D296">
        <v>31.116</v>
      </c>
      <c r="E296">
        <v>31.056000000000001</v>
      </c>
      <c r="F296" s="2">
        <v>3.0000000000000001E-3</v>
      </c>
      <c r="G296" t="s">
        <v>720</v>
      </c>
      <c r="H296" t="s">
        <v>723</v>
      </c>
      <c r="I296">
        <v>440117.55</v>
      </c>
      <c r="J296">
        <v>1827479.4831999999</v>
      </c>
      <c r="K296">
        <v>440117.55</v>
      </c>
      <c r="L296">
        <v>1827499.4831999999</v>
      </c>
      <c r="M296" t="s">
        <v>56</v>
      </c>
      <c r="N296" t="s">
        <v>57</v>
      </c>
      <c r="O296">
        <v>600</v>
      </c>
      <c r="P296" t="s">
        <v>3891</v>
      </c>
      <c r="Q296" t="s">
        <v>3892</v>
      </c>
      <c r="R296" t="s">
        <v>715</v>
      </c>
      <c r="S296" t="s">
        <v>448</v>
      </c>
      <c r="T296" t="s">
        <v>452</v>
      </c>
      <c r="U296">
        <v>0.1173</v>
      </c>
      <c r="V296">
        <v>0.1173</v>
      </c>
      <c r="W296" t="s">
        <v>52</v>
      </c>
      <c r="X296">
        <v>0.88049999999999995</v>
      </c>
      <c r="Y296">
        <v>0.9224</v>
      </c>
      <c r="Z296">
        <v>0.9224</v>
      </c>
      <c r="AA296">
        <v>0.88049999999999995</v>
      </c>
      <c r="AB296">
        <v>20</v>
      </c>
      <c r="AC296">
        <v>20.0001</v>
      </c>
      <c r="AD296">
        <v>18.802499999999998</v>
      </c>
      <c r="AE296">
        <v>18.802600000000002</v>
      </c>
      <c r="AF296" t="s">
        <v>67</v>
      </c>
      <c r="AG296" t="s">
        <v>67</v>
      </c>
      <c r="AH296" t="s">
        <v>3894</v>
      </c>
      <c r="AI296" t="s">
        <v>3894</v>
      </c>
      <c r="AJ296" t="s">
        <v>3895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3896</v>
      </c>
      <c r="AT296" t="s">
        <v>3890</v>
      </c>
      <c r="AU296" t="s">
        <v>3964</v>
      </c>
      <c r="AV296" t="s">
        <v>3898</v>
      </c>
      <c r="AW296">
        <v>2</v>
      </c>
      <c r="AX296">
        <v>0</v>
      </c>
    </row>
    <row r="297" spans="1:50" x14ac:dyDescent="0.25">
      <c r="A297" t="s">
        <v>4261</v>
      </c>
      <c r="B297" t="s">
        <v>3889</v>
      </c>
      <c r="C297" t="s">
        <v>3890</v>
      </c>
      <c r="D297">
        <v>31.722000000000001</v>
      </c>
      <c r="E297">
        <v>31.661999999999999</v>
      </c>
      <c r="F297" s="2">
        <v>3.0000000000000001E-3</v>
      </c>
      <c r="G297" t="s">
        <v>692</v>
      </c>
      <c r="H297" t="s">
        <v>696</v>
      </c>
      <c r="I297">
        <v>440064.59409999999</v>
      </c>
      <c r="J297">
        <v>1827425.1986</v>
      </c>
      <c r="K297">
        <v>440084.59409999999</v>
      </c>
      <c r="L297">
        <v>1827425.1986</v>
      </c>
      <c r="M297" t="s">
        <v>56</v>
      </c>
      <c r="N297" t="s">
        <v>57</v>
      </c>
      <c r="O297">
        <v>450</v>
      </c>
      <c r="P297" t="s">
        <v>3891</v>
      </c>
      <c r="Q297" t="s">
        <v>3892</v>
      </c>
      <c r="R297" t="s">
        <v>80</v>
      </c>
      <c r="S297" s="1" t="s">
        <v>694</v>
      </c>
      <c r="T297" t="s">
        <v>698</v>
      </c>
      <c r="U297">
        <v>9.8699999999999996E-2</v>
      </c>
      <c r="V297">
        <v>9.2200000000000004E-2</v>
      </c>
      <c r="W297" t="s">
        <v>52</v>
      </c>
      <c r="X297">
        <v>0.91959999999999997</v>
      </c>
      <c r="Y297">
        <v>0.9869</v>
      </c>
      <c r="Z297">
        <v>0.9869</v>
      </c>
      <c r="AA297">
        <v>0.91959999999999997</v>
      </c>
      <c r="AB297">
        <v>20</v>
      </c>
      <c r="AC297">
        <v>20.0001</v>
      </c>
      <c r="AD297">
        <v>18.802099999999999</v>
      </c>
      <c r="AE297">
        <v>18.802199999999999</v>
      </c>
      <c r="AF297" t="s">
        <v>183</v>
      </c>
      <c r="AG297" t="s">
        <v>183</v>
      </c>
      <c r="AH297" t="s">
        <v>3894</v>
      </c>
      <c r="AI297" t="s">
        <v>3894</v>
      </c>
      <c r="AJ297" t="s">
        <v>3895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3896</v>
      </c>
      <c r="AT297" t="s">
        <v>3890</v>
      </c>
      <c r="AU297" t="s">
        <v>3897</v>
      </c>
      <c r="AV297" t="s">
        <v>3898</v>
      </c>
      <c r="AW297">
        <v>2</v>
      </c>
      <c r="AX297">
        <v>0</v>
      </c>
    </row>
    <row r="298" spans="1:50" x14ac:dyDescent="0.25">
      <c r="A298" t="s">
        <v>4262</v>
      </c>
      <c r="B298" t="s">
        <v>3889</v>
      </c>
      <c r="C298" t="s">
        <v>3890</v>
      </c>
      <c r="D298">
        <v>31.722000000000001</v>
      </c>
      <c r="E298">
        <v>31.661999999999999</v>
      </c>
      <c r="F298" s="2">
        <v>3.0000000000000001E-3</v>
      </c>
      <c r="G298" t="s">
        <v>702</v>
      </c>
      <c r="H298" t="s">
        <v>704</v>
      </c>
      <c r="I298">
        <v>440064.59409999999</v>
      </c>
      <c r="J298">
        <v>1827415.4986</v>
      </c>
      <c r="K298">
        <v>440084.59409999999</v>
      </c>
      <c r="L298">
        <v>1827415.4986</v>
      </c>
      <c r="M298" t="s">
        <v>56</v>
      </c>
      <c r="N298" t="s">
        <v>57</v>
      </c>
      <c r="O298">
        <v>450</v>
      </c>
      <c r="P298" t="s">
        <v>3891</v>
      </c>
      <c r="Q298" t="s">
        <v>3892</v>
      </c>
      <c r="R298" t="s">
        <v>85</v>
      </c>
      <c r="S298" t="s">
        <v>694</v>
      </c>
      <c r="T298" t="s">
        <v>698</v>
      </c>
      <c r="U298">
        <v>-0.13300000000000001</v>
      </c>
      <c r="V298">
        <v>-0.1308</v>
      </c>
      <c r="W298" t="s">
        <v>52</v>
      </c>
      <c r="X298">
        <v>0.91959999999999997</v>
      </c>
      <c r="Y298">
        <v>0.9869</v>
      </c>
      <c r="Z298">
        <v>0.9869</v>
      </c>
      <c r="AA298">
        <v>0.91959999999999997</v>
      </c>
      <c r="AB298">
        <v>20</v>
      </c>
      <c r="AC298">
        <v>20.0001</v>
      </c>
      <c r="AD298">
        <v>18.802099999999999</v>
      </c>
      <c r="AE298">
        <v>18.802199999999999</v>
      </c>
      <c r="AF298" t="s">
        <v>183</v>
      </c>
      <c r="AG298" t="s">
        <v>183</v>
      </c>
      <c r="AH298" t="s">
        <v>3894</v>
      </c>
      <c r="AI298" t="s">
        <v>3894</v>
      </c>
      <c r="AJ298" t="s">
        <v>3895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3896</v>
      </c>
      <c r="AT298" t="s">
        <v>3890</v>
      </c>
      <c r="AU298" t="s">
        <v>3897</v>
      </c>
      <c r="AV298" t="s">
        <v>3898</v>
      </c>
      <c r="AW298">
        <v>2</v>
      </c>
      <c r="AX298">
        <v>0</v>
      </c>
    </row>
    <row r="299" spans="1:50" x14ac:dyDescent="0.25">
      <c r="A299" t="s">
        <v>4263</v>
      </c>
      <c r="B299" t="s">
        <v>3889</v>
      </c>
      <c r="C299" t="s">
        <v>3890</v>
      </c>
      <c r="D299">
        <v>30.427</v>
      </c>
      <c r="E299">
        <v>30.367999999999999</v>
      </c>
      <c r="F299" s="2">
        <v>3.0999999999999999E-3</v>
      </c>
      <c r="G299" t="s">
        <v>751</v>
      </c>
      <c r="H299" t="s">
        <v>301</v>
      </c>
      <c r="I299">
        <v>440192.77490000002</v>
      </c>
      <c r="J299">
        <v>1827499.4838</v>
      </c>
      <c r="K299">
        <v>440192.77490000002</v>
      </c>
      <c r="L299">
        <v>1827518.4265000001</v>
      </c>
      <c r="M299" t="s">
        <v>56</v>
      </c>
      <c r="N299" t="s">
        <v>57</v>
      </c>
      <c r="O299">
        <v>450</v>
      </c>
      <c r="P299" t="s">
        <v>3891</v>
      </c>
      <c r="Q299" t="s">
        <v>3892</v>
      </c>
      <c r="R299" t="s">
        <v>298</v>
      </c>
      <c r="S299" s="1" t="s">
        <v>452</v>
      </c>
      <c r="T299" s="1" t="s">
        <v>303</v>
      </c>
      <c r="U299">
        <v>-0.15</v>
      </c>
      <c r="V299">
        <v>-0.15</v>
      </c>
      <c r="W299" t="s">
        <v>52</v>
      </c>
      <c r="X299">
        <v>0.88770000000000004</v>
      </c>
      <c r="Y299">
        <v>0.95789999999999997</v>
      </c>
      <c r="Z299">
        <v>0.95789999999999997</v>
      </c>
      <c r="AA299">
        <v>0.88770000000000004</v>
      </c>
      <c r="AB299">
        <v>18.942799999999998</v>
      </c>
      <c r="AC299">
        <v>18.942900000000002</v>
      </c>
      <c r="AD299">
        <v>17.745000000000001</v>
      </c>
      <c r="AE299">
        <v>17.745000000000001</v>
      </c>
      <c r="AF299" t="s">
        <v>67</v>
      </c>
      <c r="AG299" t="s">
        <v>67</v>
      </c>
      <c r="AH299" t="s">
        <v>3894</v>
      </c>
      <c r="AI299" t="s">
        <v>3894</v>
      </c>
      <c r="AJ299" t="s">
        <v>3895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3896</v>
      </c>
      <c r="AT299" t="s">
        <v>3890</v>
      </c>
      <c r="AU299" t="s">
        <v>3897</v>
      </c>
      <c r="AV299" t="s">
        <v>3898</v>
      </c>
      <c r="AW299">
        <v>2</v>
      </c>
      <c r="AX299">
        <v>0</v>
      </c>
    </row>
    <row r="300" spans="1:50" x14ac:dyDescent="0.25">
      <c r="A300" t="s">
        <v>4264</v>
      </c>
      <c r="B300" t="s">
        <v>3889</v>
      </c>
      <c r="C300" t="s">
        <v>3890</v>
      </c>
      <c r="D300">
        <v>30.427</v>
      </c>
      <c r="E300">
        <v>30.367000000000001</v>
      </c>
      <c r="F300" s="2">
        <v>3.2000000000000002E-3</v>
      </c>
      <c r="G300" t="s">
        <v>762</v>
      </c>
      <c r="H300" t="s">
        <v>764</v>
      </c>
      <c r="I300">
        <v>440183.07490000001</v>
      </c>
      <c r="J300">
        <v>1827499.4838</v>
      </c>
      <c r="K300">
        <v>440183.07490000001</v>
      </c>
      <c r="L300">
        <v>1827518.4138</v>
      </c>
      <c r="M300" t="s">
        <v>56</v>
      </c>
      <c r="N300" t="s">
        <v>57</v>
      </c>
      <c r="O300">
        <v>450</v>
      </c>
      <c r="P300" t="s">
        <v>3891</v>
      </c>
      <c r="Q300" t="s">
        <v>3892</v>
      </c>
      <c r="R300" t="s">
        <v>293</v>
      </c>
      <c r="S300" t="s">
        <v>452</v>
      </c>
      <c r="T300" t="s">
        <v>766</v>
      </c>
      <c r="U300">
        <v>-4.53E-2</v>
      </c>
      <c r="V300">
        <v>-4.53E-2</v>
      </c>
      <c r="W300" t="s">
        <v>52</v>
      </c>
      <c r="X300">
        <v>0.88919999999999999</v>
      </c>
      <c r="Y300">
        <v>0.95789999999999997</v>
      </c>
      <c r="Z300">
        <v>0.95789999999999997</v>
      </c>
      <c r="AA300">
        <v>0.88919999999999999</v>
      </c>
      <c r="AB300">
        <v>18.930700000000002</v>
      </c>
      <c r="AC300">
        <v>18.930800000000001</v>
      </c>
      <c r="AD300">
        <v>18.032299999999999</v>
      </c>
      <c r="AE300">
        <v>18.032399999999999</v>
      </c>
      <c r="AF300" t="s">
        <v>3973</v>
      </c>
      <c r="AG300" t="s">
        <v>3973</v>
      </c>
      <c r="AH300" t="s">
        <v>3894</v>
      </c>
      <c r="AI300" t="s">
        <v>3894</v>
      </c>
      <c r="AJ300" t="s">
        <v>3895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3896</v>
      </c>
      <c r="AT300" t="s">
        <v>3890</v>
      </c>
      <c r="AU300" t="s">
        <v>3897</v>
      </c>
      <c r="AV300" t="s">
        <v>3898</v>
      </c>
      <c r="AW300">
        <v>2</v>
      </c>
      <c r="AX300">
        <v>0</v>
      </c>
    </row>
    <row r="301" spans="1:50" x14ac:dyDescent="0.25">
      <c r="A301" t="s">
        <v>4265</v>
      </c>
      <c r="B301" t="s">
        <v>3889</v>
      </c>
      <c r="C301" t="s">
        <v>3890</v>
      </c>
      <c r="D301">
        <v>30.332999999999998</v>
      </c>
      <c r="E301">
        <v>30.273</v>
      </c>
      <c r="F301" s="2">
        <v>3.0999999999999999E-3</v>
      </c>
      <c r="G301" t="s">
        <v>807</v>
      </c>
      <c r="H301" t="s">
        <v>365</v>
      </c>
      <c r="I301">
        <v>440258.3749</v>
      </c>
      <c r="J301">
        <v>1827499.4838</v>
      </c>
      <c r="K301">
        <v>440258.22489999997</v>
      </c>
      <c r="L301">
        <v>1827518.6498</v>
      </c>
      <c r="M301" t="s">
        <v>56</v>
      </c>
      <c r="N301" t="s">
        <v>57</v>
      </c>
      <c r="O301">
        <v>450</v>
      </c>
      <c r="P301" t="s">
        <v>3891</v>
      </c>
      <c r="Q301" t="s">
        <v>3892</v>
      </c>
      <c r="R301" t="s">
        <v>367</v>
      </c>
      <c r="S301" t="s">
        <v>452</v>
      </c>
      <c r="T301" t="s">
        <v>368</v>
      </c>
      <c r="U301">
        <v>-0.17499999999999999</v>
      </c>
      <c r="V301">
        <v>-2.5000000000000001E-2</v>
      </c>
      <c r="W301" t="s">
        <v>52</v>
      </c>
      <c r="X301">
        <v>0.88229999999999997</v>
      </c>
      <c r="Y301">
        <v>0.8931</v>
      </c>
      <c r="Z301">
        <v>0.8931</v>
      </c>
      <c r="AA301">
        <v>0.88229999999999997</v>
      </c>
      <c r="AB301">
        <v>19.166</v>
      </c>
      <c r="AC301">
        <v>19.1661</v>
      </c>
      <c r="AD301">
        <v>17.968800000000002</v>
      </c>
      <c r="AE301">
        <v>17.968900000000001</v>
      </c>
      <c r="AF301" t="s">
        <v>4266</v>
      </c>
      <c r="AG301" t="s">
        <v>4266</v>
      </c>
      <c r="AH301" t="s">
        <v>3894</v>
      </c>
      <c r="AI301" t="s">
        <v>3894</v>
      </c>
      <c r="AJ301" t="s">
        <v>3895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3896</v>
      </c>
      <c r="AT301" t="s">
        <v>3890</v>
      </c>
      <c r="AU301" t="s">
        <v>3897</v>
      </c>
      <c r="AV301" t="s">
        <v>3898</v>
      </c>
      <c r="AW301">
        <v>2</v>
      </c>
      <c r="AX301">
        <v>0</v>
      </c>
    </row>
    <row r="302" spans="1:50" x14ac:dyDescent="0.25">
      <c r="A302" t="s">
        <v>4267</v>
      </c>
      <c r="B302" t="s">
        <v>3963</v>
      </c>
      <c r="C302" t="s">
        <v>3890</v>
      </c>
      <c r="D302">
        <v>30.332999999999998</v>
      </c>
      <c r="E302">
        <v>30.273</v>
      </c>
      <c r="F302" s="2">
        <v>3.0999999999999999E-3</v>
      </c>
      <c r="G302" t="s">
        <v>890</v>
      </c>
      <c r="H302" t="s">
        <v>892</v>
      </c>
      <c r="I302">
        <v>440248.7499</v>
      </c>
      <c r="J302">
        <v>1827499.4838</v>
      </c>
      <c r="K302">
        <v>440248.7499</v>
      </c>
      <c r="L302">
        <v>1827518.7348</v>
      </c>
      <c r="M302" t="s">
        <v>56</v>
      </c>
      <c r="N302" t="s">
        <v>57</v>
      </c>
      <c r="O302">
        <v>600</v>
      </c>
      <c r="P302" t="s">
        <v>3891</v>
      </c>
      <c r="Q302" t="s">
        <v>3892</v>
      </c>
      <c r="R302" t="s">
        <v>881</v>
      </c>
      <c r="S302" t="s">
        <v>452</v>
      </c>
      <c r="T302" t="s">
        <v>894</v>
      </c>
      <c r="U302">
        <v>7.4999999999999997E-2</v>
      </c>
      <c r="V302">
        <v>7.4999999999999997E-2</v>
      </c>
      <c r="W302" t="s">
        <v>52</v>
      </c>
      <c r="X302">
        <v>0.88349999999999995</v>
      </c>
      <c r="Y302">
        <v>0.89159999999999995</v>
      </c>
      <c r="Z302">
        <v>0.89159999999999995</v>
      </c>
      <c r="AA302">
        <v>0.88349999999999995</v>
      </c>
      <c r="AB302">
        <v>19.251100000000001</v>
      </c>
      <c r="AC302">
        <v>19.251200000000001</v>
      </c>
      <c r="AD302">
        <v>18.053699999999999</v>
      </c>
      <c r="AE302">
        <v>18.053799999999999</v>
      </c>
      <c r="AF302" t="s">
        <v>67</v>
      </c>
      <c r="AG302" t="s">
        <v>67</v>
      </c>
      <c r="AH302" t="s">
        <v>3894</v>
      </c>
      <c r="AI302" t="s">
        <v>3894</v>
      </c>
      <c r="AJ302" t="s">
        <v>3895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3896</v>
      </c>
      <c r="AT302" t="s">
        <v>3890</v>
      </c>
      <c r="AU302" t="s">
        <v>3964</v>
      </c>
      <c r="AV302" t="s">
        <v>3898</v>
      </c>
      <c r="AW302">
        <v>2</v>
      </c>
      <c r="AX302">
        <v>0</v>
      </c>
    </row>
    <row r="303" spans="1:50" x14ac:dyDescent="0.25">
      <c r="A303" t="s">
        <v>4268</v>
      </c>
      <c r="B303" t="s">
        <v>3889</v>
      </c>
      <c r="C303" t="s">
        <v>3890</v>
      </c>
      <c r="D303">
        <v>29.789000000000001</v>
      </c>
      <c r="E303">
        <v>29.728999999999999</v>
      </c>
      <c r="F303" s="2">
        <v>3.0999999999999999E-3</v>
      </c>
      <c r="G303" t="s">
        <v>916</v>
      </c>
      <c r="H303" t="s">
        <v>370</v>
      </c>
      <c r="I303">
        <v>440323.97489999997</v>
      </c>
      <c r="J303">
        <v>1827499.4838</v>
      </c>
      <c r="K303">
        <v>440323.97489999997</v>
      </c>
      <c r="L303">
        <v>1827518.6073</v>
      </c>
      <c r="M303" t="s">
        <v>56</v>
      </c>
      <c r="N303" t="s">
        <v>57</v>
      </c>
      <c r="O303">
        <v>450</v>
      </c>
      <c r="P303" t="s">
        <v>3891</v>
      </c>
      <c r="Q303" t="s">
        <v>3892</v>
      </c>
      <c r="R303" t="s">
        <v>372</v>
      </c>
      <c r="S303" t="s">
        <v>452</v>
      </c>
      <c r="T303" t="s">
        <v>951</v>
      </c>
      <c r="U303">
        <v>-0.15</v>
      </c>
      <c r="V303">
        <v>-0.15</v>
      </c>
      <c r="W303" t="s">
        <v>52</v>
      </c>
      <c r="X303">
        <v>0.88629999999999998</v>
      </c>
      <c r="Y303">
        <v>0.91830000000000001</v>
      </c>
      <c r="Z303">
        <v>0.91830000000000001</v>
      </c>
      <c r="AA303">
        <v>0.88629999999999998</v>
      </c>
      <c r="AB303">
        <v>18.954899999999999</v>
      </c>
      <c r="AC303">
        <v>18.954999999999998</v>
      </c>
      <c r="AD303">
        <v>17.757100000000001</v>
      </c>
      <c r="AE303">
        <v>17.757200000000001</v>
      </c>
      <c r="AF303" t="s">
        <v>67</v>
      </c>
      <c r="AG303" t="s">
        <v>67</v>
      </c>
      <c r="AH303" t="s">
        <v>3894</v>
      </c>
      <c r="AI303" t="s">
        <v>3894</v>
      </c>
      <c r="AJ303" t="s">
        <v>3895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3896</v>
      </c>
      <c r="AT303" t="s">
        <v>3890</v>
      </c>
      <c r="AU303" t="s">
        <v>3897</v>
      </c>
      <c r="AV303" t="s">
        <v>3898</v>
      </c>
      <c r="AW303">
        <v>2</v>
      </c>
      <c r="AX303">
        <v>0</v>
      </c>
    </row>
    <row r="304" spans="1:50" x14ac:dyDescent="0.25">
      <c r="A304" t="s">
        <v>4269</v>
      </c>
      <c r="B304" t="s">
        <v>3889</v>
      </c>
      <c r="C304" t="s">
        <v>3890</v>
      </c>
      <c r="D304">
        <v>29.885000000000002</v>
      </c>
      <c r="E304">
        <v>29.824999999999999</v>
      </c>
      <c r="F304" s="2">
        <v>3.0000000000000001E-3</v>
      </c>
      <c r="G304" t="s">
        <v>913</v>
      </c>
      <c r="H304" t="s">
        <v>916</v>
      </c>
      <c r="I304">
        <v>440323.97489999997</v>
      </c>
      <c r="J304">
        <v>1827479.4838</v>
      </c>
      <c r="K304">
        <v>440323.97489999997</v>
      </c>
      <c r="L304">
        <v>1827499.4838</v>
      </c>
      <c r="M304" t="s">
        <v>56</v>
      </c>
      <c r="N304" t="s">
        <v>57</v>
      </c>
      <c r="O304">
        <v>450</v>
      </c>
      <c r="P304" t="s">
        <v>3891</v>
      </c>
      <c r="Q304" t="s">
        <v>3892</v>
      </c>
      <c r="R304" t="s">
        <v>372</v>
      </c>
      <c r="S304" t="s">
        <v>448</v>
      </c>
      <c r="T304" t="s">
        <v>452</v>
      </c>
      <c r="U304">
        <v>-0.15</v>
      </c>
      <c r="V304">
        <v>-0.15</v>
      </c>
      <c r="W304" t="s">
        <v>52</v>
      </c>
      <c r="X304">
        <v>0.88229999999999997</v>
      </c>
      <c r="Y304">
        <v>0.91849999999999998</v>
      </c>
      <c r="Z304">
        <v>0.91849999999999998</v>
      </c>
      <c r="AA304">
        <v>0.88229999999999997</v>
      </c>
      <c r="AB304">
        <v>20</v>
      </c>
      <c r="AC304">
        <v>20.0001</v>
      </c>
      <c r="AD304">
        <v>18.802099999999999</v>
      </c>
      <c r="AE304">
        <v>18.802199999999999</v>
      </c>
      <c r="AF304" t="s">
        <v>67</v>
      </c>
      <c r="AG304" t="s">
        <v>67</v>
      </c>
      <c r="AH304" t="s">
        <v>3894</v>
      </c>
      <c r="AI304" t="s">
        <v>3894</v>
      </c>
      <c r="AJ304" t="s">
        <v>3895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3896</v>
      </c>
      <c r="AT304" t="s">
        <v>3890</v>
      </c>
      <c r="AU304" t="s">
        <v>3897</v>
      </c>
      <c r="AV304" t="s">
        <v>3898</v>
      </c>
      <c r="AW304">
        <v>2</v>
      </c>
      <c r="AX304">
        <v>0</v>
      </c>
    </row>
    <row r="305" spans="1:50" x14ac:dyDescent="0.25">
      <c r="A305" t="s">
        <v>4270</v>
      </c>
      <c r="B305" t="s">
        <v>3889</v>
      </c>
      <c r="C305" t="s">
        <v>3890</v>
      </c>
      <c r="D305">
        <v>29.789000000000001</v>
      </c>
      <c r="E305">
        <v>29.728999999999999</v>
      </c>
      <c r="F305" s="2">
        <v>3.0999999999999999E-3</v>
      </c>
      <c r="G305" t="s">
        <v>947</v>
      </c>
      <c r="H305" t="s">
        <v>949</v>
      </c>
      <c r="I305">
        <v>440314.27490000002</v>
      </c>
      <c r="J305">
        <v>1827499.4838</v>
      </c>
      <c r="K305">
        <v>440314.27490000002</v>
      </c>
      <c r="L305">
        <v>1827518.6073</v>
      </c>
      <c r="M305" t="s">
        <v>56</v>
      </c>
      <c r="N305" t="s">
        <v>57</v>
      </c>
      <c r="O305">
        <v>450</v>
      </c>
      <c r="P305" t="s">
        <v>3891</v>
      </c>
      <c r="Q305" t="s">
        <v>3892</v>
      </c>
      <c r="R305" t="s">
        <v>288</v>
      </c>
      <c r="S305" t="s">
        <v>452</v>
      </c>
      <c r="T305" t="s">
        <v>951</v>
      </c>
      <c r="U305">
        <v>0.124</v>
      </c>
      <c r="V305">
        <v>0.124</v>
      </c>
      <c r="W305" t="s">
        <v>52</v>
      </c>
      <c r="X305">
        <v>0.88629999999999998</v>
      </c>
      <c r="Y305">
        <v>0.91830000000000001</v>
      </c>
      <c r="Z305">
        <v>0.91830000000000001</v>
      </c>
      <c r="AA305">
        <v>0.88629999999999998</v>
      </c>
      <c r="AB305">
        <v>19.1235</v>
      </c>
      <c r="AC305">
        <v>19.1236</v>
      </c>
      <c r="AD305">
        <v>17.925699999999999</v>
      </c>
      <c r="AE305">
        <v>17.925799999999999</v>
      </c>
      <c r="AF305" t="s">
        <v>67</v>
      </c>
      <c r="AG305" t="s">
        <v>67</v>
      </c>
      <c r="AH305" t="s">
        <v>3894</v>
      </c>
      <c r="AI305" t="s">
        <v>3894</v>
      </c>
      <c r="AJ305" t="s">
        <v>3895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3896</v>
      </c>
      <c r="AT305" t="s">
        <v>3890</v>
      </c>
      <c r="AU305" t="s">
        <v>3897</v>
      </c>
      <c r="AV305" t="s">
        <v>3898</v>
      </c>
      <c r="AW305">
        <v>2</v>
      </c>
      <c r="AX305">
        <v>0</v>
      </c>
    </row>
    <row r="306" spans="1:50" x14ac:dyDescent="0.25">
      <c r="A306" t="s">
        <v>4271</v>
      </c>
      <c r="B306" t="s">
        <v>3889</v>
      </c>
      <c r="C306" t="s">
        <v>3890</v>
      </c>
      <c r="D306">
        <v>29.885000000000002</v>
      </c>
      <c r="E306">
        <v>29.824999999999999</v>
      </c>
      <c r="F306" s="2">
        <v>3.0000000000000001E-3</v>
      </c>
      <c r="G306" t="s">
        <v>945</v>
      </c>
      <c r="H306" t="s">
        <v>947</v>
      </c>
      <c r="I306">
        <v>440314.27490000002</v>
      </c>
      <c r="J306">
        <v>1827479.4838</v>
      </c>
      <c r="K306">
        <v>440314.27490000002</v>
      </c>
      <c r="L306">
        <v>1827499.4838</v>
      </c>
      <c r="M306" t="s">
        <v>56</v>
      </c>
      <c r="N306" t="s">
        <v>57</v>
      </c>
      <c r="O306">
        <v>450</v>
      </c>
      <c r="P306" t="s">
        <v>3891</v>
      </c>
      <c r="Q306" t="s">
        <v>3892</v>
      </c>
      <c r="R306" t="s">
        <v>288</v>
      </c>
      <c r="S306" t="s">
        <v>448</v>
      </c>
      <c r="T306" t="s">
        <v>452</v>
      </c>
      <c r="U306">
        <v>0.124</v>
      </c>
      <c r="V306">
        <v>0.124</v>
      </c>
      <c r="W306" t="s">
        <v>52</v>
      </c>
      <c r="X306">
        <v>0.88229999999999997</v>
      </c>
      <c r="Y306">
        <v>0.91849999999999998</v>
      </c>
      <c r="Z306">
        <v>0.91849999999999998</v>
      </c>
      <c r="AA306">
        <v>0.88229999999999997</v>
      </c>
      <c r="AB306">
        <v>20</v>
      </c>
      <c r="AC306">
        <v>20.0001</v>
      </c>
      <c r="AD306">
        <v>18.802099999999999</v>
      </c>
      <c r="AE306">
        <v>18.802199999999999</v>
      </c>
      <c r="AF306" t="s">
        <v>67</v>
      </c>
      <c r="AG306" t="s">
        <v>67</v>
      </c>
      <c r="AH306" t="s">
        <v>3894</v>
      </c>
      <c r="AI306" t="s">
        <v>3894</v>
      </c>
      <c r="AJ306" t="s">
        <v>3895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3896</v>
      </c>
      <c r="AT306" t="s">
        <v>3890</v>
      </c>
      <c r="AU306" t="s">
        <v>3897</v>
      </c>
      <c r="AV306" t="s">
        <v>3898</v>
      </c>
      <c r="AW306">
        <v>2</v>
      </c>
      <c r="AX306">
        <v>0</v>
      </c>
    </row>
    <row r="307" spans="1:50" x14ac:dyDescent="0.25">
      <c r="A307" t="s">
        <v>4272</v>
      </c>
      <c r="B307" t="s">
        <v>3889</v>
      </c>
      <c r="C307" t="s">
        <v>3890</v>
      </c>
      <c r="D307">
        <v>31.440999999999999</v>
      </c>
      <c r="E307">
        <v>31.382000000000001</v>
      </c>
      <c r="F307" s="2">
        <v>3.0000000000000001E-3</v>
      </c>
      <c r="G307" t="s">
        <v>3328</v>
      </c>
      <c r="H307" t="s">
        <v>3331</v>
      </c>
      <c r="I307">
        <v>440192.77490000002</v>
      </c>
      <c r="J307">
        <v>1827294.4693</v>
      </c>
      <c r="K307">
        <v>440192.77490000002</v>
      </c>
      <c r="L307">
        <v>1827314.1728000001</v>
      </c>
      <c r="M307" t="s">
        <v>56</v>
      </c>
      <c r="N307" t="s">
        <v>57</v>
      </c>
      <c r="O307">
        <v>450</v>
      </c>
      <c r="P307" t="s">
        <v>3891</v>
      </c>
      <c r="Q307" t="s">
        <v>3892</v>
      </c>
      <c r="R307" t="s">
        <v>3327</v>
      </c>
      <c r="S307" t="s">
        <v>3311</v>
      </c>
      <c r="T307" t="s">
        <v>3333</v>
      </c>
      <c r="U307">
        <v>0</v>
      </c>
      <c r="V307">
        <v>0</v>
      </c>
      <c r="W307" t="s">
        <v>52</v>
      </c>
      <c r="X307">
        <v>0.89749999999999996</v>
      </c>
      <c r="Y307">
        <v>0.90059999999999996</v>
      </c>
      <c r="Z307">
        <v>0.90059999999999996</v>
      </c>
      <c r="AA307">
        <v>0.89749999999999996</v>
      </c>
      <c r="AB307">
        <v>19.703499999999998</v>
      </c>
      <c r="AC307">
        <v>19.703600000000002</v>
      </c>
      <c r="AD307">
        <v>18.505600000000001</v>
      </c>
      <c r="AE307">
        <v>18.505700000000001</v>
      </c>
      <c r="AF307" t="s">
        <v>3973</v>
      </c>
      <c r="AG307" t="s">
        <v>3973</v>
      </c>
      <c r="AH307" t="s">
        <v>3894</v>
      </c>
      <c r="AI307" t="s">
        <v>3894</v>
      </c>
      <c r="AJ307" t="s">
        <v>3895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3896</v>
      </c>
      <c r="AT307" t="s">
        <v>3890</v>
      </c>
      <c r="AU307" t="s">
        <v>3897</v>
      </c>
      <c r="AV307" t="s">
        <v>3898</v>
      </c>
      <c r="AW307">
        <v>2</v>
      </c>
      <c r="AX307">
        <v>0</v>
      </c>
    </row>
    <row r="308" spans="1:50" x14ac:dyDescent="0.25">
      <c r="A308" t="s">
        <v>4273</v>
      </c>
      <c r="B308" t="s">
        <v>3963</v>
      </c>
      <c r="C308" t="s">
        <v>3890</v>
      </c>
      <c r="D308">
        <v>31.727</v>
      </c>
      <c r="E308">
        <v>31.672000000000001</v>
      </c>
      <c r="F308" s="2">
        <v>3.0000000000000001E-3</v>
      </c>
      <c r="G308" t="s">
        <v>1378</v>
      </c>
      <c r="H308" t="s">
        <v>1382</v>
      </c>
      <c r="I308">
        <v>440053.69949999999</v>
      </c>
      <c r="J308">
        <v>1827679.3526999999</v>
      </c>
      <c r="K308">
        <v>440053.69949999999</v>
      </c>
      <c r="L308">
        <v>1827660.9783000001</v>
      </c>
      <c r="M308" t="s">
        <v>56</v>
      </c>
      <c r="N308" t="s">
        <v>57</v>
      </c>
      <c r="O308">
        <v>600</v>
      </c>
      <c r="P308" t="s">
        <v>3891</v>
      </c>
      <c r="Q308" t="s">
        <v>3892</v>
      </c>
      <c r="R308" t="s">
        <v>381</v>
      </c>
      <c r="S308" t="s">
        <v>1380</v>
      </c>
      <c r="T308" t="s">
        <v>1384</v>
      </c>
      <c r="U308">
        <v>3.8399999999999997E-2</v>
      </c>
      <c r="V308">
        <v>3.2899999999999999E-2</v>
      </c>
      <c r="W308" t="s">
        <v>52</v>
      </c>
      <c r="X308">
        <v>0.8911</v>
      </c>
      <c r="Y308">
        <v>0.93559999999999999</v>
      </c>
      <c r="Z308">
        <v>0.93559999999999999</v>
      </c>
      <c r="AA308">
        <v>0.8911</v>
      </c>
      <c r="AB308">
        <v>18.374400000000001</v>
      </c>
      <c r="AC308">
        <v>18.374500000000001</v>
      </c>
      <c r="AD308">
        <v>17.1769</v>
      </c>
      <c r="AE308">
        <v>17.177</v>
      </c>
      <c r="AF308" t="s">
        <v>2233</v>
      </c>
      <c r="AG308" t="s">
        <v>2233</v>
      </c>
      <c r="AH308" t="s">
        <v>3894</v>
      </c>
      <c r="AI308" t="s">
        <v>3894</v>
      </c>
      <c r="AJ308" t="s">
        <v>3895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3896</v>
      </c>
      <c r="AT308" t="s">
        <v>3890</v>
      </c>
      <c r="AU308" t="s">
        <v>3964</v>
      </c>
      <c r="AV308" t="s">
        <v>3898</v>
      </c>
      <c r="AW308">
        <v>2</v>
      </c>
      <c r="AX308">
        <v>0</v>
      </c>
    </row>
    <row r="309" spans="1:50" x14ac:dyDescent="0.25">
      <c r="A309" t="s">
        <v>3652</v>
      </c>
      <c r="B309" t="s">
        <v>3889</v>
      </c>
      <c r="C309" t="s">
        <v>3890</v>
      </c>
      <c r="D309">
        <v>28.782</v>
      </c>
      <c r="E309">
        <v>28.733000000000001</v>
      </c>
      <c r="F309" s="2">
        <v>3.0000000000000001E-3</v>
      </c>
      <c r="G309" t="s">
        <v>3651</v>
      </c>
      <c r="H309" t="s">
        <v>3655</v>
      </c>
      <c r="I309">
        <v>440533.90850000002</v>
      </c>
      <c r="J309">
        <v>1827425.1986</v>
      </c>
      <c r="K309">
        <v>440550.42509999999</v>
      </c>
      <c r="L309">
        <v>1827425.1986</v>
      </c>
      <c r="M309" t="s">
        <v>56</v>
      </c>
      <c r="N309" t="s">
        <v>57</v>
      </c>
      <c r="O309">
        <v>450</v>
      </c>
      <c r="P309" t="s">
        <v>3891</v>
      </c>
      <c r="Q309" t="s">
        <v>3892</v>
      </c>
      <c r="R309" t="s">
        <v>80</v>
      </c>
      <c r="S309" t="s">
        <v>3653</v>
      </c>
      <c r="T309" t="s">
        <v>448</v>
      </c>
      <c r="U309">
        <v>-5.4800000000000001E-2</v>
      </c>
      <c r="V309">
        <v>-6.0199999999999997E-2</v>
      </c>
      <c r="W309" t="s">
        <v>52</v>
      </c>
      <c r="X309">
        <v>0.88170000000000004</v>
      </c>
      <c r="Y309">
        <v>0.95709999999999995</v>
      </c>
      <c r="Z309">
        <v>0.94120000000000004</v>
      </c>
      <c r="AA309">
        <v>0.88170000000000004</v>
      </c>
      <c r="AB309">
        <v>16.5166</v>
      </c>
      <c r="AC309">
        <v>16.5166</v>
      </c>
      <c r="AD309">
        <v>15.3186</v>
      </c>
      <c r="AE309">
        <v>15.3187</v>
      </c>
      <c r="AF309" t="s">
        <v>183</v>
      </c>
      <c r="AG309" t="s">
        <v>183</v>
      </c>
      <c r="AH309" t="s">
        <v>3894</v>
      </c>
      <c r="AI309" t="s">
        <v>3894</v>
      </c>
      <c r="AJ309" t="s">
        <v>3895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3896</v>
      </c>
      <c r="AT309" t="s">
        <v>3890</v>
      </c>
      <c r="AU309" t="s">
        <v>3897</v>
      </c>
      <c r="AV309" t="s">
        <v>3898</v>
      </c>
      <c r="AW309">
        <v>2</v>
      </c>
      <c r="AX309">
        <v>0</v>
      </c>
    </row>
    <row r="310" spans="1:50" x14ac:dyDescent="0.25">
      <c r="A310" t="s">
        <v>4274</v>
      </c>
      <c r="B310" t="s">
        <v>3889</v>
      </c>
      <c r="C310" t="s">
        <v>3890</v>
      </c>
      <c r="D310">
        <v>30.585000000000001</v>
      </c>
      <c r="E310">
        <v>30.53</v>
      </c>
      <c r="F310" s="2">
        <v>3.0000000000000001E-3</v>
      </c>
      <c r="G310" t="s">
        <v>2237</v>
      </c>
      <c r="H310" t="s">
        <v>2241</v>
      </c>
      <c r="I310">
        <v>440398.47509999998</v>
      </c>
      <c r="J310">
        <v>1827992.7084999999</v>
      </c>
      <c r="K310">
        <v>440398.47509999998</v>
      </c>
      <c r="L310">
        <v>1827974.3514</v>
      </c>
      <c r="M310" t="s">
        <v>56</v>
      </c>
      <c r="N310" t="s">
        <v>57</v>
      </c>
      <c r="O310">
        <v>450</v>
      </c>
      <c r="P310" t="s">
        <v>3891</v>
      </c>
      <c r="Q310" t="s">
        <v>3892</v>
      </c>
      <c r="R310" t="s">
        <v>270</v>
      </c>
      <c r="S310" t="s">
        <v>2239</v>
      </c>
      <c r="T310" t="s">
        <v>2243</v>
      </c>
      <c r="U310">
        <v>-3.5000000000000003E-2</v>
      </c>
      <c r="V310">
        <v>-3.5000000000000003E-2</v>
      </c>
      <c r="W310" t="s">
        <v>52</v>
      </c>
      <c r="X310">
        <v>0.89780000000000004</v>
      </c>
      <c r="Y310">
        <v>1.0134000000000001</v>
      </c>
      <c r="Z310">
        <v>1.0134000000000001</v>
      </c>
      <c r="AA310">
        <v>0.89780000000000004</v>
      </c>
      <c r="AB310">
        <v>18.356999999999999</v>
      </c>
      <c r="AC310">
        <v>18.357099999999999</v>
      </c>
      <c r="AD310">
        <v>17.159099999999999</v>
      </c>
      <c r="AE310">
        <v>17.159199999999998</v>
      </c>
      <c r="AF310" t="s">
        <v>2233</v>
      </c>
      <c r="AG310" t="s">
        <v>2233</v>
      </c>
      <c r="AH310" t="s">
        <v>3894</v>
      </c>
      <c r="AI310" t="s">
        <v>3894</v>
      </c>
      <c r="AJ310" t="s">
        <v>3895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3896</v>
      </c>
      <c r="AT310" t="s">
        <v>3890</v>
      </c>
      <c r="AU310" t="s">
        <v>3897</v>
      </c>
      <c r="AV310" t="s">
        <v>3898</v>
      </c>
      <c r="AW310">
        <v>2</v>
      </c>
      <c r="AX310">
        <v>0</v>
      </c>
    </row>
    <row r="311" spans="1:50" x14ac:dyDescent="0.25">
      <c r="A311" t="s">
        <v>4275</v>
      </c>
      <c r="B311" t="s">
        <v>4010</v>
      </c>
      <c r="C311" t="s">
        <v>3890</v>
      </c>
      <c r="D311">
        <v>28.744</v>
      </c>
      <c r="E311">
        <v>28.695</v>
      </c>
      <c r="F311" s="2">
        <v>3.0000000000000001E-3</v>
      </c>
      <c r="G311" t="s">
        <v>2427</v>
      </c>
      <c r="H311" t="s">
        <v>2431</v>
      </c>
      <c r="I311">
        <v>440578.6911</v>
      </c>
      <c r="J311">
        <v>1827925.7609000001</v>
      </c>
      <c r="K311">
        <v>440594.92509999999</v>
      </c>
      <c r="L311">
        <v>1827925.7609000001</v>
      </c>
      <c r="M311" t="s">
        <v>56</v>
      </c>
      <c r="N311" t="s">
        <v>57</v>
      </c>
      <c r="O311">
        <v>900</v>
      </c>
      <c r="P311" t="s">
        <v>109</v>
      </c>
      <c r="Q311" t="s">
        <v>3919</v>
      </c>
      <c r="R311" t="s">
        <v>2395</v>
      </c>
      <c r="S311" t="s">
        <v>2429</v>
      </c>
      <c r="T311" s="1" t="s">
        <v>4276</v>
      </c>
      <c r="U311">
        <v>1.89E-2</v>
      </c>
      <c r="V311">
        <v>1.21E-2</v>
      </c>
      <c r="W311" t="s">
        <v>52</v>
      </c>
      <c r="X311">
        <v>0.8266</v>
      </c>
      <c r="Y311">
        <v>1.2327999999999999</v>
      </c>
      <c r="Z311">
        <v>1.2327999999999999</v>
      </c>
      <c r="AA311">
        <v>1.0494000000000001</v>
      </c>
      <c r="AB311">
        <v>16.234000000000002</v>
      </c>
      <c r="AC311">
        <v>16.234100000000002</v>
      </c>
      <c r="AD311">
        <v>15.037699999999999</v>
      </c>
      <c r="AE311">
        <v>15.037699999999999</v>
      </c>
      <c r="AF311" t="s">
        <v>183</v>
      </c>
      <c r="AG311" t="s">
        <v>183</v>
      </c>
      <c r="AH311" t="s">
        <v>3894</v>
      </c>
      <c r="AI311" t="s">
        <v>3894</v>
      </c>
      <c r="AJ311" t="s">
        <v>3895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3896</v>
      </c>
      <c r="AT311" t="s">
        <v>3890</v>
      </c>
      <c r="AU311" t="s">
        <v>4012</v>
      </c>
      <c r="AV311" t="s">
        <v>3898</v>
      </c>
      <c r="AW311">
        <v>2</v>
      </c>
      <c r="AX311">
        <v>0</v>
      </c>
    </row>
    <row r="312" spans="1:50" x14ac:dyDescent="0.25">
      <c r="A312" t="s">
        <v>4277</v>
      </c>
      <c r="B312" t="s">
        <v>3963</v>
      </c>
      <c r="C312" t="s">
        <v>3890</v>
      </c>
      <c r="D312">
        <v>31.004999999999999</v>
      </c>
      <c r="E312">
        <v>30.951000000000001</v>
      </c>
      <c r="F312" s="2">
        <v>2.7000000000000001E-3</v>
      </c>
      <c r="G312" t="s">
        <v>1398</v>
      </c>
      <c r="H312" t="s">
        <v>1687</v>
      </c>
      <c r="I312">
        <v>440053.69949999999</v>
      </c>
      <c r="J312">
        <v>1827570.2196</v>
      </c>
      <c r="K312">
        <v>440053.69949999999</v>
      </c>
      <c r="L312">
        <v>1827550.3088</v>
      </c>
      <c r="M312" t="s">
        <v>56</v>
      </c>
      <c r="N312" t="s">
        <v>57</v>
      </c>
      <c r="O312">
        <v>600</v>
      </c>
      <c r="P312" t="s">
        <v>3891</v>
      </c>
      <c r="Q312" t="s">
        <v>3892</v>
      </c>
      <c r="R312" t="s">
        <v>381</v>
      </c>
      <c r="S312" t="s">
        <v>1400</v>
      </c>
      <c r="T312" t="s">
        <v>4278</v>
      </c>
      <c r="U312">
        <v>6.1000000000000004E-3</v>
      </c>
      <c r="V312">
        <v>2.0000000000000001E-4</v>
      </c>
      <c r="W312" t="s">
        <v>52</v>
      </c>
      <c r="X312">
        <v>0.84819999999999995</v>
      </c>
      <c r="Y312">
        <v>1.0668</v>
      </c>
      <c r="Z312">
        <v>1.0668</v>
      </c>
      <c r="AA312">
        <v>0.86919999999999997</v>
      </c>
      <c r="AB312">
        <v>19.911000000000001</v>
      </c>
      <c r="AC312">
        <v>19.911000000000001</v>
      </c>
      <c r="AD312">
        <v>18.938099999999999</v>
      </c>
      <c r="AE312">
        <v>18.938199999999998</v>
      </c>
      <c r="AF312" t="s">
        <v>2233</v>
      </c>
      <c r="AG312" t="s">
        <v>2233</v>
      </c>
      <c r="AH312" t="s">
        <v>3894</v>
      </c>
      <c r="AI312" t="s">
        <v>3894</v>
      </c>
      <c r="AJ312" t="s">
        <v>3895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3896</v>
      </c>
      <c r="AT312" t="s">
        <v>3890</v>
      </c>
      <c r="AU312" t="s">
        <v>3964</v>
      </c>
      <c r="AV312" t="s">
        <v>3898</v>
      </c>
      <c r="AW312">
        <v>2</v>
      </c>
      <c r="AX312">
        <v>0</v>
      </c>
    </row>
    <row r="313" spans="1:50" x14ac:dyDescent="0.25">
      <c r="A313" t="s">
        <v>4279</v>
      </c>
      <c r="B313" t="s">
        <v>4015</v>
      </c>
      <c r="C313" t="s">
        <v>3890</v>
      </c>
      <c r="D313">
        <v>30.67</v>
      </c>
      <c r="E313">
        <v>30.61</v>
      </c>
      <c r="F313" s="2">
        <v>3.0000000000000001E-3</v>
      </c>
      <c r="G313" t="s">
        <v>527</v>
      </c>
      <c r="H313" t="s">
        <v>531</v>
      </c>
      <c r="I313">
        <v>439988.22489999997</v>
      </c>
      <c r="J313">
        <v>1827531.6088</v>
      </c>
      <c r="K313">
        <v>440008.22489999997</v>
      </c>
      <c r="L313">
        <v>1827531.6088</v>
      </c>
      <c r="M313" t="s">
        <v>56</v>
      </c>
      <c r="N313" t="s">
        <v>57</v>
      </c>
      <c r="O313">
        <v>750</v>
      </c>
      <c r="P313" t="s">
        <v>109</v>
      </c>
      <c r="Q313" t="s">
        <v>3919</v>
      </c>
      <c r="R313" t="s">
        <v>127</v>
      </c>
      <c r="S313" t="s">
        <v>529</v>
      </c>
      <c r="T313" t="s">
        <v>416</v>
      </c>
      <c r="U313">
        <v>5.8299999999999998E-2</v>
      </c>
      <c r="V313">
        <v>5.8299999999999998E-2</v>
      </c>
      <c r="W313" t="s">
        <v>52</v>
      </c>
      <c r="X313">
        <v>1.1536</v>
      </c>
      <c r="Y313">
        <v>1.2075</v>
      </c>
      <c r="Z313">
        <v>1.2075</v>
      </c>
      <c r="AA313">
        <v>1.1536</v>
      </c>
      <c r="AB313">
        <v>20</v>
      </c>
      <c r="AC313">
        <v>20.0001</v>
      </c>
      <c r="AD313">
        <v>18.803100000000001</v>
      </c>
      <c r="AE313">
        <v>18.8032</v>
      </c>
      <c r="AF313" t="s">
        <v>3920</v>
      </c>
      <c r="AG313" t="s">
        <v>3920</v>
      </c>
      <c r="AH313" t="s">
        <v>3894</v>
      </c>
      <c r="AI313" t="s">
        <v>3894</v>
      </c>
      <c r="AJ313" t="s">
        <v>3895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3896</v>
      </c>
      <c r="AT313" t="s">
        <v>3890</v>
      </c>
      <c r="AU313" t="s">
        <v>4016</v>
      </c>
      <c r="AV313" t="s">
        <v>3898</v>
      </c>
      <c r="AW313">
        <v>2</v>
      </c>
      <c r="AX313">
        <v>0</v>
      </c>
    </row>
    <row r="314" spans="1:50" x14ac:dyDescent="0.25">
      <c r="A314" t="s">
        <v>4280</v>
      </c>
      <c r="B314" t="s">
        <v>4004</v>
      </c>
      <c r="C314" t="s">
        <v>3890</v>
      </c>
      <c r="D314">
        <v>28.567</v>
      </c>
      <c r="E314">
        <v>28.507000000000001</v>
      </c>
      <c r="F314" s="2">
        <v>3.0000000000000001E-3</v>
      </c>
      <c r="G314" t="s">
        <v>3003</v>
      </c>
      <c r="H314" t="s">
        <v>3006</v>
      </c>
      <c r="I314">
        <v>440410.4252</v>
      </c>
      <c r="J314">
        <v>1827703.7145</v>
      </c>
      <c r="K314">
        <v>440430.4252</v>
      </c>
      <c r="L314">
        <v>1827703.7145</v>
      </c>
      <c r="M314" t="s">
        <v>56</v>
      </c>
      <c r="N314" t="s">
        <v>57</v>
      </c>
      <c r="O314">
        <v>600</v>
      </c>
      <c r="P314" t="s">
        <v>58</v>
      </c>
      <c r="Q314" t="s">
        <v>3892</v>
      </c>
      <c r="R314" t="s">
        <v>1056</v>
      </c>
      <c r="S314" t="s">
        <v>420</v>
      </c>
      <c r="T314" t="s">
        <v>424</v>
      </c>
      <c r="U314">
        <v>0</v>
      </c>
      <c r="V314">
        <v>0</v>
      </c>
      <c r="W314" t="s">
        <v>52</v>
      </c>
      <c r="X314">
        <v>0.88060000000000005</v>
      </c>
      <c r="Y314">
        <v>0.91990000000000005</v>
      </c>
      <c r="Z314">
        <v>0.91990000000000005</v>
      </c>
      <c r="AA314">
        <v>0.88060000000000005</v>
      </c>
      <c r="AB314">
        <v>20</v>
      </c>
      <c r="AC314">
        <v>20.0001</v>
      </c>
      <c r="AD314">
        <v>18.802499999999998</v>
      </c>
      <c r="AE314">
        <v>18.802600000000002</v>
      </c>
      <c r="AF314" t="s">
        <v>183</v>
      </c>
      <c r="AG314" t="s">
        <v>183</v>
      </c>
      <c r="AH314" t="s">
        <v>3894</v>
      </c>
      <c r="AI314" t="s">
        <v>3894</v>
      </c>
      <c r="AJ314" t="s">
        <v>3895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3896</v>
      </c>
      <c r="AT314" t="s">
        <v>3890</v>
      </c>
      <c r="AU314" t="s">
        <v>4006</v>
      </c>
      <c r="AV314" t="s">
        <v>3898</v>
      </c>
      <c r="AW314">
        <v>2</v>
      </c>
      <c r="AX314">
        <v>0</v>
      </c>
    </row>
    <row r="315" spans="1:50" x14ac:dyDescent="0.25">
      <c r="A315" t="s">
        <v>4281</v>
      </c>
      <c r="B315" t="s">
        <v>3889</v>
      </c>
      <c r="C315" t="s">
        <v>3890</v>
      </c>
      <c r="D315">
        <v>30.686</v>
      </c>
      <c r="E315">
        <v>30.626000000000001</v>
      </c>
      <c r="F315" s="2">
        <v>3.0000000000000001E-3</v>
      </c>
      <c r="G315" t="s">
        <v>2325</v>
      </c>
      <c r="H315" t="s">
        <v>2328</v>
      </c>
      <c r="I315">
        <v>440490.42509999999</v>
      </c>
      <c r="J315">
        <v>1828037.8473</v>
      </c>
      <c r="K315">
        <v>440510.42509999999</v>
      </c>
      <c r="L315">
        <v>1828037.8473</v>
      </c>
      <c r="M315" t="s">
        <v>56</v>
      </c>
      <c r="N315" t="s">
        <v>57</v>
      </c>
      <c r="O315">
        <v>450</v>
      </c>
      <c r="P315" t="s">
        <v>3891</v>
      </c>
      <c r="Q315" t="s">
        <v>3892</v>
      </c>
      <c r="R315" t="s">
        <v>2263</v>
      </c>
      <c r="S315" t="s">
        <v>597</v>
      </c>
      <c r="T315" t="s">
        <v>440</v>
      </c>
      <c r="U315">
        <v>-6.7400000000000002E-2</v>
      </c>
      <c r="V315">
        <v>-6.7400000000000002E-2</v>
      </c>
      <c r="W315" t="s">
        <v>52</v>
      </c>
      <c r="X315">
        <v>0.8821</v>
      </c>
      <c r="Y315">
        <v>0.9143</v>
      </c>
      <c r="Z315">
        <v>0.9143</v>
      </c>
      <c r="AA315">
        <v>0.8821</v>
      </c>
      <c r="AB315">
        <v>20</v>
      </c>
      <c r="AC315">
        <v>20.0001</v>
      </c>
      <c r="AD315">
        <v>18.802099999999999</v>
      </c>
      <c r="AE315">
        <v>18.802199999999999</v>
      </c>
      <c r="AF315" t="s">
        <v>183</v>
      </c>
      <c r="AG315" t="s">
        <v>183</v>
      </c>
      <c r="AH315" t="s">
        <v>3894</v>
      </c>
      <c r="AI315" t="s">
        <v>3894</v>
      </c>
      <c r="AJ315" t="s">
        <v>3895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3896</v>
      </c>
      <c r="AT315" t="s">
        <v>3890</v>
      </c>
      <c r="AU315" t="s">
        <v>3897</v>
      </c>
      <c r="AV315" t="s">
        <v>3898</v>
      </c>
      <c r="AW315">
        <v>2</v>
      </c>
      <c r="AX315">
        <v>0</v>
      </c>
    </row>
    <row r="316" spans="1:50" x14ac:dyDescent="0.25">
      <c r="A316" t="s">
        <v>4282</v>
      </c>
      <c r="B316" t="s">
        <v>3889</v>
      </c>
      <c r="C316" t="s">
        <v>3890</v>
      </c>
      <c r="D316">
        <v>29.047000000000001</v>
      </c>
      <c r="E316">
        <v>28.988</v>
      </c>
      <c r="F316" s="2">
        <v>3.0000000000000001E-3</v>
      </c>
      <c r="G316" t="s">
        <v>3596</v>
      </c>
      <c r="H316" t="s">
        <v>3598</v>
      </c>
      <c r="I316">
        <v>440490.42509999999</v>
      </c>
      <c r="J316">
        <v>1827425.1986</v>
      </c>
      <c r="K316">
        <v>440510.42509999999</v>
      </c>
      <c r="L316">
        <v>1827425.1986</v>
      </c>
      <c r="M316" t="s">
        <v>56</v>
      </c>
      <c r="N316" t="s">
        <v>57</v>
      </c>
      <c r="O316">
        <v>450</v>
      </c>
      <c r="P316" t="s">
        <v>3891</v>
      </c>
      <c r="Q316" t="s">
        <v>3892</v>
      </c>
      <c r="R316" t="s">
        <v>80</v>
      </c>
      <c r="S316" t="s">
        <v>597</v>
      </c>
      <c r="T316" t="s">
        <v>440</v>
      </c>
      <c r="U316">
        <v>-4.0599999999999997E-2</v>
      </c>
      <c r="V316">
        <v>-4.7100000000000003E-2</v>
      </c>
      <c r="W316" t="s">
        <v>52</v>
      </c>
      <c r="X316">
        <v>0.88149999999999995</v>
      </c>
      <c r="Y316">
        <v>0.94989999999999997</v>
      </c>
      <c r="Z316">
        <v>0.94989999999999997</v>
      </c>
      <c r="AA316">
        <v>0.88149999999999995</v>
      </c>
      <c r="AB316">
        <v>20</v>
      </c>
      <c r="AC316">
        <v>20.0001</v>
      </c>
      <c r="AD316">
        <v>18.802099999999999</v>
      </c>
      <c r="AE316">
        <v>18.802099999999999</v>
      </c>
      <c r="AF316" t="s">
        <v>183</v>
      </c>
      <c r="AG316" t="s">
        <v>183</v>
      </c>
      <c r="AH316" t="s">
        <v>3894</v>
      </c>
      <c r="AI316" t="s">
        <v>3894</v>
      </c>
      <c r="AJ316" t="s">
        <v>3895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3896</v>
      </c>
      <c r="AT316" t="s">
        <v>3890</v>
      </c>
      <c r="AU316" t="s">
        <v>3897</v>
      </c>
      <c r="AV316" t="s">
        <v>3898</v>
      </c>
      <c r="AW316">
        <v>2</v>
      </c>
      <c r="AX316">
        <v>0</v>
      </c>
    </row>
    <row r="317" spans="1:50" x14ac:dyDescent="0.25">
      <c r="A317" t="s">
        <v>4283</v>
      </c>
      <c r="B317" t="s">
        <v>3889</v>
      </c>
      <c r="C317" t="s">
        <v>3890</v>
      </c>
      <c r="D317">
        <v>29.047000000000001</v>
      </c>
      <c r="E317">
        <v>28.988</v>
      </c>
      <c r="F317" s="2">
        <v>3.0000000000000001E-3</v>
      </c>
      <c r="G317" t="s">
        <v>3584</v>
      </c>
      <c r="H317" t="s">
        <v>3587</v>
      </c>
      <c r="I317">
        <v>440490.42509999999</v>
      </c>
      <c r="J317">
        <v>1827415.4986</v>
      </c>
      <c r="K317">
        <v>440510.42509999999</v>
      </c>
      <c r="L317">
        <v>1827415.4986</v>
      </c>
      <c r="M317" t="s">
        <v>56</v>
      </c>
      <c r="N317" t="s">
        <v>57</v>
      </c>
      <c r="O317">
        <v>450</v>
      </c>
      <c r="P317" t="s">
        <v>3891</v>
      </c>
      <c r="Q317" t="s">
        <v>3892</v>
      </c>
      <c r="R317" t="s">
        <v>85</v>
      </c>
      <c r="S317" t="s">
        <v>597</v>
      </c>
      <c r="T317" t="s">
        <v>440</v>
      </c>
      <c r="U317">
        <v>-8.6699999999999999E-2</v>
      </c>
      <c r="V317">
        <v>-8.4599999999999995E-2</v>
      </c>
      <c r="W317" t="s">
        <v>52</v>
      </c>
      <c r="X317">
        <v>0.88149999999999995</v>
      </c>
      <c r="Y317">
        <v>0.94989999999999997</v>
      </c>
      <c r="Z317">
        <v>0.94989999999999997</v>
      </c>
      <c r="AA317">
        <v>0.88149999999999995</v>
      </c>
      <c r="AB317">
        <v>20</v>
      </c>
      <c r="AC317">
        <v>20.0001</v>
      </c>
      <c r="AD317">
        <v>18.802099999999999</v>
      </c>
      <c r="AE317">
        <v>18.802099999999999</v>
      </c>
      <c r="AF317" t="s">
        <v>183</v>
      </c>
      <c r="AG317" t="s">
        <v>183</v>
      </c>
      <c r="AH317" t="s">
        <v>3894</v>
      </c>
      <c r="AI317" t="s">
        <v>3894</v>
      </c>
      <c r="AJ317" t="s">
        <v>3895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3896</v>
      </c>
      <c r="AT317" t="s">
        <v>3890</v>
      </c>
      <c r="AU317" t="s">
        <v>3897</v>
      </c>
      <c r="AV317" t="s">
        <v>3898</v>
      </c>
      <c r="AW317">
        <v>2</v>
      </c>
      <c r="AX317">
        <v>0</v>
      </c>
    </row>
    <row r="318" spans="1:50" x14ac:dyDescent="0.25">
      <c r="A318" t="s">
        <v>4284</v>
      </c>
      <c r="B318" t="s">
        <v>3889</v>
      </c>
      <c r="C318" t="s">
        <v>3890</v>
      </c>
      <c r="D318">
        <v>30.178999999999998</v>
      </c>
      <c r="E318">
        <v>30.119</v>
      </c>
      <c r="F318" s="2">
        <v>3.0000000000000001E-3</v>
      </c>
      <c r="G318" t="s">
        <v>2111</v>
      </c>
      <c r="H318" t="s">
        <v>2115</v>
      </c>
      <c r="I318">
        <v>440279.1249</v>
      </c>
      <c r="J318">
        <v>1827810.0248</v>
      </c>
      <c r="K318">
        <v>440299.1249</v>
      </c>
      <c r="L318">
        <v>1827810.0248</v>
      </c>
      <c r="M318" t="s">
        <v>56</v>
      </c>
      <c r="N318" t="s">
        <v>57</v>
      </c>
      <c r="O318">
        <v>450</v>
      </c>
      <c r="P318" t="s">
        <v>3891</v>
      </c>
      <c r="Q318" t="s">
        <v>3892</v>
      </c>
      <c r="R318" t="s">
        <v>2108</v>
      </c>
      <c r="S318" t="s">
        <v>4285</v>
      </c>
      <c r="T318" t="s">
        <v>4286</v>
      </c>
      <c r="U318">
        <v>-2.0799999999999999E-2</v>
      </c>
      <c r="V318">
        <v>-2.0799999999999999E-2</v>
      </c>
      <c r="W318" t="s">
        <v>52</v>
      </c>
      <c r="X318">
        <v>0.88190000000000002</v>
      </c>
      <c r="Y318">
        <v>1.0658000000000001</v>
      </c>
      <c r="Z318">
        <v>1.0658000000000001</v>
      </c>
      <c r="AA318">
        <v>0.88190000000000002</v>
      </c>
      <c r="AB318">
        <v>20</v>
      </c>
      <c r="AC318">
        <v>20.0001</v>
      </c>
      <c r="AD318">
        <v>18.802099999999999</v>
      </c>
      <c r="AE318">
        <v>18.802199999999999</v>
      </c>
      <c r="AF318" t="s">
        <v>183</v>
      </c>
      <c r="AG318" t="s">
        <v>183</v>
      </c>
      <c r="AH318" t="s">
        <v>3894</v>
      </c>
      <c r="AI318" t="s">
        <v>3894</v>
      </c>
      <c r="AJ318" t="s">
        <v>3895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3896</v>
      </c>
      <c r="AT318" t="s">
        <v>3890</v>
      </c>
      <c r="AU318" t="s">
        <v>3897</v>
      </c>
      <c r="AV318" t="s">
        <v>3898</v>
      </c>
      <c r="AW318">
        <v>2</v>
      </c>
      <c r="AX318">
        <v>0</v>
      </c>
    </row>
    <row r="319" spans="1:50" x14ac:dyDescent="0.25">
      <c r="A319" t="s">
        <v>4287</v>
      </c>
      <c r="B319" t="s">
        <v>3889</v>
      </c>
      <c r="C319" t="s">
        <v>3890</v>
      </c>
      <c r="D319">
        <v>28.664999999999999</v>
      </c>
      <c r="E319">
        <v>28.605</v>
      </c>
      <c r="F319" s="2">
        <v>3.0000000000000001E-3</v>
      </c>
      <c r="G319" t="s">
        <v>3655</v>
      </c>
      <c r="H319" t="s">
        <v>3657</v>
      </c>
      <c r="I319">
        <v>440550.42509999999</v>
      </c>
      <c r="J319">
        <v>1827425.1986</v>
      </c>
      <c r="K319">
        <v>440570.42509999999</v>
      </c>
      <c r="L319">
        <v>1827425.1986</v>
      </c>
      <c r="M319" t="s">
        <v>56</v>
      </c>
      <c r="N319" t="s">
        <v>57</v>
      </c>
      <c r="O319">
        <v>450</v>
      </c>
      <c r="P319" t="s">
        <v>3891</v>
      </c>
      <c r="Q319" t="s">
        <v>3892</v>
      </c>
      <c r="R319" t="s">
        <v>80</v>
      </c>
      <c r="S319" t="s">
        <v>448</v>
      </c>
      <c r="T319" t="s">
        <v>452</v>
      </c>
      <c r="U319">
        <v>-6.0199999999999997E-2</v>
      </c>
      <c r="V319">
        <v>-6.6799999999999998E-2</v>
      </c>
      <c r="W319" t="s">
        <v>52</v>
      </c>
      <c r="X319">
        <v>0.88239999999999996</v>
      </c>
      <c r="Y319">
        <v>0.94969999999999999</v>
      </c>
      <c r="Z319">
        <v>0.94969999999999999</v>
      </c>
      <c r="AA319">
        <v>0.88239999999999996</v>
      </c>
      <c r="AB319">
        <v>20</v>
      </c>
      <c r="AC319">
        <v>20.0001</v>
      </c>
      <c r="AD319">
        <v>18.802099999999999</v>
      </c>
      <c r="AE319">
        <v>18.802199999999999</v>
      </c>
      <c r="AF319" t="s">
        <v>2299</v>
      </c>
      <c r="AG319" t="s">
        <v>2299</v>
      </c>
      <c r="AH319" t="s">
        <v>3894</v>
      </c>
      <c r="AI319" t="s">
        <v>3894</v>
      </c>
      <c r="AJ319" t="s">
        <v>3895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3896</v>
      </c>
      <c r="AT319" t="s">
        <v>3890</v>
      </c>
      <c r="AU319" t="s">
        <v>3897</v>
      </c>
      <c r="AV319" t="s">
        <v>3898</v>
      </c>
      <c r="AW319">
        <v>2</v>
      </c>
      <c r="AX319">
        <v>0</v>
      </c>
    </row>
    <row r="320" spans="1:50" x14ac:dyDescent="0.25">
      <c r="A320" t="s">
        <v>4288</v>
      </c>
      <c r="B320" t="s">
        <v>3889</v>
      </c>
      <c r="C320" t="s">
        <v>3890</v>
      </c>
      <c r="D320">
        <v>28.664999999999999</v>
      </c>
      <c r="E320">
        <v>28.605</v>
      </c>
      <c r="F320" s="2">
        <v>3.0000000000000001E-3</v>
      </c>
      <c r="G320" t="s">
        <v>3642</v>
      </c>
      <c r="H320" t="s">
        <v>3645</v>
      </c>
      <c r="I320">
        <v>440550.42509999999</v>
      </c>
      <c r="J320">
        <v>1827415.4986</v>
      </c>
      <c r="K320">
        <v>440570.42509999999</v>
      </c>
      <c r="L320">
        <v>1827415.4986</v>
      </c>
      <c r="M320" t="s">
        <v>56</v>
      </c>
      <c r="N320" t="s">
        <v>57</v>
      </c>
      <c r="O320">
        <v>450</v>
      </c>
      <c r="P320" t="s">
        <v>3891</v>
      </c>
      <c r="Q320" t="s">
        <v>3892</v>
      </c>
      <c r="R320" t="s">
        <v>85</v>
      </c>
      <c r="S320" t="s">
        <v>448</v>
      </c>
      <c r="T320" t="s">
        <v>452</v>
      </c>
      <c r="U320">
        <v>-8.0199999999999994E-2</v>
      </c>
      <c r="V320">
        <v>-7.8E-2</v>
      </c>
      <c r="W320" t="s">
        <v>52</v>
      </c>
      <c r="X320">
        <v>0.88239999999999996</v>
      </c>
      <c r="Y320">
        <v>0.94969999999999999</v>
      </c>
      <c r="Z320">
        <v>0.94969999999999999</v>
      </c>
      <c r="AA320">
        <v>0.88239999999999996</v>
      </c>
      <c r="AB320">
        <v>20</v>
      </c>
      <c r="AC320">
        <v>20.0001</v>
      </c>
      <c r="AD320">
        <v>18.802099999999999</v>
      </c>
      <c r="AE320">
        <v>18.802199999999999</v>
      </c>
      <c r="AF320" t="s">
        <v>2299</v>
      </c>
      <c r="AG320" t="s">
        <v>2299</v>
      </c>
      <c r="AH320" t="s">
        <v>3894</v>
      </c>
      <c r="AI320" t="s">
        <v>3894</v>
      </c>
      <c r="AJ320" t="s">
        <v>3895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3896</v>
      </c>
      <c r="AT320" t="s">
        <v>3890</v>
      </c>
      <c r="AU320" t="s">
        <v>3897</v>
      </c>
      <c r="AV320" t="s">
        <v>3898</v>
      </c>
      <c r="AW320">
        <v>2</v>
      </c>
      <c r="AX320">
        <v>0</v>
      </c>
    </row>
    <row r="321" spans="1:50" x14ac:dyDescent="0.25">
      <c r="A321" t="s">
        <v>4289</v>
      </c>
      <c r="B321" t="s">
        <v>3924</v>
      </c>
      <c r="C321" t="s">
        <v>3890</v>
      </c>
      <c r="D321">
        <v>31.331</v>
      </c>
      <c r="E321">
        <v>31.271000000000001</v>
      </c>
      <c r="F321" s="2">
        <v>3.0000000000000001E-3</v>
      </c>
      <c r="G321" t="s">
        <v>2518</v>
      </c>
      <c r="H321" t="s">
        <v>2521</v>
      </c>
      <c r="I321">
        <v>440350.42509999999</v>
      </c>
      <c r="J321">
        <v>1828047.3973000001</v>
      </c>
      <c r="K321">
        <v>440370.42509999999</v>
      </c>
      <c r="L321">
        <v>1828047.3973000001</v>
      </c>
      <c r="M321" t="s">
        <v>56</v>
      </c>
      <c r="N321" t="s">
        <v>57</v>
      </c>
      <c r="O321">
        <v>750</v>
      </c>
      <c r="P321" t="s">
        <v>3891</v>
      </c>
      <c r="Q321" t="s">
        <v>3892</v>
      </c>
      <c r="R321" t="s">
        <v>2502</v>
      </c>
      <c r="S321" t="s">
        <v>525</v>
      </c>
      <c r="T321" t="s">
        <v>529</v>
      </c>
      <c r="U321">
        <v>0</v>
      </c>
      <c r="V321">
        <v>0</v>
      </c>
      <c r="W321" t="s">
        <v>52</v>
      </c>
      <c r="X321">
        <v>0.87890000000000001</v>
      </c>
      <c r="Y321">
        <v>0.91100000000000003</v>
      </c>
      <c r="Z321">
        <v>0.91100000000000003</v>
      </c>
      <c r="AA321">
        <v>0.87890000000000001</v>
      </c>
      <c r="AB321">
        <v>20</v>
      </c>
      <c r="AC321">
        <v>20.0001</v>
      </c>
      <c r="AD321">
        <v>18.803000000000001</v>
      </c>
      <c r="AE321">
        <v>18.803100000000001</v>
      </c>
      <c r="AF321" t="s">
        <v>183</v>
      </c>
      <c r="AG321" t="s">
        <v>183</v>
      </c>
      <c r="AH321" t="s">
        <v>3894</v>
      </c>
      <c r="AI321" t="s">
        <v>3894</v>
      </c>
      <c r="AJ321" t="s">
        <v>3895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3896</v>
      </c>
      <c r="AT321" t="s">
        <v>3890</v>
      </c>
      <c r="AU321" t="s">
        <v>3926</v>
      </c>
      <c r="AV321" t="s">
        <v>3898</v>
      </c>
      <c r="AW321">
        <v>2</v>
      </c>
      <c r="AX321">
        <v>0</v>
      </c>
    </row>
    <row r="322" spans="1:50" x14ac:dyDescent="0.25">
      <c r="A322" t="s">
        <v>4290</v>
      </c>
      <c r="B322" t="s">
        <v>3889</v>
      </c>
      <c r="C322" t="s">
        <v>3890</v>
      </c>
      <c r="D322">
        <v>30.992000000000001</v>
      </c>
      <c r="E322">
        <v>30.931999999999999</v>
      </c>
      <c r="F322" s="2">
        <v>3.0000000000000001E-3</v>
      </c>
      <c r="G322" t="s">
        <v>3257</v>
      </c>
      <c r="H322" t="s">
        <v>3260</v>
      </c>
      <c r="I322">
        <v>440210.42509999999</v>
      </c>
      <c r="J322">
        <v>1827384.5985999999</v>
      </c>
      <c r="K322">
        <v>440230.42509999999</v>
      </c>
      <c r="L322">
        <v>1827384.5985999999</v>
      </c>
      <c r="M322" t="s">
        <v>56</v>
      </c>
      <c r="N322" t="s">
        <v>57</v>
      </c>
      <c r="O322">
        <v>450</v>
      </c>
      <c r="P322" t="s">
        <v>3891</v>
      </c>
      <c r="Q322" t="s">
        <v>3892</v>
      </c>
      <c r="R322" t="s">
        <v>54</v>
      </c>
      <c r="S322" t="s">
        <v>849</v>
      </c>
      <c r="T322" t="s">
        <v>853</v>
      </c>
      <c r="U322">
        <v>7.4999999999999997E-2</v>
      </c>
      <c r="V322">
        <v>7.4999999999999997E-2</v>
      </c>
      <c r="W322" t="s">
        <v>52</v>
      </c>
      <c r="X322">
        <v>0.88200000000000001</v>
      </c>
      <c r="Y322">
        <v>0.94379999999999997</v>
      </c>
      <c r="Z322">
        <v>0.94379999999999997</v>
      </c>
      <c r="AA322">
        <v>0.88200000000000001</v>
      </c>
      <c r="AB322">
        <v>20</v>
      </c>
      <c r="AC322">
        <v>20.0001</v>
      </c>
      <c r="AD322">
        <v>18.802099999999999</v>
      </c>
      <c r="AE322">
        <v>18.802199999999999</v>
      </c>
      <c r="AF322" t="s">
        <v>183</v>
      </c>
      <c r="AG322" t="s">
        <v>183</v>
      </c>
      <c r="AH322" t="s">
        <v>3894</v>
      </c>
      <c r="AI322" t="s">
        <v>3894</v>
      </c>
      <c r="AJ322" t="s">
        <v>3895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3896</v>
      </c>
      <c r="AT322" t="s">
        <v>3890</v>
      </c>
      <c r="AU322" t="s">
        <v>3897</v>
      </c>
      <c r="AV322" t="s">
        <v>3898</v>
      </c>
      <c r="AW322">
        <v>2</v>
      </c>
      <c r="AX322">
        <v>0</v>
      </c>
    </row>
    <row r="323" spans="1:50" x14ac:dyDescent="0.25">
      <c r="A323" t="s">
        <v>4291</v>
      </c>
      <c r="B323" t="s">
        <v>3928</v>
      </c>
      <c r="C323" t="s">
        <v>3890</v>
      </c>
      <c r="D323">
        <v>30.334</v>
      </c>
      <c r="E323">
        <v>30.274000000000001</v>
      </c>
      <c r="F323" s="2">
        <v>3.0000000000000001E-3</v>
      </c>
      <c r="G323" t="s">
        <v>1611</v>
      </c>
      <c r="H323" t="s">
        <v>1615</v>
      </c>
      <c r="I323">
        <v>439972.35210000002</v>
      </c>
      <c r="J323">
        <v>1827550.2588</v>
      </c>
      <c r="K323">
        <v>439992.3334</v>
      </c>
      <c r="L323">
        <v>1827550.2588</v>
      </c>
      <c r="M323" t="s">
        <v>56</v>
      </c>
      <c r="N323" t="s">
        <v>57</v>
      </c>
      <c r="O323">
        <v>900</v>
      </c>
      <c r="P323" t="s">
        <v>3929</v>
      </c>
      <c r="Q323" t="s">
        <v>3930</v>
      </c>
      <c r="R323" t="s">
        <v>132</v>
      </c>
      <c r="S323" t="s">
        <v>1613</v>
      </c>
      <c r="T323" t="s">
        <v>1617</v>
      </c>
      <c r="U323">
        <v>-0.05</v>
      </c>
      <c r="V323">
        <v>-0.05</v>
      </c>
      <c r="W323" t="s">
        <v>52</v>
      </c>
      <c r="X323">
        <v>1.2531000000000001</v>
      </c>
      <c r="Y323">
        <v>1.3068</v>
      </c>
      <c r="Z323">
        <v>1.3068</v>
      </c>
      <c r="AA323">
        <v>1.2531000000000001</v>
      </c>
      <c r="AB323">
        <v>19.981300000000001</v>
      </c>
      <c r="AC323">
        <v>19.981400000000001</v>
      </c>
      <c r="AD323">
        <v>18.785</v>
      </c>
      <c r="AE323">
        <v>18.7851</v>
      </c>
      <c r="AF323" t="s">
        <v>3920</v>
      </c>
      <c r="AG323" t="s">
        <v>3920</v>
      </c>
      <c r="AH323" t="s">
        <v>3894</v>
      </c>
      <c r="AI323" t="s">
        <v>3894</v>
      </c>
      <c r="AJ323" t="s">
        <v>3895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3896</v>
      </c>
      <c r="AT323" t="s">
        <v>3890</v>
      </c>
      <c r="AU323" t="s">
        <v>3931</v>
      </c>
      <c r="AV323" t="s">
        <v>3898</v>
      </c>
      <c r="AW323">
        <v>2</v>
      </c>
      <c r="AX323">
        <v>0</v>
      </c>
    </row>
    <row r="324" spans="1:50" x14ac:dyDescent="0.25">
      <c r="A324" t="s">
        <v>4292</v>
      </c>
      <c r="B324" t="s">
        <v>3889</v>
      </c>
      <c r="C324" t="s">
        <v>3890</v>
      </c>
      <c r="D324">
        <v>31.085000000000001</v>
      </c>
      <c r="E324">
        <v>31.026</v>
      </c>
      <c r="F324" s="2">
        <v>3.0000000000000001E-3</v>
      </c>
      <c r="G324" t="s">
        <v>860</v>
      </c>
      <c r="H324" t="s">
        <v>863</v>
      </c>
      <c r="I324">
        <v>440170.42509999999</v>
      </c>
      <c r="J324">
        <v>1827415.4986</v>
      </c>
      <c r="K324">
        <v>440190.42509999999</v>
      </c>
      <c r="L324">
        <v>1827415.4986</v>
      </c>
      <c r="M324" t="s">
        <v>56</v>
      </c>
      <c r="N324" t="s">
        <v>57</v>
      </c>
      <c r="O324">
        <v>450</v>
      </c>
      <c r="P324" t="s">
        <v>3891</v>
      </c>
      <c r="Q324" t="s">
        <v>3892</v>
      </c>
      <c r="R324" t="s">
        <v>85</v>
      </c>
      <c r="S324" t="s">
        <v>832</v>
      </c>
      <c r="T324" t="s">
        <v>865</v>
      </c>
      <c r="U324">
        <v>-0.1215</v>
      </c>
      <c r="V324">
        <v>-0.1193</v>
      </c>
      <c r="W324" t="s">
        <v>52</v>
      </c>
      <c r="X324">
        <v>0.88149999999999995</v>
      </c>
      <c r="Y324">
        <v>0.94989999999999997</v>
      </c>
      <c r="Z324">
        <v>0.94989999999999997</v>
      </c>
      <c r="AA324">
        <v>0.88149999999999995</v>
      </c>
      <c r="AB324">
        <v>20</v>
      </c>
      <c r="AC324">
        <v>20.0001</v>
      </c>
      <c r="AD324">
        <v>18.802099999999999</v>
      </c>
      <c r="AE324">
        <v>18.802099999999999</v>
      </c>
      <c r="AF324" t="s">
        <v>183</v>
      </c>
      <c r="AG324" t="s">
        <v>183</v>
      </c>
      <c r="AH324" t="s">
        <v>3894</v>
      </c>
      <c r="AI324" t="s">
        <v>3894</v>
      </c>
      <c r="AJ324" t="s">
        <v>3895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3896</v>
      </c>
      <c r="AT324" t="s">
        <v>3890</v>
      </c>
      <c r="AU324" t="s">
        <v>3897</v>
      </c>
      <c r="AV324" t="s">
        <v>3898</v>
      </c>
      <c r="AW324">
        <v>2</v>
      </c>
      <c r="AX324">
        <v>0</v>
      </c>
    </row>
    <row r="325" spans="1:50" x14ac:dyDescent="0.25">
      <c r="A325" t="s">
        <v>4293</v>
      </c>
      <c r="B325" t="s">
        <v>3889</v>
      </c>
      <c r="C325" t="s">
        <v>3890</v>
      </c>
      <c r="D325">
        <v>30.831</v>
      </c>
      <c r="E325">
        <v>30.771000000000001</v>
      </c>
      <c r="F325" s="2">
        <v>3.0000000000000001E-3</v>
      </c>
      <c r="G325" t="s">
        <v>867</v>
      </c>
      <c r="H325" t="s">
        <v>869</v>
      </c>
      <c r="I325">
        <v>440210.42509999999</v>
      </c>
      <c r="J325">
        <v>1827415.4986</v>
      </c>
      <c r="K325">
        <v>440230.42509999999</v>
      </c>
      <c r="L325">
        <v>1827415.4986</v>
      </c>
      <c r="M325" t="s">
        <v>56</v>
      </c>
      <c r="N325" t="s">
        <v>57</v>
      </c>
      <c r="O325">
        <v>450</v>
      </c>
      <c r="P325" t="s">
        <v>3891</v>
      </c>
      <c r="Q325" t="s">
        <v>3892</v>
      </c>
      <c r="R325" t="s">
        <v>85</v>
      </c>
      <c r="S325" t="s">
        <v>849</v>
      </c>
      <c r="T325" t="s">
        <v>853</v>
      </c>
      <c r="U325">
        <v>-0.1171</v>
      </c>
      <c r="V325">
        <v>-0.115</v>
      </c>
      <c r="W325" t="s">
        <v>52</v>
      </c>
      <c r="X325">
        <v>0.88180000000000003</v>
      </c>
      <c r="Y325">
        <v>0.94920000000000004</v>
      </c>
      <c r="Z325">
        <v>0.94920000000000004</v>
      </c>
      <c r="AA325">
        <v>0.88180000000000003</v>
      </c>
      <c r="AB325">
        <v>20</v>
      </c>
      <c r="AC325">
        <v>20.0001</v>
      </c>
      <c r="AD325">
        <v>18.802099999999999</v>
      </c>
      <c r="AE325">
        <v>18.802199999999999</v>
      </c>
      <c r="AF325" t="s">
        <v>183</v>
      </c>
      <c r="AG325" t="s">
        <v>183</v>
      </c>
      <c r="AH325" t="s">
        <v>3894</v>
      </c>
      <c r="AI325" t="s">
        <v>3894</v>
      </c>
      <c r="AJ325" t="s">
        <v>3895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3896</v>
      </c>
      <c r="AT325" t="s">
        <v>3890</v>
      </c>
      <c r="AU325" t="s">
        <v>3897</v>
      </c>
      <c r="AV325" t="s">
        <v>3898</v>
      </c>
      <c r="AW325">
        <v>2</v>
      </c>
      <c r="AX325">
        <v>0</v>
      </c>
    </row>
    <row r="326" spans="1:50" x14ac:dyDescent="0.25">
      <c r="A326" t="s">
        <v>4294</v>
      </c>
      <c r="B326" t="s">
        <v>3889</v>
      </c>
      <c r="C326" t="s">
        <v>3890</v>
      </c>
      <c r="D326">
        <v>30.957999999999998</v>
      </c>
      <c r="E326">
        <v>30.898</v>
      </c>
      <c r="F326" s="2">
        <v>3.0000000000000001E-3</v>
      </c>
      <c r="G326" t="s">
        <v>863</v>
      </c>
      <c r="H326" t="s">
        <v>867</v>
      </c>
      <c r="I326">
        <v>440190.42509999999</v>
      </c>
      <c r="J326">
        <v>1827415.4986</v>
      </c>
      <c r="K326">
        <v>440210.42509999999</v>
      </c>
      <c r="L326">
        <v>1827415.4986</v>
      </c>
      <c r="M326" t="s">
        <v>56</v>
      </c>
      <c r="N326" t="s">
        <v>57</v>
      </c>
      <c r="O326">
        <v>450</v>
      </c>
      <c r="P326" t="s">
        <v>3891</v>
      </c>
      <c r="Q326" t="s">
        <v>3892</v>
      </c>
      <c r="R326" t="s">
        <v>85</v>
      </c>
      <c r="S326" t="s">
        <v>865</v>
      </c>
      <c r="T326" t="s">
        <v>849</v>
      </c>
      <c r="U326">
        <v>-0.1193</v>
      </c>
      <c r="V326">
        <v>-0.1171</v>
      </c>
      <c r="W326" t="s">
        <v>52</v>
      </c>
      <c r="X326">
        <v>0.88219999999999998</v>
      </c>
      <c r="Y326">
        <v>0.94950000000000001</v>
      </c>
      <c r="Z326">
        <v>0.94950000000000001</v>
      </c>
      <c r="AA326">
        <v>0.88219999999999998</v>
      </c>
      <c r="AB326">
        <v>20</v>
      </c>
      <c r="AC326">
        <v>20.0001</v>
      </c>
      <c r="AD326">
        <v>18.802099999999999</v>
      </c>
      <c r="AE326">
        <v>18.802199999999999</v>
      </c>
      <c r="AF326" t="s">
        <v>183</v>
      </c>
      <c r="AG326" t="s">
        <v>183</v>
      </c>
      <c r="AH326" t="s">
        <v>3894</v>
      </c>
      <c r="AI326" t="s">
        <v>3894</v>
      </c>
      <c r="AJ326" t="s">
        <v>3895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3896</v>
      </c>
      <c r="AT326" t="s">
        <v>3890</v>
      </c>
      <c r="AU326" t="s">
        <v>3897</v>
      </c>
      <c r="AV326" t="s">
        <v>3898</v>
      </c>
      <c r="AW326">
        <v>2</v>
      </c>
      <c r="AX326">
        <v>0</v>
      </c>
    </row>
    <row r="327" spans="1:50" x14ac:dyDescent="0.25">
      <c r="A327" t="s">
        <v>4295</v>
      </c>
      <c r="B327" t="s">
        <v>3889</v>
      </c>
      <c r="C327" t="s">
        <v>3890</v>
      </c>
      <c r="D327">
        <v>30.831</v>
      </c>
      <c r="E327">
        <v>30.771000000000001</v>
      </c>
      <c r="F327" s="2">
        <v>3.0000000000000001E-3</v>
      </c>
      <c r="G327" t="s">
        <v>847</v>
      </c>
      <c r="H327" t="s">
        <v>851</v>
      </c>
      <c r="I327">
        <v>440210.42509999999</v>
      </c>
      <c r="J327">
        <v>1827425.1986</v>
      </c>
      <c r="K327">
        <v>440230.42509999999</v>
      </c>
      <c r="L327">
        <v>1827425.1986</v>
      </c>
      <c r="M327" t="s">
        <v>56</v>
      </c>
      <c r="N327" t="s">
        <v>57</v>
      </c>
      <c r="O327">
        <v>450</v>
      </c>
      <c r="P327" t="s">
        <v>3891</v>
      </c>
      <c r="Q327" t="s">
        <v>3892</v>
      </c>
      <c r="R327" t="s">
        <v>80</v>
      </c>
      <c r="S327" s="1" t="s">
        <v>849</v>
      </c>
      <c r="T327" t="s">
        <v>853</v>
      </c>
      <c r="U327">
        <v>5.0999999999999997E-2</v>
      </c>
      <c r="V327">
        <v>4.4499999999999998E-2</v>
      </c>
      <c r="W327" t="s">
        <v>52</v>
      </c>
      <c r="X327">
        <v>0.88180000000000003</v>
      </c>
      <c r="Y327">
        <v>0.94920000000000004</v>
      </c>
      <c r="Z327">
        <v>0.94920000000000004</v>
      </c>
      <c r="AA327">
        <v>0.88180000000000003</v>
      </c>
      <c r="AB327">
        <v>20</v>
      </c>
      <c r="AC327">
        <v>20.0001</v>
      </c>
      <c r="AD327">
        <v>18.802099999999999</v>
      </c>
      <c r="AE327">
        <v>18.802199999999999</v>
      </c>
      <c r="AF327" t="s">
        <v>183</v>
      </c>
      <c r="AG327" t="s">
        <v>183</v>
      </c>
      <c r="AH327" t="s">
        <v>3894</v>
      </c>
      <c r="AI327" t="s">
        <v>3894</v>
      </c>
      <c r="AJ327" t="s">
        <v>3895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3896</v>
      </c>
      <c r="AT327" t="s">
        <v>3890</v>
      </c>
      <c r="AU327" t="s">
        <v>3897</v>
      </c>
      <c r="AV327" t="s">
        <v>3898</v>
      </c>
      <c r="AW327">
        <v>2</v>
      </c>
      <c r="AX327">
        <v>0</v>
      </c>
    </row>
    <row r="328" spans="1:50" x14ac:dyDescent="0.25">
      <c r="A328" t="s">
        <v>4296</v>
      </c>
      <c r="B328" t="s">
        <v>4004</v>
      </c>
      <c r="C328" t="s">
        <v>3890</v>
      </c>
      <c r="D328">
        <v>28.542000000000002</v>
      </c>
      <c r="E328">
        <v>28.481999999999999</v>
      </c>
      <c r="F328" s="2">
        <v>3.0000000000000001E-3</v>
      </c>
      <c r="G328" t="s">
        <v>2718</v>
      </c>
      <c r="H328" t="s">
        <v>2721</v>
      </c>
      <c r="I328">
        <v>440470.42509999999</v>
      </c>
      <c r="J328">
        <v>1827769.0507</v>
      </c>
      <c r="K328">
        <v>440490.42509999999</v>
      </c>
      <c r="L328">
        <v>1827769.0507</v>
      </c>
      <c r="M328" t="s">
        <v>56</v>
      </c>
      <c r="N328" t="s">
        <v>57</v>
      </c>
      <c r="O328">
        <v>600</v>
      </c>
      <c r="P328" t="s">
        <v>58</v>
      </c>
      <c r="Q328" t="s">
        <v>3892</v>
      </c>
      <c r="R328" t="s">
        <v>205</v>
      </c>
      <c r="S328" t="s">
        <v>432</v>
      </c>
      <c r="T328" t="s">
        <v>597</v>
      </c>
      <c r="U328">
        <v>0</v>
      </c>
      <c r="V328">
        <v>0</v>
      </c>
      <c r="W328" t="s">
        <v>52</v>
      </c>
      <c r="X328">
        <v>0.88070000000000004</v>
      </c>
      <c r="Y328">
        <v>0.9516</v>
      </c>
      <c r="Z328">
        <v>0.9516</v>
      </c>
      <c r="AA328">
        <v>0.88070000000000004</v>
      </c>
      <c r="AB328">
        <v>20</v>
      </c>
      <c r="AC328">
        <v>20.0001</v>
      </c>
      <c r="AD328">
        <v>18.802499999999998</v>
      </c>
      <c r="AE328">
        <v>18.802600000000002</v>
      </c>
      <c r="AF328" t="s">
        <v>183</v>
      </c>
      <c r="AG328" t="s">
        <v>183</v>
      </c>
      <c r="AH328" t="s">
        <v>3894</v>
      </c>
      <c r="AI328" t="s">
        <v>3894</v>
      </c>
      <c r="AJ328" t="s">
        <v>3895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3896</v>
      </c>
      <c r="AT328" t="s">
        <v>3890</v>
      </c>
      <c r="AU328" t="s">
        <v>4006</v>
      </c>
      <c r="AV328" t="s">
        <v>3898</v>
      </c>
      <c r="AW328">
        <v>2</v>
      </c>
      <c r="AX328">
        <v>0</v>
      </c>
    </row>
    <row r="329" spans="1:50" x14ac:dyDescent="0.25">
      <c r="A329" t="s">
        <v>4297</v>
      </c>
      <c r="B329" t="s">
        <v>3933</v>
      </c>
      <c r="C329" t="s">
        <v>3890</v>
      </c>
      <c r="D329">
        <v>30.812000000000001</v>
      </c>
      <c r="E329">
        <v>30.751999999999999</v>
      </c>
      <c r="F329" s="2">
        <v>3.0000000000000001E-3</v>
      </c>
      <c r="G329" t="s">
        <v>2531</v>
      </c>
      <c r="H329" t="s">
        <v>2534</v>
      </c>
      <c r="I329">
        <v>440430.42509999999</v>
      </c>
      <c r="J329">
        <v>1828047.3722999999</v>
      </c>
      <c r="K329">
        <v>440450.42509999999</v>
      </c>
      <c r="L329">
        <v>1828047.3722999999</v>
      </c>
      <c r="M329" t="s">
        <v>56</v>
      </c>
      <c r="N329" t="s">
        <v>57</v>
      </c>
      <c r="O329">
        <v>750</v>
      </c>
      <c r="P329" t="s">
        <v>58</v>
      </c>
      <c r="Q329" t="s">
        <v>3919</v>
      </c>
      <c r="R329" t="s">
        <v>2502</v>
      </c>
      <c r="S329" t="s">
        <v>424</v>
      </c>
      <c r="T329" t="s">
        <v>428</v>
      </c>
      <c r="U329">
        <v>-2.5000000000000001E-2</v>
      </c>
      <c r="V329">
        <v>-2.5000000000000001E-2</v>
      </c>
      <c r="W329" t="s">
        <v>52</v>
      </c>
      <c r="X329">
        <v>0.85389999999999999</v>
      </c>
      <c r="Y329">
        <v>0.8861</v>
      </c>
      <c r="Z329">
        <v>0.8861</v>
      </c>
      <c r="AA329">
        <v>0.85389999999999999</v>
      </c>
      <c r="AB329">
        <v>20</v>
      </c>
      <c r="AC329">
        <v>20.0001</v>
      </c>
      <c r="AD329">
        <v>18.803100000000001</v>
      </c>
      <c r="AE329">
        <v>18.8032</v>
      </c>
      <c r="AF329" t="s">
        <v>183</v>
      </c>
      <c r="AG329" t="s">
        <v>183</v>
      </c>
      <c r="AH329" t="s">
        <v>3894</v>
      </c>
      <c r="AI329" t="s">
        <v>3894</v>
      </c>
      <c r="AJ329" t="s">
        <v>3895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3896</v>
      </c>
      <c r="AT329" t="s">
        <v>3890</v>
      </c>
      <c r="AU329" t="s">
        <v>3935</v>
      </c>
      <c r="AV329" t="s">
        <v>3898</v>
      </c>
      <c r="AW329">
        <v>2</v>
      </c>
      <c r="AX329">
        <v>0</v>
      </c>
    </row>
    <row r="330" spans="1:50" x14ac:dyDescent="0.25">
      <c r="A330" t="s">
        <v>4298</v>
      </c>
      <c r="B330" t="s">
        <v>3889</v>
      </c>
      <c r="C330" t="s">
        <v>3890</v>
      </c>
      <c r="D330">
        <v>31.606999999999999</v>
      </c>
      <c r="E330">
        <v>31.547000000000001</v>
      </c>
      <c r="F330" s="2">
        <v>3.0000000000000001E-3</v>
      </c>
      <c r="G330" t="s">
        <v>2510</v>
      </c>
      <c r="H330" t="s">
        <v>2513</v>
      </c>
      <c r="I330">
        <v>440290.42509999999</v>
      </c>
      <c r="J330">
        <v>1828047.5473</v>
      </c>
      <c r="K330">
        <v>440310.42509999999</v>
      </c>
      <c r="L330">
        <v>1828047.5473</v>
      </c>
      <c r="M330" t="s">
        <v>56</v>
      </c>
      <c r="N330" t="s">
        <v>57</v>
      </c>
      <c r="O330">
        <v>450</v>
      </c>
      <c r="P330" t="s">
        <v>3891</v>
      </c>
      <c r="Q330" t="s">
        <v>3892</v>
      </c>
      <c r="R330" t="s">
        <v>2502</v>
      </c>
      <c r="S330" t="s">
        <v>1061</v>
      </c>
      <c r="T330" t="s">
        <v>1057</v>
      </c>
      <c r="U330">
        <v>0.15</v>
      </c>
      <c r="V330">
        <v>0.15</v>
      </c>
      <c r="W330" t="s">
        <v>52</v>
      </c>
      <c r="X330">
        <v>0.88229999999999997</v>
      </c>
      <c r="Y330">
        <v>0.91439999999999999</v>
      </c>
      <c r="Z330">
        <v>0.91439999999999999</v>
      </c>
      <c r="AA330">
        <v>0.88229999999999997</v>
      </c>
      <c r="AB330">
        <v>20</v>
      </c>
      <c r="AC330">
        <v>20.0001</v>
      </c>
      <c r="AD330">
        <v>18.802099999999999</v>
      </c>
      <c r="AE330">
        <v>18.802199999999999</v>
      </c>
      <c r="AF330" t="s">
        <v>183</v>
      </c>
      <c r="AG330" t="s">
        <v>183</v>
      </c>
      <c r="AH330" t="s">
        <v>3894</v>
      </c>
      <c r="AI330" t="s">
        <v>3894</v>
      </c>
      <c r="AJ330" t="s">
        <v>3895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3896</v>
      </c>
      <c r="AT330" t="s">
        <v>3890</v>
      </c>
      <c r="AU330" t="s">
        <v>3897</v>
      </c>
      <c r="AV330" t="s">
        <v>3898</v>
      </c>
      <c r="AW330">
        <v>2</v>
      </c>
      <c r="AX330">
        <v>0</v>
      </c>
    </row>
    <row r="331" spans="1:50" x14ac:dyDescent="0.25">
      <c r="A331" t="s">
        <v>4299</v>
      </c>
      <c r="B331" t="s">
        <v>3889</v>
      </c>
      <c r="C331" t="s">
        <v>3890</v>
      </c>
      <c r="D331">
        <v>31.699000000000002</v>
      </c>
      <c r="E331">
        <v>31.638999999999999</v>
      </c>
      <c r="F331" s="2">
        <v>3.0000000000000001E-3</v>
      </c>
      <c r="G331" t="s">
        <v>2507</v>
      </c>
      <c r="H331" t="s">
        <v>2510</v>
      </c>
      <c r="I331">
        <v>440270.42509999999</v>
      </c>
      <c r="J331">
        <v>1828047.5473</v>
      </c>
      <c r="K331">
        <v>440290.42509999999</v>
      </c>
      <c r="L331">
        <v>1828047.5473</v>
      </c>
      <c r="M331" t="s">
        <v>56</v>
      </c>
      <c r="N331" t="s">
        <v>57</v>
      </c>
      <c r="O331">
        <v>450</v>
      </c>
      <c r="P331" t="s">
        <v>3891</v>
      </c>
      <c r="Q331" t="s">
        <v>3892</v>
      </c>
      <c r="R331" t="s">
        <v>2502</v>
      </c>
      <c r="S331" t="s">
        <v>1065</v>
      </c>
      <c r="T331" t="s">
        <v>1061</v>
      </c>
      <c r="U331">
        <v>0.15</v>
      </c>
      <c r="V331">
        <v>0.15</v>
      </c>
      <c r="W331" t="s">
        <v>52</v>
      </c>
      <c r="X331">
        <v>0.88239999999999996</v>
      </c>
      <c r="Y331">
        <v>0.91449999999999998</v>
      </c>
      <c r="Z331">
        <v>0.91449999999999998</v>
      </c>
      <c r="AA331">
        <v>0.88239999999999996</v>
      </c>
      <c r="AB331">
        <v>20</v>
      </c>
      <c r="AC331">
        <v>20.0001</v>
      </c>
      <c r="AD331">
        <v>18.802099999999999</v>
      </c>
      <c r="AE331">
        <v>18.802199999999999</v>
      </c>
      <c r="AF331" t="s">
        <v>183</v>
      </c>
      <c r="AG331" t="s">
        <v>183</v>
      </c>
      <c r="AH331" t="s">
        <v>3894</v>
      </c>
      <c r="AI331" t="s">
        <v>3894</v>
      </c>
      <c r="AJ331" t="s">
        <v>3895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3896</v>
      </c>
      <c r="AT331" t="s">
        <v>3890</v>
      </c>
      <c r="AU331" t="s">
        <v>3897</v>
      </c>
      <c r="AV331" t="s">
        <v>3898</v>
      </c>
      <c r="AW331">
        <v>2</v>
      </c>
      <c r="AX331">
        <v>0</v>
      </c>
    </row>
    <row r="332" spans="1:50" x14ac:dyDescent="0.25">
      <c r="A332" t="s">
        <v>4300</v>
      </c>
      <c r="B332" t="s">
        <v>3889</v>
      </c>
      <c r="C332" t="s">
        <v>3890</v>
      </c>
      <c r="D332">
        <v>31.331</v>
      </c>
      <c r="E332">
        <v>31.271000000000001</v>
      </c>
      <c r="F332" s="2">
        <v>3.0000000000000001E-3</v>
      </c>
      <c r="G332" t="s">
        <v>2370</v>
      </c>
      <c r="H332" t="s">
        <v>2373</v>
      </c>
      <c r="I332">
        <v>440350.42509999999</v>
      </c>
      <c r="J332">
        <v>1828037.8473</v>
      </c>
      <c r="K332">
        <v>440370.42509999999</v>
      </c>
      <c r="L332">
        <v>1828037.8473</v>
      </c>
      <c r="M332" t="s">
        <v>56</v>
      </c>
      <c r="N332" t="s">
        <v>57</v>
      </c>
      <c r="O332">
        <v>450</v>
      </c>
      <c r="P332" t="s">
        <v>3891</v>
      </c>
      <c r="Q332" t="s">
        <v>3892</v>
      </c>
      <c r="R332" t="s">
        <v>2263</v>
      </c>
      <c r="S332" t="s">
        <v>525</v>
      </c>
      <c r="T332" s="1" t="s">
        <v>529</v>
      </c>
      <c r="U332">
        <v>-6.7400000000000002E-2</v>
      </c>
      <c r="V332">
        <v>-6.7400000000000002E-2</v>
      </c>
      <c r="W332" t="s">
        <v>52</v>
      </c>
      <c r="X332">
        <v>0.88200000000000001</v>
      </c>
      <c r="Y332">
        <v>0.91410000000000002</v>
      </c>
      <c r="Z332">
        <v>0.91410000000000002</v>
      </c>
      <c r="AA332">
        <v>0.88200000000000001</v>
      </c>
      <c r="AB332">
        <v>20</v>
      </c>
      <c r="AC332">
        <v>20.0001</v>
      </c>
      <c r="AD332">
        <v>18.802099999999999</v>
      </c>
      <c r="AE332">
        <v>18.802199999999999</v>
      </c>
      <c r="AF332" t="s">
        <v>183</v>
      </c>
      <c r="AG332" t="s">
        <v>183</v>
      </c>
      <c r="AH332" t="s">
        <v>3894</v>
      </c>
      <c r="AI332" t="s">
        <v>3894</v>
      </c>
      <c r="AJ332" t="s">
        <v>3895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3896</v>
      </c>
      <c r="AT332" t="s">
        <v>3890</v>
      </c>
      <c r="AU332" t="s">
        <v>3897</v>
      </c>
      <c r="AV332" t="s">
        <v>3898</v>
      </c>
      <c r="AW332">
        <v>2</v>
      </c>
      <c r="AX332">
        <v>0</v>
      </c>
    </row>
    <row r="333" spans="1:50" x14ac:dyDescent="0.25">
      <c r="A333" t="s">
        <v>4301</v>
      </c>
      <c r="B333" t="s">
        <v>3889</v>
      </c>
      <c r="C333" t="s">
        <v>3890</v>
      </c>
      <c r="D333">
        <v>31.422999999999998</v>
      </c>
      <c r="E333">
        <v>31.363</v>
      </c>
      <c r="F333" s="2">
        <v>3.0000000000000001E-3</v>
      </c>
      <c r="G333" t="s">
        <v>2367</v>
      </c>
      <c r="H333" t="s">
        <v>2370</v>
      </c>
      <c r="I333">
        <v>440330.42509999999</v>
      </c>
      <c r="J333">
        <v>1828037.8473</v>
      </c>
      <c r="K333">
        <v>440350.42509999999</v>
      </c>
      <c r="L333">
        <v>1828037.8473</v>
      </c>
      <c r="M333" t="s">
        <v>56</v>
      </c>
      <c r="N333" t="s">
        <v>57</v>
      </c>
      <c r="O333">
        <v>450</v>
      </c>
      <c r="P333" t="s">
        <v>3891</v>
      </c>
      <c r="Q333" t="s">
        <v>3892</v>
      </c>
      <c r="R333" t="s">
        <v>2263</v>
      </c>
      <c r="S333" t="s">
        <v>1444</v>
      </c>
      <c r="T333" t="s">
        <v>525</v>
      </c>
      <c r="U333">
        <v>-6.7400000000000002E-2</v>
      </c>
      <c r="V333">
        <v>-6.7400000000000002E-2</v>
      </c>
      <c r="W333" t="s">
        <v>52</v>
      </c>
      <c r="X333">
        <v>0.8821</v>
      </c>
      <c r="Y333">
        <v>0.91420000000000001</v>
      </c>
      <c r="Z333">
        <v>0.91420000000000001</v>
      </c>
      <c r="AA333">
        <v>0.8821</v>
      </c>
      <c r="AB333">
        <v>20</v>
      </c>
      <c r="AC333">
        <v>20.0001</v>
      </c>
      <c r="AD333">
        <v>18.802099999999999</v>
      </c>
      <c r="AE333">
        <v>18.802199999999999</v>
      </c>
      <c r="AF333" t="s">
        <v>183</v>
      </c>
      <c r="AG333" t="s">
        <v>183</v>
      </c>
      <c r="AH333" t="s">
        <v>3894</v>
      </c>
      <c r="AI333" t="s">
        <v>3894</v>
      </c>
      <c r="AJ333" t="s">
        <v>3895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3896</v>
      </c>
      <c r="AT333" t="s">
        <v>3890</v>
      </c>
      <c r="AU333" t="s">
        <v>3897</v>
      </c>
      <c r="AV333" t="s">
        <v>3898</v>
      </c>
      <c r="AW333">
        <v>2</v>
      </c>
      <c r="AX333">
        <v>0</v>
      </c>
    </row>
    <row r="334" spans="1:50" x14ac:dyDescent="0.25">
      <c r="A334" t="s">
        <v>4302</v>
      </c>
      <c r="B334" t="s">
        <v>3889</v>
      </c>
      <c r="C334" t="s">
        <v>3890</v>
      </c>
      <c r="D334">
        <v>31.606999999999999</v>
      </c>
      <c r="E334">
        <v>31.547000000000001</v>
      </c>
      <c r="F334" s="2">
        <v>3.0000000000000001E-3</v>
      </c>
      <c r="G334" t="s">
        <v>2361</v>
      </c>
      <c r="H334" t="s">
        <v>2364</v>
      </c>
      <c r="I334">
        <v>440290.42509999999</v>
      </c>
      <c r="J334">
        <v>1828037.8473</v>
      </c>
      <c r="K334">
        <v>440310.42509999999</v>
      </c>
      <c r="L334">
        <v>1828037.8473</v>
      </c>
      <c r="M334" t="s">
        <v>56</v>
      </c>
      <c r="N334" t="s">
        <v>57</v>
      </c>
      <c r="O334">
        <v>450</v>
      </c>
      <c r="P334" t="s">
        <v>3891</v>
      </c>
      <c r="Q334" t="s">
        <v>3892</v>
      </c>
      <c r="R334" t="s">
        <v>2263</v>
      </c>
      <c r="S334" t="s">
        <v>1061</v>
      </c>
      <c r="T334" t="s">
        <v>1057</v>
      </c>
      <c r="U334">
        <v>-6.7400000000000002E-2</v>
      </c>
      <c r="V334">
        <v>-6.7400000000000002E-2</v>
      </c>
      <c r="W334" t="s">
        <v>52</v>
      </c>
      <c r="X334">
        <v>0.88229999999999997</v>
      </c>
      <c r="Y334">
        <v>0.91439999999999999</v>
      </c>
      <c r="Z334">
        <v>0.91439999999999999</v>
      </c>
      <c r="AA334">
        <v>0.88229999999999997</v>
      </c>
      <c r="AB334">
        <v>20</v>
      </c>
      <c r="AC334">
        <v>20.0001</v>
      </c>
      <c r="AD334">
        <v>18.802099999999999</v>
      </c>
      <c r="AE334">
        <v>18.802199999999999</v>
      </c>
      <c r="AF334" t="s">
        <v>183</v>
      </c>
      <c r="AG334" t="s">
        <v>183</v>
      </c>
      <c r="AH334" t="s">
        <v>3894</v>
      </c>
      <c r="AI334" t="s">
        <v>3894</v>
      </c>
      <c r="AJ334" t="s">
        <v>3895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3896</v>
      </c>
      <c r="AT334" t="s">
        <v>3890</v>
      </c>
      <c r="AU334" t="s">
        <v>3897</v>
      </c>
      <c r="AV334" t="s">
        <v>3898</v>
      </c>
      <c r="AW334">
        <v>2</v>
      </c>
      <c r="AX334">
        <v>0</v>
      </c>
    </row>
    <row r="335" spans="1:50" x14ac:dyDescent="0.25">
      <c r="A335" t="s">
        <v>4303</v>
      </c>
      <c r="B335" t="s">
        <v>3889</v>
      </c>
      <c r="C335" t="s">
        <v>3890</v>
      </c>
      <c r="D335">
        <v>31.699000000000002</v>
      </c>
      <c r="E335">
        <v>31.638999999999999</v>
      </c>
      <c r="F335" s="2">
        <v>3.0000000000000001E-3</v>
      </c>
      <c r="G335" t="s">
        <v>2358</v>
      </c>
      <c r="H335" t="s">
        <v>2361</v>
      </c>
      <c r="I335">
        <v>440270.42509999999</v>
      </c>
      <c r="J335">
        <v>1828037.8473</v>
      </c>
      <c r="K335">
        <v>440290.42509999999</v>
      </c>
      <c r="L335">
        <v>1828037.8473</v>
      </c>
      <c r="M335" t="s">
        <v>56</v>
      </c>
      <c r="N335" t="s">
        <v>57</v>
      </c>
      <c r="O335">
        <v>450</v>
      </c>
      <c r="P335" t="s">
        <v>3891</v>
      </c>
      <c r="Q335" t="s">
        <v>3892</v>
      </c>
      <c r="R335" t="s">
        <v>2263</v>
      </c>
      <c r="S335" t="s">
        <v>1065</v>
      </c>
      <c r="T335" t="s">
        <v>1061</v>
      </c>
      <c r="U335">
        <v>-6.7400000000000002E-2</v>
      </c>
      <c r="V335">
        <v>-6.7400000000000002E-2</v>
      </c>
      <c r="W335" t="s">
        <v>52</v>
      </c>
      <c r="X335">
        <v>0.88239999999999996</v>
      </c>
      <c r="Y335">
        <v>0.91449999999999998</v>
      </c>
      <c r="Z335">
        <v>0.91449999999999998</v>
      </c>
      <c r="AA335">
        <v>0.88239999999999996</v>
      </c>
      <c r="AB335">
        <v>20</v>
      </c>
      <c r="AC335">
        <v>20.0001</v>
      </c>
      <c r="AD335">
        <v>18.802099999999999</v>
      </c>
      <c r="AE335">
        <v>18.802199999999999</v>
      </c>
      <c r="AF335" t="s">
        <v>183</v>
      </c>
      <c r="AG335" t="s">
        <v>183</v>
      </c>
      <c r="AH335" t="s">
        <v>3894</v>
      </c>
      <c r="AI335" t="s">
        <v>3894</v>
      </c>
      <c r="AJ335" t="s">
        <v>3895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3896</v>
      </c>
      <c r="AT335" t="s">
        <v>3890</v>
      </c>
      <c r="AU335" t="s">
        <v>3897</v>
      </c>
      <c r="AV335" t="s">
        <v>3898</v>
      </c>
      <c r="AW335">
        <v>2</v>
      </c>
      <c r="AX335">
        <v>0</v>
      </c>
    </row>
    <row r="336" spans="1:50" x14ac:dyDescent="0.25">
      <c r="A336" t="s">
        <v>4304</v>
      </c>
      <c r="B336" t="s">
        <v>3955</v>
      </c>
      <c r="C336" t="s">
        <v>3890</v>
      </c>
      <c r="D336">
        <v>28.536999999999999</v>
      </c>
      <c r="E336">
        <v>28.477</v>
      </c>
      <c r="F336" s="2">
        <v>3.0000000000000001E-3</v>
      </c>
      <c r="G336" t="s">
        <v>3437</v>
      </c>
      <c r="H336" t="s">
        <v>3440</v>
      </c>
      <c r="I336">
        <v>440490.42509999999</v>
      </c>
      <c r="J336">
        <v>1827384.5236</v>
      </c>
      <c r="K336">
        <v>440510.42509999999</v>
      </c>
      <c r="L336">
        <v>1827384.5236</v>
      </c>
      <c r="M336" t="s">
        <v>56</v>
      </c>
      <c r="N336" t="s">
        <v>57</v>
      </c>
      <c r="O336">
        <v>600</v>
      </c>
      <c r="P336" t="s">
        <v>109</v>
      </c>
      <c r="Q336" t="s">
        <v>3892</v>
      </c>
      <c r="R336" t="s">
        <v>54</v>
      </c>
      <c r="S336" t="s">
        <v>597</v>
      </c>
      <c r="T336" t="s">
        <v>440</v>
      </c>
      <c r="U336">
        <v>0</v>
      </c>
      <c r="V336">
        <v>0</v>
      </c>
      <c r="W336" t="s">
        <v>52</v>
      </c>
      <c r="X336">
        <v>1.3306</v>
      </c>
      <c r="Y336">
        <v>1.3924000000000001</v>
      </c>
      <c r="Z336">
        <v>1.3924000000000001</v>
      </c>
      <c r="AA336">
        <v>1.3306</v>
      </c>
      <c r="AB336">
        <v>20</v>
      </c>
      <c r="AC336">
        <v>20.0001</v>
      </c>
      <c r="AD336">
        <v>18.802499999999998</v>
      </c>
      <c r="AE336">
        <v>18.802600000000002</v>
      </c>
      <c r="AF336" t="s">
        <v>183</v>
      </c>
      <c r="AG336" t="s">
        <v>183</v>
      </c>
      <c r="AH336" t="s">
        <v>3894</v>
      </c>
      <c r="AI336" t="s">
        <v>3894</v>
      </c>
      <c r="AJ336" t="s">
        <v>3895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3896</v>
      </c>
      <c r="AT336" t="s">
        <v>3890</v>
      </c>
      <c r="AU336" t="s">
        <v>3956</v>
      </c>
      <c r="AV336" t="s">
        <v>3898</v>
      </c>
      <c r="AW336">
        <v>2</v>
      </c>
      <c r="AX336">
        <v>0</v>
      </c>
    </row>
    <row r="337" spans="1:50" x14ac:dyDescent="0.25">
      <c r="A337" t="s">
        <v>4305</v>
      </c>
      <c r="B337" t="s">
        <v>3955</v>
      </c>
      <c r="C337" t="s">
        <v>3890</v>
      </c>
      <c r="D337">
        <v>28.658999999999999</v>
      </c>
      <c r="E337">
        <v>28.599</v>
      </c>
      <c r="F337" s="2">
        <v>3.0000000000000001E-3</v>
      </c>
      <c r="G337" t="s">
        <v>3434</v>
      </c>
      <c r="H337" t="s">
        <v>3437</v>
      </c>
      <c r="I337">
        <v>440470.42509999999</v>
      </c>
      <c r="J337">
        <v>1827384.5236</v>
      </c>
      <c r="K337">
        <v>440490.42509999999</v>
      </c>
      <c r="L337">
        <v>1827384.5236</v>
      </c>
      <c r="M337" t="s">
        <v>56</v>
      </c>
      <c r="N337" t="s">
        <v>57</v>
      </c>
      <c r="O337">
        <v>600</v>
      </c>
      <c r="P337" t="s">
        <v>109</v>
      </c>
      <c r="Q337" t="s">
        <v>3892</v>
      </c>
      <c r="R337" t="s">
        <v>54</v>
      </c>
      <c r="S337" t="s">
        <v>432</v>
      </c>
      <c r="T337" t="s">
        <v>597</v>
      </c>
      <c r="U337">
        <v>0</v>
      </c>
      <c r="V337">
        <v>0</v>
      </c>
      <c r="W337" t="s">
        <v>52</v>
      </c>
      <c r="X337">
        <v>1.3304</v>
      </c>
      <c r="Y337">
        <v>1.3922000000000001</v>
      </c>
      <c r="Z337">
        <v>1.3922000000000001</v>
      </c>
      <c r="AA337">
        <v>1.3304</v>
      </c>
      <c r="AB337">
        <v>20</v>
      </c>
      <c r="AC337">
        <v>20.0001</v>
      </c>
      <c r="AD337">
        <v>18.802499999999998</v>
      </c>
      <c r="AE337">
        <v>18.802600000000002</v>
      </c>
      <c r="AF337" t="s">
        <v>183</v>
      </c>
      <c r="AG337" t="s">
        <v>183</v>
      </c>
      <c r="AH337" t="s">
        <v>3894</v>
      </c>
      <c r="AI337" t="s">
        <v>3894</v>
      </c>
      <c r="AJ337" t="s">
        <v>3895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3896</v>
      </c>
      <c r="AT337" t="s">
        <v>3890</v>
      </c>
      <c r="AU337" t="s">
        <v>3956</v>
      </c>
      <c r="AV337" t="s">
        <v>3898</v>
      </c>
      <c r="AW337">
        <v>2</v>
      </c>
      <c r="AX337">
        <v>0</v>
      </c>
    </row>
    <row r="338" spans="1:50" x14ac:dyDescent="0.25">
      <c r="A338" t="s">
        <v>4306</v>
      </c>
      <c r="B338" t="s">
        <v>3955</v>
      </c>
      <c r="C338" t="s">
        <v>3890</v>
      </c>
      <c r="D338">
        <v>29.510999999999999</v>
      </c>
      <c r="E338">
        <v>29.451000000000001</v>
      </c>
      <c r="F338" s="2">
        <v>3.0000000000000001E-3</v>
      </c>
      <c r="G338" t="s">
        <v>3415</v>
      </c>
      <c r="H338" t="s">
        <v>3418</v>
      </c>
      <c r="I338">
        <v>440330.42509999999</v>
      </c>
      <c r="J338">
        <v>1827384.5236</v>
      </c>
      <c r="K338">
        <v>440350.42509999999</v>
      </c>
      <c r="L338">
        <v>1827384.5236</v>
      </c>
      <c r="M338" t="s">
        <v>56</v>
      </c>
      <c r="N338" t="s">
        <v>57</v>
      </c>
      <c r="O338">
        <v>600</v>
      </c>
      <c r="P338" t="s">
        <v>109</v>
      </c>
      <c r="Q338" t="s">
        <v>3892</v>
      </c>
      <c r="R338" t="s">
        <v>54</v>
      </c>
      <c r="S338" t="s">
        <v>1444</v>
      </c>
      <c r="T338" t="s">
        <v>525</v>
      </c>
      <c r="U338">
        <v>0</v>
      </c>
      <c r="V338">
        <v>0</v>
      </c>
      <c r="W338" t="s">
        <v>52</v>
      </c>
      <c r="X338">
        <v>1.3308</v>
      </c>
      <c r="Y338">
        <v>1.3926000000000001</v>
      </c>
      <c r="Z338">
        <v>1.3926000000000001</v>
      </c>
      <c r="AA338">
        <v>1.3308</v>
      </c>
      <c r="AB338">
        <v>20</v>
      </c>
      <c r="AC338">
        <v>20.0001</v>
      </c>
      <c r="AD338">
        <v>18.802499999999998</v>
      </c>
      <c r="AE338">
        <v>18.802600000000002</v>
      </c>
      <c r="AF338" t="s">
        <v>183</v>
      </c>
      <c r="AG338" t="s">
        <v>183</v>
      </c>
      <c r="AH338" t="s">
        <v>3894</v>
      </c>
      <c r="AI338" t="s">
        <v>3894</v>
      </c>
      <c r="AJ338" t="s">
        <v>3895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3896</v>
      </c>
      <c r="AT338" t="s">
        <v>3890</v>
      </c>
      <c r="AU338" t="s">
        <v>3956</v>
      </c>
      <c r="AV338" t="s">
        <v>3898</v>
      </c>
      <c r="AW338">
        <v>2</v>
      </c>
      <c r="AX338">
        <v>0</v>
      </c>
    </row>
    <row r="339" spans="1:50" x14ac:dyDescent="0.25">
      <c r="A339" t="s">
        <v>4307</v>
      </c>
      <c r="B339" t="s">
        <v>3889</v>
      </c>
      <c r="C339" t="s">
        <v>3890</v>
      </c>
      <c r="D339">
        <v>30.626999999999999</v>
      </c>
      <c r="E339">
        <v>30.567</v>
      </c>
      <c r="F339" s="2">
        <v>3.0000000000000001E-3</v>
      </c>
      <c r="G339" t="s">
        <v>3266</v>
      </c>
      <c r="H339" t="s">
        <v>3269</v>
      </c>
      <c r="I339">
        <v>440270.42509999999</v>
      </c>
      <c r="J339">
        <v>1827384.5985999999</v>
      </c>
      <c r="K339">
        <v>440290.42509999999</v>
      </c>
      <c r="L339">
        <v>1827384.5985999999</v>
      </c>
      <c r="M339" t="s">
        <v>56</v>
      </c>
      <c r="N339" t="s">
        <v>57</v>
      </c>
      <c r="O339">
        <v>450</v>
      </c>
      <c r="P339" t="s">
        <v>3891</v>
      </c>
      <c r="Q339" t="s">
        <v>3892</v>
      </c>
      <c r="R339" t="s">
        <v>54</v>
      </c>
      <c r="S339" t="s">
        <v>1065</v>
      </c>
      <c r="T339" t="s">
        <v>1061</v>
      </c>
      <c r="U339">
        <v>7.4999999999999997E-2</v>
      </c>
      <c r="V339">
        <v>7.4999999999999997E-2</v>
      </c>
      <c r="W339" t="s">
        <v>52</v>
      </c>
      <c r="X339">
        <v>0.88160000000000005</v>
      </c>
      <c r="Y339">
        <v>0.94340000000000002</v>
      </c>
      <c r="Z339">
        <v>0.94340000000000002</v>
      </c>
      <c r="AA339">
        <v>0.88160000000000005</v>
      </c>
      <c r="AB339">
        <v>20</v>
      </c>
      <c r="AC339">
        <v>20.0001</v>
      </c>
      <c r="AD339">
        <v>18.802099999999999</v>
      </c>
      <c r="AE339">
        <v>18.802199999999999</v>
      </c>
      <c r="AF339" t="s">
        <v>183</v>
      </c>
      <c r="AG339" t="s">
        <v>183</v>
      </c>
      <c r="AH339" t="s">
        <v>3894</v>
      </c>
      <c r="AI339" t="s">
        <v>3894</v>
      </c>
      <c r="AJ339" t="s">
        <v>3895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3896</v>
      </c>
      <c r="AT339" t="s">
        <v>3890</v>
      </c>
      <c r="AU339" t="s">
        <v>3897</v>
      </c>
      <c r="AV339" t="s">
        <v>3898</v>
      </c>
      <c r="AW339">
        <v>2</v>
      </c>
      <c r="AX339">
        <v>0</v>
      </c>
    </row>
    <row r="340" spans="1:50" x14ac:dyDescent="0.25">
      <c r="A340" t="s">
        <v>4308</v>
      </c>
      <c r="B340" t="s">
        <v>3889</v>
      </c>
      <c r="C340" t="s">
        <v>3890</v>
      </c>
      <c r="D340">
        <v>30.748000000000001</v>
      </c>
      <c r="E340">
        <v>30.687999999999999</v>
      </c>
      <c r="F340" s="2">
        <v>3.0000000000000001E-3</v>
      </c>
      <c r="G340" t="s">
        <v>3263</v>
      </c>
      <c r="H340" t="s">
        <v>3266</v>
      </c>
      <c r="I340">
        <v>440250.42509999999</v>
      </c>
      <c r="J340">
        <v>1827384.5985999999</v>
      </c>
      <c r="K340">
        <v>440270.42509999999</v>
      </c>
      <c r="L340">
        <v>1827384.5985999999</v>
      </c>
      <c r="M340" t="s">
        <v>56</v>
      </c>
      <c r="N340" t="s">
        <v>57</v>
      </c>
      <c r="O340">
        <v>450</v>
      </c>
      <c r="P340" t="s">
        <v>3891</v>
      </c>
      <c r="Q340" t="s">
        <v>3892</v>
      </c>
      <c r="R340" t="s">
        <v>54</v>
      </c>
      <c r="S340" t="s">
        <v>1457</v>
      </c>
      <c r="T340" t="s">
        <v>1065</v>
      </c>
      <c r="U340">
        <v>7.4999999999999997E-2</v>
      </c>
      <c r="V340">
        <v>7.4999999999999997E-2</v>
      </c>
      <c r="W340" t="s">
        <v>52</v>
      </c>
      <c r="X340">
        <v>0.88239999999999996</v>
      </c>
      <c r="Y340">
        <v>0.94420000000000004</v>
      </c>
      <c r="Z340">
        <v>0.94420000000000004</v>
      </c>
      <c r="AA340">
        <v>0.88239999999999996</v>
      </c>
      <c r="AB340">
        <v>20</v>
      </c>
      <c r="AC340">
        <v>20.0001</v>
      </c>
      <c r="AD340">
        <v>18.802099999999999</v>
      </c>
      <c r="AE340">
        <v>18.802199999999999</v>
      </c>
      <c r="AF340" t="s">
        <v>183</v>
      </c>
      <c r="AG340" t="s">
        <v>183</v>
      </c>
      <c r="AH340" t="s">
        <v>3894</v>
      </c>
      <c r="AI340" t="s">
        <v>3894</v>
      </c>
      <c r="AJ340" t="s">
        <v>3895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3896</v>
      </c>
      <c r="AT340" t="s">
        <v>3890</v>
      </c>
      <c r="AU340" t="s">
        <v>3897</v>
      </c>
      <c r="AV340" t="s">
        <v>3898</v>
      </c>
      <c r="AW340">
        <v>2</v>
      </c>
      <c r="AX340">
        <v>0</v>
      </c>
    </row>
    <row r="341" spans="1:50" x14ac:dyDescent="0.25">
      <c r="A341" t="s">
        <v>4309</v>
      </c>
      <c r="B341" t="s">
        <v>3889</v>
      </c>
      <c r="C341" t="s">
        <v>3890</v>
      </c>
      <c r="D341">
        <v>29.768000000000001</v>
      </c>
      <c r="E341">
        <v>29.707999999999998</v>
      </c>
      <c r="F341" s="2">
        <v>3.0000000000000001E-3</v>
      </c>
      <c r="G341" t="s">
        <v>3096</v>
      </c>
      <c r="H341" t="s">
        <v>3100</v>
      </c>
      <c r="I341">
        <v>440364.1496</v>
      </c>
      <c r="J341">
        <v>1827374.8986</v>
      </c>
      <c r="K341">
        <v>440384.1496</v>
      </c>
      <c r="L341">
        <v>1827374.8986</v>
      </c>
      <c r="M341" t="s">
        <v>56</v>
      </c>
      <c r="N341" t="s">
        <v>57</v>
      </c>
      <c r="O341">
        <v>450</v>
      </c>
      <c r="P341" t="s">
        <v>3891</v>
      </c>
      <c r="Q341" t="s">
        <v>3892</v>
      </c>
      <c r="R341" t="s">
        <v>3089</v>
      </c>
      <c r="S341" t="s">
        <v>3098</v>
      </c>
      <c r="T341" t="s">
        <v>3102</v>
      </c>
      <c r="U341">
        <v>-0.27500000000000002</v>
      </c>
      <c r="V341">
        <v>-0.27500000000000002</v>
      </c>
      <c r="W341" t="s">
        <v>52</v>
      </c>
      <c r="X341">
        <v>1.17</v>
      </c>
      <c r="Y341">
        <v>1.2318</v>
      </c>
      <c r="Z341">
        <v>1.2318</v>
      </c>
      <c r="AA341">
        <v>1.17</v>
      </c>
      <c r="AB341">
        <v>20</v>
      </c>
      <c r="AC341">
        <v>20.0001</v>
      </c>
      <c r="AD341">
        <v>18.802099999999999</v>
      </c>
      <c r="AE341">
        <v>18.802199999999999</v>
      </c>
      <c r="AF341" t="s">
        <v>183</v>
      </c>
      <c r="AG341" t="s">
        <v>183</v>
      </c>
      <c r="AH341" t="s">
        <v>3894</v>
      </c>
      <c r="AI341" t="s">
        <v>3894</v>
      </c>
      <c r="AJ341" t="s">
        <v>3895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3896</v>
      </c>
      <c r="AT341" t="s">
        <v>3890</v>
      </c>
      <c r="AU341" t="s">
        <v>3897</v>
      </c>
      <c r="AV341" t="s">
        <v>3898</v>
      </c>
      <c r="AW341">
        <v>2</v>
      </c>
      <c r="AX341">
        <v>0</v>
      </c>
    </row>
    <row r="342" spans="1:50" x14ac:dyDescent="0.25">
      <c r="A342" t="s">
        <v>4310</v>
      </c>
      <c r="B342" t="s">
        <v>4004</v>
      </c>
      <c r="C342" t="s">
        <v>3890</v>
      </c>
      <c r="D342">
        <v>28.152000000000001</v>
      </c>
      <c r="E342">
        <v>28.091999999999999</v>
      </c>
      <c r="F342" s="2">
        <v>3.0000000000000001E-3</v>
      </c>
      <c r="G342" t="s">
        <v>3027</v>
      </c>
      <c r="H342" t="s">
        <v>3030</v>
      </c>
      <c r="I342">
        <v>440570.4252</v>
      </c>
      <c r="J342">
        <v>1827703.7145</v>
      </c>
      <c r="K342">
        <v>440590.42509999999</v>
      </c>
      <c r="L342">
        <v>1827703.7145</v>
      </c>
      <c r="M342" t="s">
        <v>56</v>
      </c>
      <c r="N342" t="s">
        <v>57</v>
      </c>
      <c r="O342">
        <v>600</v>
      </c>
      <c r="P342" t="s">
        <v>58</v>
      </c>
      <c r="Q342" t="s">
        <v>3892</v>
      </c>
      <c r="R342" t="s">
        <v>1056</v>
      </c>
      <c r="S342" t="s">
        <v>452</v>
      </c>
      <c r="T342" t="s">
        <v>774</v>
      </c>
      <c r="U342">
        <v>0</v>
      </c>
      <c r="V342">
        <v>0</v>
      </c>
      <c r="W342" t="s">
        <v>52</v>
      </c>
      <c r="X342">
        <v>0.87039999999999995</v>
      </c>
      <c r="Y342">
        <v>0.9083</v>
      </c>
      <c r="Z342">
        <v>0.90029999999999999</v>
      </c>
      <c r="AA342">
        <v>0.88080000000000003</v>
      </c>
      <c r="AB342">
        <v>19.9999</v>
      </c>
      <c r="AC342">
        <v>20</v>
      </c>
      <c r="AD342">
        <v>18.802499999999998</v>
      </c>
      <c r="AE342">
        <v>18.802600000000002</v>
      </c>
      <c r="AF342" t="s">
        <v>183</v>
      </c>
      <c r="AG342" t="s">
        <v>183</v>
      </c>
      <c r="AH342" t="s">
        <v>3894</v>
      </c>
      <c r="AI342" t="s">
        <v>3894</v>
      </c>
      <c r="AJ342" t="s">
        <v>3895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3896</v>
      </c>
      <c r="AT342" t="s">
        <v>3890</v>
      </c>
      <c r="AU342" t="s">
        <v>4006</v>
      </c>
      <c r="AV342" t="s">
        <v>3898</v>
      </c>
      <c r="AW342">
        <v>2</v>
      </c>
      <c r="AX342">
        <v>0</v>
      </c>
    </row>
    <row r="343" spans="1:50" x14ac:dyDescent="0.25">
      <c r="A343" t="s">
        <v>4311</v>
      </c>
      <c r="B343" t="s">
        <v>3889</v>
      </c>
      <c r="C343" t="s">
        <v>3890</v>
      </c>
      <c r="D343">
        <v>31.864999999999998</v>
      </c>
      <c r="E343">
        <v>31.805</v>
      </c>
      <c r="F343" s="2">
        <v>3.0000000000000001E-3</v>
      </c>
      <c r="G343" t="s">
        <v>1880</v>
      </c>
      <c r="H343" t="s">
        <v>1883</v>
      </c>
      <c r="I343">
        <v>440068.22489999997</v>
      </c>
      <c r="J343">
        <v>1827864.4741</v>
      </c>
      <c r="K343">
        <v>440088.22489999997</v>
      </c>
      <c r="L343">
        <v>1827864.4741</v>
      </c>
      <c r="M343" t="s">
        <v>56</v>
      </c>
      <c r="N343" t="s">
        <v>57</v>
      </c>
      <c r="O343">
        <v>450</v>
      </c>
      <c r="P343" t="s">
        <v>3891</v>
      </c>
      <c r="Q343" t="s">
        <v>3892</v>
      </c>
      <c r="R343" t="s">
        <v>1289</v>
      </c>
      <c r="S343" t="s">
        <v>428</v>
      </c>
      <c r="T343" t="s">
        <v>432</v>
      </c>
      <c r="U343">
        <v>-1.6000000000000001E-3</v>
      </c>
      <c r="V343">
        <v>-1.6000000000000001E-3</v>
      </c>
      <c r="W343" t="s">
        <v>52</v>
      </c>
      <c r="X343">
        <v>0.88170000000000004</v>
      </c>
      <c r="Y343">
        <v>0.93</v>
      </c>
      <c r="Z343">
        <v>0.93</v>
      </c>
      <c r="AA343">
        <v>0.88170000000000004</v>
      </c>
      <c r="AB343">
        <v>20</v>
      </c>
      <c r="AC343">
        <v>20.0001</v>
      </c>
      <c r="AD343">
        <v>18.802099999999999</v>
      </c>
      <c r="AE343">
        <v>18.802199999999999</v>
      </c>
      <c r="AF343" t="s">
        <v>183</v>
      </c>
      <c r="AG343" t="s">
        <v>183</v>
      </c>
      <c r="AH343" t="s">
        <v>3894</v>
      </c>
      <c r="AI343" t="s">
        <v>3894</v>
      </c>
      <c r="AJ343" t="s">
        <v>3895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3896</v>
      </c>
      <c r="AT343" t="s">
        <v>3890</v>
      </c>
      <c r="AU343" t="s">
        <v>3897</v>
      </c>
      <c r="AV343" t="s">
        <v>3898</v>
      </c>
      <c r="AW343">
        <v>2</v>
      </c>
      <c r="AX343">
        <v>0</v>
      </c>
    </row>
    <row r="344" spans="1:50" x14ac:dyDescent="0.25">
      <c r="A344" t="s">
        <v>4312</v>
      </c>
      <c r="B344" t="s">
        <v>3889</v>
      </c>
      <c r="C344" t="s">
        <v>3890</v>
      </c>
      <c r="D344">
        <v>31.972999999999999</v>
      </c>
      <c r="E344">
        <v>31.913</v>
      </c>
      <c r="F344" s="2">
        <v>3.0000000000000001E-3</v>
      </c>
      <c r="G344" t="s">
        <v>1877</v>
      </c>
      <c r="H344" t="s">
        <v>1880</v>
      </c>
      <c r="I344">
        <v>440048.22489999997</v>
      </c>
      <c r="J344">
        <v>1827864.4741</v>
      </c>
      <c r="K344">
        <v>440068.22489999997</v>
      </c>
      <c r="L344">
        <v>1827864.4741</v>
      </c>
      <c r="M344" t="s">
        <v>56</v>
      </c>
      <c r="N344" t="s">
        <v>57</v>
      </c>
      <c r="O344">
        <v>450</v>
      </c>
      <c r="P344" t="s">
        <v>3891</v>
      </c>
      <c r="Q344" t="s">
        <v>3892</v>
      </c>
      <c r="R344" t="s">
        <v>1289</v>
      </c>
      <c r="S344" t="s">
        <v>424</v>
      </c>
      <c r="T344" t="s">
        <v>428</v>
      </c>
      <c r="U344">
        <v>-1.6000000000000001E-3</v>
      </c>
      <c r="V344">
        <v>-1.6000000000000001E-3</v>
      </c>
      <c r="W344" t="s">
        <v>52</v>
      </c>
      <c r="X344">
        <v>0.88200000000000001</v>
      </c>
      <c r="Y344">
        <v>0.93030000000000002</v>
      </c>
      <c r="Z344">
        <v>0.93030000000000002</v>
      </c>
      <c r="AA344">
        <v>0.88200000000000001</v>
      </c>
      <c r="AB344">
        <v>20</v>
      </c>
      <c r="AC344">
        <v>20.0001</v>
      </c>
      <c r="AD344">
        <v>18.802099999999999</v>
      </c>
      <c r="AE344">
        <v>18.802199999999999</v>
      </c>
      <c r="AF344" t="s">
        <v>183</v>
      </c>
      <c r="AG344" t="s">
        <v>183</v>
      </c>
      <c r="AH344" t="s">
        <v>3894</v>
      </c>
      <c r="AI344" t="s">
        <v>3894</v>
      </c>
      <c r="AJ344" t="s">
        <v>3895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3896</v>
      </c>
      <c r="AT344" t="s">
        <v>3890</v>
      </c>
      <c r="AU344" t="s">
        <v>3897</v>
      </c>
      <c r="AV344" t="s">
        <v>3898</v>
      </c>
      <c r="AW344">
        <v>2</v>
      </c>
      <c r="AX344">
        <v>0</v>
      </c>
    </row>
    <row r="345" spans="1:50" x14ac:dyDescent="0.25">
      <c r="A345" t="s">
        <v>4313</v>
      </c>
      <c r="B345" t="s">
        <v>3889</v>
      </c>
      <c r="C345" t="s">
        <v>3890</v>
      </c>
      <c r="D345">
        <v>32.334000000000003</v>
      </c>
      <c r="E345">
        <v>32.274000000000001</v>
      </c>
      <c r="F345" s="2">
        <v>3.0000000000000001E-3</v>
      </c>
      <c r="G345" t="s">
        <v>1867</v>
      </c>
      <c r="H345" t="s">
        <v>1870</v>
      </c>
      <c r="I345">
        <v>439988.22489999997</v>
      </c>
      <c r="J345">
        <v>1827864.4741</v>
      </c>
      <c r="K345">
        <v>440008.1482</v>
      </c>
      <c r="L345">
        <v>1827864.4741</v>
      </c>
      <c r="M345" t="s">
        <v>56</v>
      </c>
      <c r="N345" t="s">
        <v>57</v>
      </c>
      <c r="O345">
        <v>450</v>
      </c>
      <c r="P345" t="s">
        <v>3891</v>
      </c>
      <c r="Q345" t="s">
        <v>3892</v>
      </c>
      <c r="R345" t="s">
        <v>1289</v>
      </c>
      <c r="S345" t="s">
        <v>529</v>
      </c>
      <c r="T345" t="s">
        <v>1872</v>
      </c>
      <c r="U345">
        <v>-1.6000000000000001E-3</v>
      </c>
      <c r="V345">
        <v>-1.6000000000000001E-3</v>
      </c>
      <c r="W345" t="s">
        <v>52</v>
      </c>
      <c r="X345">
        <v>0.88249999999999995</v>
      </c>
      <c r="Y345">
        <v>0.99570000000000003</v>
      </c>
      <c r="Z345">
        <v>0.99570000000000003</v>
      </c>
      <c r="AA345">
        <v>0.88249999999999995</v>
      </c>
      <c r="AB345">
        <v>19.923300000000001</v>
      </c>
      <c r="AC345">
        <v>19.923400000000001</v>
      </c>
      <c r="AD345">
        <v>18.7254</v>
      </c>
      <c r="AE345">
        <v>18.7255</v>
      </c>
      <c r="AF345" t="s">
        <v>183</v>
      </c>
      <c r="AG345" t="s">
        <v>183</v>
      </c>
      <c r="AH345" t="s">
        <v>3894</v>
      </c>
      <c r="AI345" t="s">
        <v>3894</v>
      </c>
      <c r="AJ345" t="s">
        <v>3895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3896</v>
      </c>
      <c r="AT345" t="s">
        <v>3890</v>
      </c>
      <c r="AU345" t="s">
        <v>3897</v>
      </c>
      <c r="AV345" t="s">
        <v>3898</v>
      </c>
      <c r="AW345">
        <v>2</v>
      </c>
      <c r="AX345">
        <v>0</v>
      </c>
    </row>
    <row r="346" spans="1:50" x14ac:dyDescent="0.25">
      <c r="A346" t="s">
        <v>4314</v>
      </c>
      <c r="B346" t="s">
        <v>3889</v>
      </c>
      <c r="C346" t="s">
        <v>3890</v>
      </c>
      <c r="D346">
        <v>32.334000000000003</v>
      </c>
      <c r="E346">
        <v>32.274000000000001</v>
      </c>
      <c r="F346" s="2">
        <v>3.0000000000000001E-3</v>
      </c>
      <c r="G346" t="s">
        <v>1897</v>
      </c>
      <c r="H346" t="s">
        <v>1900</v>
      </c>
      <c r="I346">
        <v>439988.22489999997</v>
      </c>
      <c r="J346">
        <v>1827853.3740999999</v>
      </c>
      <c r="K346">
        <v>440008.22489999997</v>
      </c>
      <c r="L346">
        <v>1827853.3740999999</v>
      </c>
      <c r="M346" t="s">
        <v>56</v>
      </c>
      <c r="N346" t="s">
        <v>57</v>
      </c>
      <c r="O346">
        <v>450</v>
      </c>
      <c r="P346" t="s">
        <v>3891</v>
      </c>
      <c r="Q346" t="s">
        <v>3892</v>
      </c>
      <c r="R346" t="s">
        <v>227</v>
      </c>
      <c r="S346" t="s">
        <v>1899</v>
      </c>
      <c r="T346" t="s">
        <v>329</v>
      </c>
      <c r="U346">
        <v>0</v>
      </c>
      <c r="V346">
        <v>0</v>
      </c>
      <c r="W346" t="s">
        <v>52</v>
      </c>
      <c r="X346">
        <v>0.88190000000000002</v>
      </c>
      <c r="Y346">
        <v>0.99570000000000003</v>
      </c>
      <c r="Z346">
        <v>0.99570000000000003</v>
      </c>
      <c r="AA346">
        <v>0.88190000000000002</v>
      </c>
      <c r="AB346">
        <v>20</v>
      </c>
      <c r="AC346">
        <v>20.0001</v>
      </c>
      <c r="AD346">
        <v>18.802099999999999</v>
      </c>
      <c r="AE346">
        <v>18.802199999999999</v>
      </c>
      <c r="AF346" t="s">
        <v>183</v>
      </c>
      <c r="AG346" t="s">
        <v>183</v>
      </c>
      <c r="AH346" t="s">
        <v>3894</v>
      </c>
      <c r="AI346" t="s">
        <v>3894</v>
      </c>
      <c r="AJ346" t="s">
        <v>3895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3896</v>
      </c>
      <c r="AT346" t="s">
        <v>3890</v>
      </c>
      <c r="AU346" t="s">
        <v>3897</v>
      </c>
      <c r="AV346" t="s">
        <v>3898</v>
      </c>
      <c r="AW346">
        <v>2</v>
      </c>
      <c r="AX346">
        <v>0</v>
      </c>
    </row>
    <row r="347" spans="1:50" x14ac:dyDescent="0.25">
      <c r="A347" t="s">
        <v>4315</v>
      </c>
      <c r="B347" t="s">
        <v>3928</v>
      </c>
      <c r="C347" t="s">
        <v>3890</v>
      </c>
      <c r="D347">
        <v>30.22</v>
      </c>
      <c r="E347">
        <v>30.16</v>
      </c>
      <c r="F347" s="2">
        <v>3.0000000000000001E-3</v>
      </c>
      <c r="G347" t="s">
        <v>1615</v>
      </c>
      <c r="H347" t="s">
        <v>1619</v>
      </c>
      <c r="I347">
        <v>439992.3334</v>
      </c>
      <c r="J347">
        <v>1827550.2588</v>
      </c>
      <c r="K347">
        <v>440012.3334</v>
      </c>
      <c r="L347">
        <v>1827550.2588</v>
      </c>
      <c r="M347" t="s">
        <v>56</v>
      </c>
      <c r="N347" t="s">
        <v>57</v>
      </c>
      <c r="O347">
        <v>900</v>
      </c>
      <c r="P347" t="s">
        <v>3929</v>
      </c>
      <c r="Q347" t="s">
        <v>3930</v>
      </c>
      <c r="R347" t="s">
        <v>132</v>
      </c>
      <c r="S347" t="s">
        <v>1617</v>
      </c>
      <c r="T347" t="s">
        <v>1621</v>
      </c>
      <c r="U347">
        <v>-0.05</v>
      </c>
      <c r="V347">
        <v>-0.05</v>
      </c>
      <c r="W347" t="s">
        <v>52</v>
      </c>
      <c r="X347">
        <v>1.2533000000000001</v>
      </c>
      <c r="Y347">
        <v>1.3070999999999999</v>
      </c>
      <c r="Z347">
        <v>1.3070999999999999</v>
      </c>
      <c r="AA347">
        <v>1.2533000000000001</v>
      </c>
      <c r="AB347">
        <v>20</v>
      </c>
      <c r="AC347">
        <v>20.0001</v>
      </c>
      <c r="AD347">
        <v>18.803699999999999</v>
      </c>
      <c r="AE347">
        <v>18.803799999999999</v>
      </c>
      <c r="AF347" t="s">
        <v>3920</v>
      </c>
      <c r="AG347" t="s">
        <v>3920</v>
      </c>
      <c r="AH347" t="s">
        <v>3894</v>
      </c>
      <c r="AI347" t="s">
        <v>3894</v>
      </c>
      <c r="AJ347" t="s">
        <v>3895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3896</v>
      </c>
      <c r="AT347" t="s">
        <v>3890</v>
      </c>
      <c r="AU347" t="s">
        <v>3931</v>
      </c>
      <c r="AV347" t="s">
        <v>3898</v>
      </c>
      <c r="AW347">
        <v>2</v>
      </c>
      <c r="AX347">
        <v>0</v>
      </c>
    </row>
    <row r="348" spans="1:50" x14ac:dyDescent="0.25">
      <c r="A348" t="s">
        <v>4316</v>
      </c>
      <c r="B348" t="s">
        <v>3996</v>
      </c>
      <c r="C348" t="s">
        <v>3890</v>
      </c>
      <c r="D348">
        <v>27.23</v>
      </c>
      <c r="E348">
        <v>27.206</v>
      </c>
      <c r="F348" s="2">
        <v>1E-3</v>
      </c>
      <c r="G348" t="s">
        <v>3727</v>
      </c>
      <c r="H348" t="s">
        <v>3731</v>
      </c>
      <c r="I348">
        <v>440342.80849999998</v>
      </c>
      <c r="J348">
        <v>1827549.9775</v>
      </c>
      <c r="K348">
        <v>440366.30469999998</v>
      </c>
      <c r="L348">
        <v>1827549.9820999999</v>
      </c>
      <c r="M348" t="s">
        <v>56</v>
      </c>
      <c r="N348" t="s">
        <v>57</v>
      </c>
      <c r="O348">
        <v>1350</v>
      </c>
      <c r="P348" t="s">
        <v>3997</v>
      </c>
      <c r="Q348" t="s">
        <v>3998</v>
      </c>
      <c r="R348" t="s">
        <v>180</v>
      </c>
      <c r="S348" t="s">
        <v>3729</v>
      </c>
      <c r="T348" t="s">
        <v>3733</v>
      </c>
      <c r="U348">
        <v>-0.55630000000000002</v>
      </c>
      <c r="V348">
        <v>-0.55169999999999997</v>
      </c>
      <c r="W348" t="s">
        <v>52</v>
      </c>
      <c r="X348">
        <v>1.7105999999999999</v>
      </c>
      <c r="Y348">
        <v>1.8168</v>
      </c>
      <c r="Z348">
        <v>1.8168</v>
      </c>
      <c r="AA348">
        <v>1.7105999999999999</v>
      </c>
      <c r="AB348">
        <v>23.496200000000002</v>
      </c>
      <c r="AC348">
        <v>23.496200000000002</v>
      </c>
      <c r="AD348">
        <v>22.298100000000002</v>
      </c>
      <c r="AE348">
        <v>22.298100000000002</v>
      </c>
      <c r="AF348" t="s">
        <v>4317</v>
      </c>
      <c r="AG348" t="s">
        <v>4317</v>
      </c>
      <c r="AH348" t="s">
        <v>3894</v>
      </c>
      <c r="AI348" t="s">
        <v>3894</v>
      </c>
      <c r="AJ348" t="s">
        <v>3895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3896</v>
      </c>
      <c r="AT348" t="s">
        <v>3890</v>
      </c>
      <c r="AU348" t="s">
        <v>4000</v>
      </c>
      <c r="AV348" t="s">
        <v>3898</v>
      </c>
      <c r="AW348">
        <v>2</v>
      </c>
      <c r="AX348">
        <v>0</v>
      </c>
    </row>
    <row r="349" spans="1:50" x14ac:dyDescent="0.25">
      <c r="A349" t="s">
        <v>3469</v>
      </c>
      <c r="B349" t="s">
        <v>3889</v>
      </c>
      <c r="C349" t="s">
        <v>3890</v>
      </c>
      <c r="D349">
        <v>29.939</v>
      </c>
      <c r="E349">
        <v>29.879000000000001</v>
      </c>
      <c r="F349" s="2">
        <v>3.0000000000000001E-3</v>
      </c>
      <c r="G349" t="s">
        <v>3468</v>
      </c>
      <c r="H349" t="s">
        <v>3471</v>
      </c>
      <c r="I349">
        <v>440350.42509999999</v>
      </c>
      <c r="J349">
        <v>1827425.1986</v>
      </c>
      <c r="K349">
        <v>440370.42509999999</v>
      </c>
      <c r="L349">
        <v>1827425.1986</v>
      </c>
      <c r="M349" t="s">
        <v>56</v>
      </c>
      <c r="N349" t="s">
        <v>57</v>
      </c>
      <c r="O349">
        <v>450</v>
      </c>
      <c r="P349" t="s">
        <v>3891</v>
      </c>
      <c r="Q349" t="s">
        <v>3892</v>
      </c>
      <c r="R349" t="s">
        <v>80</v>
      </c>
      <c r="S349" t="s">
        <v>525</v>
      </c>
      <c r="T349" t="s">
        <v>529</v>
      </c>
      <c r="U349">
        <v>5.1999999999999998E-3</v>
      </c>
      <c r="V349">
        <v>-1.2999999999999999E-3</v>
      </c>
      <c r="W349" t="s">
        <v>52</v>
      </c>
      <c r="X349">
        <v>0.8821</v>
      </c>
      <c r="Y349">
        <v>0.94950000000000001</v>
      </c>
      <c r="Z349">
        <v>0.94950000000000001</v>
      </c>
      <c r="AA349">
        <v>0.8821</v>
      </c>
      <c r="AB349">
        <v>20</v>
      </c>
      <c r="AC349">
        <v>20.0001</v>
      </c>
      <c r="AD349">
        <v>18.802099999999999</v>
      </c>
      <c r="AE349">
        <v>18.802199999999999</v>
      </c>
      <c r="AF349" t="s">
        <v>183</v>
      </c>
      <c r="AG349" t="s">
        <v>183</v>
      </c>
      <c r="AH349" t="s">
        <v>3894</v>
      </c>
      <c r="AI349" t="s">
        <v>3894</v>
      </c>
      <c r="AJ349" t="s">
        <v>3895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3896</v>
      </c>
      <c r="AT349" t="s">
        <v>3890</v>
      </c>
      <c r="AU349" t="s">
        <v>3897</v>
      </c>
      <c r="AV349" t="s">
        <v>3898</v>
      </c>
      <c r="AW349">
        <v>2</v>
      </c>
      <c r="AX349">
        <v>0</v>
      </c>
    </row>
    <row r="350" spans="1:50" x14ac:dyDescent="0.25">
      <c r="A350" t="s">
        <v>3475</v>
      </c>
      <c r="B350" t="s">
        <v>3889</v>
      </c>
      <c r="C350" t="s">
        <v>3890</v>
      </c>
      <c r="D350">
        <v>29.939</v>
      </c>
      <c r="E350">
        <v>29.879000000000001</v>
      </c>
      <c r="F350" s="2">
        <v>3.0000000000000001E-3</v>
      </c>
      <c r="G350" t="s">
        <v>3474</v>
      </c>
      <c r="H350" t="s">
        <v>3476</v>
      </c>
      <c r="I350">
        <v>440350.42509999999</v>
      </c>
      <c r="J350">
        <v>1827415.4986</v>
      </c>
      <c r="K350">
        <v>440370.42509999999</v>
      </c>
      <c r="L350">
        <v>1827415.4986</v>
      </c>
      <c r="M350" t="s">
        <v>56</v>
      </c>
      <c r="N350" t="s">
        <v>57</v>
      </c>
      <c r="O350">
        <v>450</v>
      </c>
      <c r="P350" t="s">
        <v>3891</v>
      </c>
      <c r="Q350" t="s">
        <v>3892</v>
      </c>
      <c r="R350" t="s">
        <v>85</v>
      </c>
      <c r="S350" t="s">
        <v>525</v>
      </c>
      <c r="T350" t="s">
        <v>529</v>
      </c>
      <c r="U350">
        <v>-0.1019</v>
      </c>
      <c r="V350">
        <v>-9.98E-2</v>
      </c>
      <c r="W350" t="s">
        <v>52</v>
      </c>
      <c r="X350">
        <v>0.8821</v>
      </c>
      <c r="Y350">
        <v>0.94950000000000001</v>
      </c>
      <c r="Z350">
        <v>0.94950000000000001</v>
      </c>
      <c r="AA350">
        <v>0.8821</v>
      </c>
      <c r="AB350">
        <v>20</v>
      </c>
      <c r="AC350">
        <v>20.0001</v>
      </c>
      <c r="AD350">
        <v>18.802099999999999</v>
      </c>
      <c r="AE350">
        <v>18.802199999999999</v>
      </c>
      <c r="AF350" t="s">
        <v>183</v>
      </c>
      <c r="AG350" t="s">
        <v>183</v>
      </c>
      <c r="AH350" t="s">
        <v>3894</v>
      </c>
      <c r="AI350" t="s">
        <v>3894</v>
      </c>
      <c r="AJ350" t="s">
        <v>3895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3896</v>
      </c>
      <c r="AT350" t="s">
        <v>3890</v>
      </c>
      <c r="AU350" t="s">
        <v>3897</v>
      </c>
      <c r="AV350" t="s">
        <v>3898</v>
      </c>
      <c r="AW350">
        <v>2</v>
      </c>
      <c r="AX350">
        <v>0</v>
      </c>
    </row>
    <row r="351" spans="1:50" x14ac:dyDescent="0.25">
      <c r="A351" t="s">
        <v>4318</v>
      </c>
      <c r="B351" t="s">
        <v>3947</v>
      </c>
      <c r="C351" t="s">
        <v>3890</v>
      </c>
      <c r="D351">
        <v>28.122</v>
      </c>
      <c r="E351">
        <v>28.102</v>
      </c>
      <c r="F351" s="2">
        <v>1E-3</v>
      </c>
      <c r="G351" t="s">
        <v>1029</v>
      </c>
      <c r="H351" t="s">
        <v>3497</v>
      </c>
      <c r="I351">
        <v>440347.46</v>
      </c>
      <c r="J351">
        <v>1827531.7849999999</v>
      </c>
      <c r="K351">
        <v>440367.74329999997</v>
      </c>
      <c r="L351">
        <v>1827531.7864000001</v>
      </c>
      <c r="M351" t="s">
        <v>56</v>
      </c>
      <c r="N351" t="s">
        <v>57</v>
      </c>
      <c r="O351">
        <v>1050</v>
      </c>
      <c r="P351" t="s">
        <v>3918</v>
      </c>
      <c r="Q351" t="s">
        <v>3930</v>
      </c>
      <c r="R351" t="s">
        <v>141</v>
      </c>
      <c r="S351" t="s">
        <v>1031</v>
      </c>
      <c r="T351" t="s">
        <v>3499</v>
      </c>
      <c r="U351">
        <v>0.2346</v>
      </c>
      <c r="V351">
        <v>0.2359</v>
      </c>
      <c r="W351" t="s">
        <v>52</v>
      </c>
      <c r="X351">
        <v>1.4605999999999999</v>
      </c>
      <c r="Y351">
        <v>1.5530999999999999</v>
      </c>
      <c r="Z351">
        <v>1.5530999999999999</v>
      </c>
      <c r="AA351">
        <v>1.4605999999999999</v>
      </c>
      <c r="AB351">
        <v>20.283200000000001</v>
      </c>
      <c r="AC351">
        <v>20.283300000000001</v>
      </c>
      <c r="AD351">
        <v>19.084599999999998</v>
      </c>
      <c r="AE351">
        <v>19.084599999999998</v>
      </c>
      <c r="AF351" t="s">
        <v>4319</v>
      </c>
      <c r="AG351" t="s">
        <v>4319</v>
      </c>
      <c r="AH351" t="s">
        <v>3894</v>
      </c>
      <c r="AI351" t="s">
        <v>3894</v>
      </c>
      <c r="AJ351" t="s">
        <v>3895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3896</v>
      </c>
      <c r="AT351" t="s">
        <v>3890</v>
      </c>
      <c r="AU351" t="s">
        <v>3950</v>
      </c>
      <c r="AV351" t="s">
        <v>3898</v>
      </c>
      <c r="AW351">
        <v>2</v>
      </c>
      <c r="AX351">
        <v>0</v>
      </c>
    </row>
    <row r="352" spans="1:50" x14ac:dyDescent="0.25">
      <c r="A352" t="s">
        <v>3530</v>
      </c>
      <c r="B352" t="s">
        <v>3889</v>
      </c>
      <c r="C352" t="s">
        <v>3890</v>
      </c>
      <c r="D352">
        <v>29.556999999999999</v>
      </c>
      <c r="E352">
        <v>29.497</v>
      </c>
      <c r="F352" s="2">
        <v>3.0000000000000001E-3</v>
      </c>
      <c r="G352" t="s">
        <v>3529</v>
      </c>
      <c r="H352" t="s">
        <v>3532</v>
      </c>
      <c r="I352">
        <v>440410.42509999999</v>
      </c>
      <c r="J352">
        <v>1827425.1986</v>
      </c>
      <c r="K352">
        <v>440430.42509999999</v>
      </c>
      <c r="L352">
        <v>1827425.1986</v>
      </c>
      <c r="M352" t="s">
        <v>56</v>
      </c>
      <c r="N352" t="s">
        <v>57</v>
      </c>
      <c r="O352">
        <v>450</v>
      </c>
      <c r="P352" t="s">
        <v>3891</v>
      </c>
      <c r="Q352" t="s">
        <v>3892</v>
      </c>
      <c r="R352" t="s">
        <v>80</v>
      </c>
      <c r="S352" t="s">
        <v>420</v>
      </c>
      <c r="T352" t="s">
        <v>424</v>
      </c>
      <c r="U352">
        <v>-1.44E-2</v>
      </c>
      <c r="V352">
        <v>-2.1000000000000001E-2</v>
      </c>
      <c r="W352" t="s">
        <v>52</v>
      </c>
      <c r="X352">
        <v>0.88200000000000001</v>
      </c>
      <c r="Y352">
        <v>0.94940000000000002</v>
      </c>
      <c r="Z352">
        <v>0.94940000000000002</v>
      </c>
      <c r="AA352">
        <v>0.88200000000000001</v>
      </c>
      <c r="AB352">
        <v>20</v>
      </c>
      <c r="AC352">
        <v>20.0001</v>
      </c>
      <c r="AD352">
        <v>18.802099999999999</v>
      </c>
      <c r="AE352">
        <v>18.802199999999999</v>
      </c>
      <c r="AF352" t="s">
        <v>183</v>
      </c>
      <c r="AG352" t="s">
        <v>183</v>
      </c>
      <c r="AH352" t="s">
        <v>3894</v>
      </c>
      <c r="AI352" t="s">
        <v>3894</v>
      </c>
      <c r="AJ352" t="s">
        <v>3895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3896</v>
      </c>
      <c r="AT352" t="s">
        <v>3890</v>
      </c>
      <c r="AU352" t="s">
        <v>3897</v>
      </c>
      <c r="AV352" t="s">
        <v>3898</v>
      </c>
      <c r="AW352">
        <v>2</v>
      </c>
      <c r="AX352">
        <v>0</v>
      </c>
    </row>
    <row r="353" spans="1:50" x14ac:dyDescent="0.25">
      <c r="A353" t="s">
        <v>3536</v>
      </c>
      <c r="B353" t="s">
        <v>3889</v>
      </c>
      <c r="C353" t="s">
        <v>3890</v>
      </c>
      <c r="D353">
        <v>29.556999999999999</v>
      </c>
      <c r="E353">
        <v>29.497</v>
      </c>
      <c r="F353" s="2">
        <v>3.0000000000000001E-3</v>
      </c>
      <c r="G353" t="s">
        <v>3535</v>
      </c>
      <c r="H353" t="s">
        <v>3537</v>
      </c>
      <c r="I353">
        <v>440410.42509999999</v>
      </c>
      <c r="J353">
        <v>1827415.4986</v>
      </c>
      <c r="K353">
        <v>440430.42509999999</v>
      </c>
      <c r="L353">
        <v>1827415.4986</v>
      </c>
      <c r="M353" t="s">
        <v>56</v>
      </c>
      <c r="N353" t="s">
        <v>57</v>
      </c>
      <c r="O353">
        <v>450</v>
      </c>
      <c r="P353" t="s">
        <v>3891</v>
      </c>
      <c r="Q353" t="s">
        <v>3892</v>
      </c>
      <c r="R353" t="s">
        <v>85</v>
      </c>
      <c r="S353" s="1" t="s">
        <v>420</v>
      </c>
      <c r="T353" t="s">
        <v>424</v>
      </c>
      <c r="U353">
        <v>-9.5399999999999999E-2</v>
      </c>
      <c r="V353">
        <v>-9.3200000000000005E-2</v>
      </c>
      <c r="W353" t="s">
        <v>52</v>
      </c>
      <c r="X353">
        <v>0.88200000000000001</v>
      </c>
      <c r="Y353">
        <v>0.94940000000000002</v>
      </c>
      <c r="Z353">
        <v>0.94940000000000002</v>
      </c>
      <c r="AA353">
        <v>0.88200000000000001</v>
      </c>
      <c r="AB353">
        <v>20</v>
      </c>
      <c r="AC353">
        <v>20.0001</v>
      </c>
      <c r="AD353">
        <v>18.802099999999999</v>
      </c>
      <c r="AE353">
        <v>18.802199999999999</v>
      </c>
      <c r="AF353" t="s">
        <v>183</v>
      </c>
      <c r="AG353" t="s">
        <v>183</v>
      </c>
      <c r="AH353" t="s">
        <v>3894</v>
      </c>
      <c r="AI353" t="s">
        <v>3894</v>
      </c>
      <c r="AJ353" t="s">
        <v>3895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3896</v>
      </c>
      <c r="AT353" t="s">
        <v>3890</v>
      </c>
      <c r="AU353" t="s">
        <v>3897</v>
      </c>
      <c r="AV353" t="s">
        <v>3898</v>
      </c>
      <c r="AW353">
        <v>2</v>
      </c>
      <c r="AX353">
        <v>0</v>
      </c>
    </row>
    <row r="354" spans="1:50" x14ac:dyDescent="0.25">
      <c r="A354" t="s">
        <v>3594</v>
      </c>
      <c r="B354" t="s">
        <v>3889</v>
      </c>
      <c r="C354" t="s">
        <v>3890</v>
      </c>
      <c r="D354">
        <v>29.175000000000001</v>
      </c>
      <c r="E354">
        <v>29.114999999999998</v>
      </c>
      <c r="F354" s="2">
        <v>3.0000000000000001E-3</v>
      </c>
      <c r="G354" t="s">
        <v>3593</v>
      </c>
      <c r="H354" t="s">
        <v>3596</v>
      </c>
      <c r="I354">
        <v>440470.42509999999</v>
      </c>
      <c r="J354">
        <v>1827425.1986</v>
      </c>
      <c r="K354">
        <v>440490.42509999999</v>
      </c>
      <c r="L354">
        <v>1827425.1986</v>
      </c>
      <c r="M354" t="s">
        <v>56</v>
      </c>
      <c r="N354" t="s">
        <v>57</v>
      </c>
      <c r="O354">
        <v>450</v>
      </c>
      <c r="P354" t="s">
        <v>3891</v>
      </c>
      <c r="Q354" t="s">
        <v>3892</v>
      </c>
      <c r="R354" t="s">
        <v>80</v>
      </c>
      <c r="S354" t="s">
        <v>432</v>
      </c>
      <c r="T354" t="s">
        <v>597</v>
      </c>
      <c r="U354">
        <v>-3.4000000000000002E-2</v>
      </c>
      <c r="V354">
        <v>-4.0599999999999997E-2</v>
      </c>
      <c r="W354" t="s">
        <v>52</v>
      </c>
      <c r="X354">
        <v>0.88190000000000002</v>
      </c>
      <c r="Y354">
        <v>0.98580000000000001</v>
      </c>
      <c r="Z354">
        <v>0.98529999999999995</v>
      </c>
      <c r="AA354">
        <v>0.88190000000000002</v>
      </c>
      <c r="AB354">
        <v>20</v>
      </c>
      <c r="AC354">
        <v>20.0001</v>
      </c>
      <c r="AD354">
        <v>18.802099999999999</v>
      </c>
      <c r="AE354">
        <v>18.802199999999999</v>
      </c>
      <c r="AF354" t="s">
        <v>2299</v>
      </c>
      <c r="AG354" t="s">
        <v>2299</v>
      </c>
      <c r="AH354" t="s">
        <v>3894</v>
      </c>
      <c r="AI354" t="s">
        <v>3894</v>
      </c>
      <c r="AJ354" t="s">
        <v>3895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3896</v>
      </c>
      <c r="AT354" t="s">
        <v>3890</v>
      </c>
      <c r="AU354" t="s">
        <v>3897</v>
      </c>
      <c r="AV354" t="s">
        <v>3898</v>
      </c>
      <c r="AW354">
        <v>2</v>
      </c>
      <c r="AX354">
        <v>0</v>
      </c>
    </row>
    <row r="355" spans="1:50" x14ac:dyDescent="0.25">
      <c r="A355" t="s">
        <v>3582</v>
      </c>
      <c r="B355" t="s">
        <v>3889</v>
      </c>
      <c r="C355" t="s">
        <v>3890</v>
      </c>
      <c r="D355">
        <v>29.175000000000001</v>
      </c>
      <c r="E355">
        <v>29.114999999999998</v>
      </c>
      <c r="F355" s="2">
        <v>3.0000000000000001E-3</v>
      </c>
      <c r="G355" t="s">
        <v>3581</v>
      </c>
      <c r="H355" t="s">
        <v>3584</v>
      </c>
      <c r="I355">
        <v>440470.42509999999</v>
      </c>
      <c r="J355">
        <v>1827415.4986</v>
      </c>
      <c r="K355">
        <v>440490.42509999999</v>
      </c>
      <c r="L355">
        <v>1827415.4986</v>
      </c>
      <c r="M355" t="s">
        <v>56</v>
      </c>
      <c r="N355" t="s">
        <v>57</v>
      </c>
      <c r="O355">
        <v>450</v>
      </c>
      <c r="P355" t="s">
        <v>3891</v>
      </c>
      <c r="Q355" t="s">
        <v>3892</v>
      </c>
      <c r="R355" t="s">
        <v>85</v>
      </c>
      <c r="S355" t="s">
        <v>432</v>
      </c>
      <c r="T355" t="s">
        <v>597</v>
      </c>
      <c r="U355">
        <v>-8.8900000000000007E-2</v>
      </c>
      <c r="V355">
        <v>-8.6699999999999999E-2</v>
      </c>
      <c r="W355" t="s">
        <v>52</v>
      </c>
      <c r="X355">
        <v>0.88190000000000002</v>
      </c>
      <c r="Y355">
        <v>0.94930000000000003</v>
      </c>
      <c r="Z355">
        <v>0.94930000000000003</v>
      </c>
      <c r="AA355">
        <v>0.88190000000000002</v>
      </c>
      <c r="AB355">
        <v>20</v>
      </c>
      <c r="AC355">
        <v>20.0001</v>
      </c>
      <c r="AD355">
        <v>18.802099999999999</v>
      </c>
      <c r="AE355">
        <v>18.802199999999999</v>
      </c>
      <c r="AF355" t="s">
        <v>2299</v>
      </c>
      <c r="AG355" t="s">
        <v>2299</v>
      </c>
      <c r="AH355" t="s">
        <v>3894</v>
      </c>
      <c r="AI355" t="s">
        <v>3894</v>
      </c>
      <c r="AJ355" t="s">
        <v>3895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3896</v>
      </c>
      <c r="AT355" t="s">
        <v>3890</v>
      </c>
      <c r="AU355" t="s">
        <v>3897</v>
      </c>
      <c r="AV355" t="s">
        <v>3898</v>
      </c>
      <c r="AW355">
        <v>2</v>
      </c>
      <c r="AX355">
        <v>0</v>
      </c>
    </row>
    <row r="356" spans="1:50" x14ac:dyDescent="0.25">
      <c r="A356" t="s">
        <v>4320</v>
      </c>
      <c r="B356" t="s">
        <v>3955</v>
      </c>
      <c r="C356" t="s">
        <v>3890</v>
      </c>
      <c r="D356">
        <v>28.172000000000001</v>
      </c>
      <c r="E356">
        <v>28.111999999999998</v>
      </c>
      <c r="F356" s="2">
        <v>3.0000000000000001E-3</v>
      </c>
      <c r="G356" t="s">
        <v>3446</v>
      </c>
      <c r="H356" t="s">
        <v>3449</v>
      </c>
      <c r="I356">
        <v>440550.42509999999</v>
      </c>
      <c r="J356">
        <v>1827384.5236</v>
      </c>
      <c r="K356">
        <v>440570.42509999999</v>
      </c>
      <c r="L356">
        <v>1827384.5236</v>
      </c>
      <c r="M356" t="s">
        <v>56</v>
      </c>
      <c r="N356" t="s">
        <v>57</v>
      </c>
      <c r="O356">
        <v>600</v>
      </c>
      <c r="P356" t="s">
        <v>109</v>
      </c>
      <c r="Q356" t="s">
        <v>3892</v>
      </c>
      <c r="R356" t="s">
        <v>54</v>
      </c>
      <c r="S356" t="s">
        <v>448</v>
      </c>
      <c r="T356" t="s">
        <v>452</v>
      </c>
      <c r="U356">
        <v>0</v>
      </c>
      <c r="V356">
        <v>0</v>
      </c>
      <c r="W356" t="s">
        <v>52</v>
      </c>
      <c r="X356">
        <v>1.3303</v>
      </c>
      <c r="Y356">
        <v>1.3919999999999999</v>
      </c>
      <c r="Z356">
        <v>1.3919999999999999</v>
      </c>
      <c r="AA356">
        <v>1.3303</v>
      </c>
      <c r="AB356">
        <v>20</v>
      </c>
      <c r="AC356">
        <v>20.0001</v>
      </c>
      <c r="AD356">
        <v>18.802499999999998</v>
      </c>
      <c r="AE356">
        <v>18.802600000000002</v>
      </c>
      <c r="AF356" t="s">
        <v>183</v>
      </c>
      <c r="AG356" t="s">
        <v>183</v>
      </c>
      <c r="AH356" t="s">
        <v>3894</v>
      </c>
      <c r="AI356" t="s">
        <v>3894</v>
      </c>
      <c r="AJ356" t="s">
        <v>3895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3896</v>
      </c>
      <c r="AT356" t="s">
        <v>3890</v>
      </c>
      <c r="AU356" t="s">
        <v>3956</v>
      </c>
      <c r="AV356" t="s">
        <v>3898</v>
      </c>
      <c r="AW356">
        <v>2</v>
      </c>
      <c r="AX356">
        <v>0</v>
      </c>
    </row>
    <row r="357" spans="1:50" x14ac:dyDescent="0.25">
      <c r="A357" t="s">
        <v>4321</v>
      </c>
      <c r="B357" t="s">
        <v>3955</v>
      </c>
      <c r="C357" t="s">
        <v>3890</v>
      </c>
      <c r="D357">
        <v>28.414999999999999</v>
      </c>
      <c r="E357">
        <v>28.355</v>
      </c>
      <c r="F357" s="2">
        <v>3.0000000000000001E-3</v>
      </c>
      <c r="G357" t="s">
        <v>3440</v>
      </c>
      <c r="H357" t="s">
        <v>3443</v>
      </c>
      <c r="I357">
        <v>440510.42509999999</v>
      </c>
      <c r="J357">
        <v>1827384.5236</v>
      </c>
      <c r="K357">
        <v>440530.42509999999</v>
      </c>
      <c r="L357">
        <v>1827384.5236</v>
      </c>
      <c r="M357" t="s">
        <v>56</v>
      </c>
      <c r="N357" t="s">
        <v>57</v>
      </c>
      <c r="O357">
        <v>600</v>
      </c>
      <c r="P357" t="s">
        <v>109</v>
      </c>
      <c r="Q357" t="s">
        <v>3892</v>
      </c>
      <c r="R357" t="s">
        <v>54</v>
      </c>
      <c r="S357" t="s">
        <v>440</v>
      </c>
      <c r="T357" t="s">
        <v>444</v>
      </c>
      <c r="U357">
        <v>0</v>
      </c>
      <c r="V357">
        <v>0</v>
      </c>
      <c r="W357" t="s">
        <v>52</v>
      </c>
      <c r="X357">
        <v>1.3308</v>
      </c>
      <c r="Y357">
        <v>1.3926000000000001</v>
      </c>
      <c r="Z357">
        <v>1.3926000000000001</v>
      </c>
      <c r="AA357">
        <v>1.3308</v>
      </c>
      <c r="AB357">
        <v>20</v>
      </c>
      <c r="AC357">
        <v>20.0001</v>
      </c>
      <c r="AD357">
        <v>18.802499999999998</v>
      </c>
      <c r="AE357">
        <v>18.802600000000002</v>
      </c>
      <c r="AF357" t="s">
        <v>183</v>
      </c>
      <c r="AG357" t="s">
        <v>183</v>
      </c>
      <c r="AH357" t="s">
        <v>3894</v>
      </c>
      <c r="AI357" t="s">
        <v>3894</v>
      </c>
      <c r="AJ357" t="s">
        <v>3895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3896</v>
      </c>
      <c r="AT357" t="s">
        <v>3890</v>
      </c>
      <c r="AU357" t="s">
        <v>3956</v>
      </c>
      <c r="AV357" t="s">
        <v>3898</v>
      </c>
      <c r="AW357">
        <v>2</v>
      </c>
      <c r="AX357">
        <v>0</v>
      </c>
    </row>
    <row r="358" spans="1:50" x14ac:dyDescent="0.25">
      <c r="A358" t="s">
        <v>4322</v>
      </c>
      <c r="B358" t="s">
        <v>3955</v>
      </c>
      <c r="C358" t="s">
        <v>3890</v>
      </c>
      <c r="D358">
        <v>28.902000000000001</v>
      </c>
      <c r="E358">
        <v>28.841999999999999</v>
      </c>
      <c r="F358" s="2">
        <v>3.0000000000000001E-3</v>
      </c>
      <c r="G358" t="s">
        <v>3428</v>
      </c>
      <c r="H358" t="s">
        <v>3431</v>
      </c>
      <c r="I358">
        <v>440430.42509999999</v>
      </c>
      <c r="J358">
        <v>1827384.5236</v>
      </c>
      <c r="K358">
        <v>440450.42509999999</v>
      </c>
      <c r="L358">
        <v>1827384.5236</v>
      </c>
      <c r="M358" t="s">
        <v>56</v>
      </c>
      <c r="N358" t="s">
        <v>57</v>
      </c>
      <c r="O358">
        <v>600</v>
      </c>
      <c r="P358" t="s">
        <v>109</v>
      </c>
      <c r="Q358" t="s">
        <v>3892</v>
      </c>
      <c r="R358" t="s">
        <v>54</v>
      </c>
      <c r="S358" t="s">
        <v>424</v>
      </c>
      <c r="T358" t="s">
        <v>428</v>
      </c>
      <c r="U358">
        <v>0</v>
      </c>
      <c r="V358">
        <v>0</v>
      </c>
      <c r="W358" t="s">
        <v>52</v>
      </c>
      <c r="X358">
        <v>1.3309</v>
      </c>
      <c r="Y358">
        <v>1.3927</v>
      </c>
      <c r="Z358">
        <v>1.3927</v>
      </c>
      <c r="AA358">
        <v>1.3309</v>
      </c>
      <c r="AB358">
        <v>20</v>
      </c>
      <c r="AC358">
        <v>20.0001</v>
      </c>
      <c r="AD358">
        <v>18.802499999999998</v>
      </c>
      <c r="AE358">
        <v>18.802600000000002</v>
      </c>
      <c r="AF358" t="s">
        <v>183</v>
      </c>
      <c r="AG358" t="s">
        <v>183</v>
      </c>
      <c r="AH358" t="s">
        <v>3894</v>
      </c>
      <c r="AI358" t="s">
        <v>3894</v>
      </c>
      <c r="AJ358" t="s">
        <v>3895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3896</v>
      </c>
      <c r="AT358" t="s">
        <v>3890</v>
      </c>
      <c r="AU358" t="s">
        <v>3956</v>
      </c>
      <c r="AV358" t="s">
        <v>3898</v>
      </c>
      <c r="AW358">
        <v>2</v>
      </c>
      <c r="AX358">
        <v>0</v>
      </c>
    </row>
    <row r="359" spans="1:50" x14ac:dyDescent="0.25">
      <c r="A359" t="s">
        <v>4323</v>
      </c>
      <c r="B359" t="s">
        <v>3955</v>
      </c>
      <c r="C359" t="s">
        <v>3890</v>
      </c>
      <c r="D359">
        <v>29.024000000000001</v>
      </c>
      <c r="E359">
        <v>28.963999999999999</v>
      </c>
      <c r="F359" s="2">
        <v>3.0000000000000001E-3</v>
      </c>
      <c r="G359" t="s">
        <v>3425</v>
      </c>
      <c r="H359" t="s">
        <v>3428</v>
      </c>
      <c r="I359">
        <v>440410.42509999999</v>
      </c>
      <c r="J359">
        <v>1827384.5236</v>
      </c>
      <c r="K359">
        <v>440430.42509999999</v>
      </c>
      <c r="L359">
        <v>1827384.5236</v>
      </c>
      <c r="M359" t="s">
        <v>56</v>
      </c>
      <c r="N359" t="s">
        <v>57</v>
      </c>
      <c r="O359">
        <v>600</v>
      </c>
      <c r="P359" t="s">
        <v>109</v>
      </c>
      <c r="Q359" t="s">
        <v>3892</v>
      </c>
      <c r="R359" t="s">
        <v>54</v>
      </c>
      <c r="S359" t="s">
        <v>420</v>
      </c>
      <c r="T359" t="s">
        <v>424</v>
      </c>
      <c r="U359">
        <v>0</v>
      </c>
      <c r="V359">
        <v>0</v>
      </c>
      <c r="W359" t="s">
        <v>52</v>
      </c>
      <c r="X359">
        <v>1.3307</v>
      </c>
      <c r="Y359">
        <v>1.3925000000000001</v>
      </c>
      <c r="Z359">
        <v>1.3925000000000001</v>
      </c>
      <c r="AA359">
        <v>1.3307</v>
      </c>
      <c r="AB359">
        <v>20</v>
      </c>
      <c r="AC359">
        <v>20.0001</v>
      </c>
      <c r="AD359">
        <v>18.802499999999998</v>
      </c>
      <c r="AE359">
        <v>18.802600000000002</v>
      </c>
      <c r="AF359" t="s">
        <v>183</v>
      </c>
      <c r="AG359" t="s">
        <v>183</v>
      </c>
      <c r="AH359" t="s">
        <v>3894</v>
      </c>
      <c r="AI359" t="s">
        <v>3894</v>
      </c>
      <c r="AJ359" t="s">
        <v>3895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3896</v>
      </c>
      <c r="AT359" t="s">
        <v>3890</v>
      </c>
      <c r="AU359" t="s">
        <v>3956</v>
      </c>
      <c r="AV359" t="s">
        <v>3898</v>
      </c>
      <c r="AW359">
        <v>2</v>
      </c>
      <c r="AX359">
        <v>0</v>
      </c>
    </row>
    <row r="360" spans="1:50" x14ac:dyDescent="0.25">
      <c r="A360" t="s">
        <v>4324</v>
      </c>
      <c r="B360" t="s">
        <v>4004</v>
      </c>
      <c r="C360" t="s">
        <v>3890</v>
      </c>
      <c r="D360">
        <v>30.32</v>
      </c>
      <c r="E360">
        <v>30.3</v>
      </c>
      <c r="F360" s="2">
        <v>1E-3</v>
      </c>
      <c r="G360" t="s">
        <v>3344</v>
      </c>
      <c r="H360" t="s">
        <v>3347</v>
      </c>
      <c r="I360">
        <v>440210.42509999999</v>
      </c>
      <c r="J360">
        <v>1827374.9735999999</v>
      </c>
      <c r="K360">
        <v>440230.42509999999</v>
      </c>
      <c r="L360">
        <v>1827374.9735999999</v>
      </c>
      <c r="M360" t="s">
        <v>56</v>
      </c>
      <c r="N360" t="s">
        <v>57</v>
      </c>
      <c r="O360">
        <v>600</v>
      </c>
      <c r="P360" t="s">
        <v>58</v>
      </c>
      <c r="Q360" t="s">
        <v>3892</v>
      </c>
      <c r="R360" t="s">
        <v>3089</v>
      </c>
      <c r="S360" t="s">
        <v>849</v>
      </c>
      <c r="T360" t="s">
        <v>853</v>
      </c>
      <c r="U360">
        <v>-0.2</v>
      </c>
      <c r="V360">
        <v>-0.2</v>
      </c>
      <c r="W360" t="s">
        <v>52</v>
      </c>
      <c r="X360">
        <v>1.3625</v>
      </c>
      <c r="Y360">
        <v>1.4642999999999999</v>
      </c>
      <c r="Z360">
        <v>1.4642999999999999</v>
      </c>
      <c r="AA360">
        <v>1.3625</v>
      </c>
      <c r="AB360">
        <v>20</v>
      </c>
      <c r="AC360">
        <v>20</v>
      </c>
      <c r="AD360">
        <v>18.800799999999999</v>
      </c>
      <c r="AE360">
        <v>18.800899999999999</v>
      </c>
      <c r="AF360" t="s">
        <v>183</v>
      </c>
      <c r="AG360" t="s">
        <v>183</v>
      </c>
      <c r="AH360" t="s">
        <v>3894</v>
      </c>
      <c r="AI360" t="s">
        <v>3894</v>
      </c>
      <c r="AJ360" t="s">
        <v>3895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3896</v>
      </c>
      <c r="AT360" t="s">
        <v>3890</v>
      </c>
      <c r="AU360" t="s">
        <v>4006</v>
      </c>
      <c r="AV360" t="s">
        <v>3898</v>
      </c>
      <c r="AW360">
        <v>2</v>
      </c>
      <c r="AX360">
        <v>0</v>
      </c>
    </row>
    <row r="361" spans="1:50" x14ac:dyDescent="0.25">
      <c r="A361" t="s">
        <v>4325</v>
      </c>
      <c r="B361" t="s">
        <v>3889</v>
      </c>
      <c r="C361" t="s">
        <v>3890</v>
      </c>
      <c r="D361">
        <v>29.524000000000001</v>
      </c>
      <c r="E361">
        <v>29.463999999999999</v>
      </c>
      <c r="F361" s="2">
        <v>3.0000000000000001E-3</v>
      </c>
      <c r="G361" t="s">
        <v>3104</v>
      </c>
      <c r="H361" t="s">
        <v>3108</v>
      </c>
      <c r="I361">
        <v>440404.1496</v>
      </c>
      <c r="J361">
        <v>1827374.8986</v>
      </c>
      <c r="K361">
        <v>440424.1496</v>
      </c>
      <c r="L361">
        <v>1827374.8986</v>
      </c>
      <c r="M361" t="s">
        <v>56</v>
      </c>
      <c r="N361" t="s">
        <v>57</v>
      </c>
      <c r="O361">
        <v>450</v>
      </c>
      <c r="P361" t="s">
        <v>3891</v>
      </c>
      <c r="Q361" t="s">
        <v>3892</v>
      </c>
      <c r="R361" t="s">
        <v>3089</v>
      </c>
      <c r="S361" t="s">
        <v>3106</v>
      </c>
      <c r="T361" t="s">
        <v>3110</v>
      </c>
      <c r="U361">
        <v>-0.27500000000000002</v>
      </c>
      <c r="V361">
        <v>-0.27500000000000002</v>
      </c>
      <c r="W361" t="s">
        <v>52</v>
      </c>
      <c r="X361">
        <v>1.1704000000000001</v>
      </c>
      <c r="Y361">
        <v>1.2322</v>
      </c>
      <c r="Z361">
        <v>1.2322</v>
      </c>
      <c r="AA361">
        <v>1.1704000000000001</v>
      </c>
      <c r="AB361">
        <v>20</v>
      </c>
      <c r="AC361">
        <v>20.0001</v>
      </c>
      <c r="AD361">
        <v>18.802099999999999</v>
      </c>
      <c r="AE361">
        <v>18.802199999999999</v>
      </c>
      <c r="AF361" t="s">
        <v>183</v>
      </c>
      <c r="AG361" t="s">
        <v>183</v>
      </c>
      <c r="AH361" t="s">
        <v>3894</v>
      </c>
      <c r="AI361" t="s">
        <v>3894</v>
      </c>
      <c r="AJ361" t="s">
        <v>3895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3896</v>
      </c>
      <c r="AT361" t="s">
        <v>3890</v>
      </c>
      <c r="AU361" t="s">
        <v>3897</v>
      </c>
      <c r="AV361" t="s">
        <v>3898</v>
      </c>
      <c r="AW361">
        <v>2</v>
      </c>
      <c r="AX361">
        <v>0</v>
      </c>
    </row>
    <row r="362" spans="1:50" x14ac:dyDescent="0.25">
      <c r="A362" t="s">
        <v>4326</v>
      </c>
      <c r="B362" t="s">
        <v>3889</v>
      </c>
      <c r="C362" t="s">
        <v>3890</v>
      </c>
      <c r="D362">
        <v>29.888999999999999</v>
      </c>
      <c r="E362">
        <v>29.83</v>
      </c>
      <c r="F362" s="2">
        <v>3.0000000000000001E-3</v>
      </c>
      <c r="G362" t="s">
        <v>3092</v>
      </c>
      <c r="H362" t="s">
        <v>3096</v>
      </c>
      <c r="I362">
        <v>440344.1496</v>
      </c>
      <c r="J362">
        <v>1827374.8986</v>
      </c>
      <c r="K362">
        <v>440364.1496</v>
      </c>
      <c r="L362">
        <v>1827374.8986</v>
      </c>
      <c r="M362" t="s">
        <v>56</v>
      </c>
      <c r="N362" t="s">
        <v>57</v>
      </c>
      <c r="O362">
        <v>450</v>
      </c>
      <c r="P362" t="s">
        <v>3891</v>
      </c>
      <c r="Q362" t="s">
        <v>3892</v>
      </c>
      <c r="R362" t="s">
        <v>3089</v>
      </c>
      <c r="S362" t="s">
        <v>3094</v>
      </c>
      <c r="T362" t="s">
        <v>3098</v>
      </c>
      <c r="U362">
        <v>-0.27500000000000002</v>
      </c>
      <c r="V362">
        <v>-0.27500000000000002</v>
      </c>
      <c r="W362" t="s">
        <v>52</v>
      </c>
      <c r="X362">
        <v>1.1698</v>
      </c>
      <c r="Y362">
        <v>1.2324999999999999</v>
      </c>
      <c r="Z362">
        <v>1.2324999999999999</v>
      </c>
      <c r="AA362">
        <v>1.1698</v>
      </c>
      <c r="AB362">
        <v>20</v>
      </c>
      <c r="AC362">
        <v>20.0001</v>
      </c>
      <c r="AD362">
        <v>18.802099999999999</v>
      </c>
      <c r="AE362">
        <v>18.802099999999999</v>
      </c>
      <c r="AF362" t="s">
        <v>183</v>
      </c>
      <c r="AG362" t="s">
        <v>183</v>
      </c>
      <c r="AH362" t="s">
        <v>3894</v>
      </c>
      <c r="AI362" t="s">
        <v>3894</v>
      </c>
      <c r="AJ362" t="s">
        <v>3895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3896</v>
      </c>
      <c r="AT362" t="s">
        <v>3890</v>
      </c>
      <c r="AU362" t="s">
        <v>3897</v>
      </c>
      <c r="AV362" t="s">
        <v>3898</v>
      </c>
      <c r="AW362">
        <v>2</v>
      </c>
      <c r="AX362">
        <v>0</v>
      </c>
    </row>
    <row r="363" spans="1:50" x14ac:dyDescent="0.25">
      <c r="A363" t="s">
        <v>4327</v>
      </c>
      <c r="B363" t="s">
        <v>4004</v>
      </c>
      <c r="C363" t="s">
        <v>3890</v>
      </c>
      <c r="D363">
        <v>28.489000000000001</v>
      </c>
      <c r="E363">
        <v>28.428999999999998</v>
      </c>
      <c r="F363" s="2">
        <v>3.0000000000000001E-3</v>
      </c>
      <c r="G363" t="s">
        <v>3006</v>
      </c>
      <c r="H363" t="s">
        <v>3009</v>
      </c>
      <c r="I363">
        <v>440430.4252</v>
      </c>
      <c r="J363">
        <v>1827703.7145</v>
      </c>
      <c r="K363">
        <v>440450.4252</v>
      </c>
      <c r="L363">
        <v>1827703.7145</v>
      </c>
      <c r="M363" t="s">
        <v>56</v>
      </c>
      <c r="N363" t="s">
        <v>57</v>
      </c>
      <c r="O363">
        <v>600</v>
      </c>
      <c r="P363" t="s">
        <v>58</v>
      </c>
      <c r="Q363" t="s">
        <v>3892</v>
      </c>
      <c r="R363" t="s">
        <v>1056</v>
      </c>
      <c r="S363" t="s">
        <v>424</v>
      </c>
      <c r="T363" t="s">
        <v>428</v>
      </c>
      <c r="U363">
        <v>0</v>
      </c>
      <c r="V363">
        <v>0</v>
      </c>
      <c r="W363" t="s">
        <v>52</v>
      </c>
      <c r="X363">
        <v>0.88070000000000004</v>
      </c>
      <c r="Y363">
        <v>0.89859999999999995</v>
      </c>
      <c r="Z363">
        <v>0.89859999999999995</v>
      </c>
      <c r="AA363">
        <v>0.88070000000000004</v>
      </c>
      <c r="AB363">
        <v>20</v>
      </c>
      <c r="AC363">
        <v>20.0001</v>
      </c>
      <c r="AD363">
        <v>18.802499999999998</v>
      </c>
      <c r="AE363">
        <v>18.802600000000002</v>
      </c>
      <c r="AF363" t="s">
        <v>183</v>
      </c>
      <c r="AG363" t="s">
        <v>183</v>
      </c>
      <c r="AH363" t="s">
        <v>3894</v>
      </c>
      <c r="AI363" t="s">
        <v>3894</v>
      </c>
      <c r="AJ363" t="s">
        <v>3895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3896</v>
      </c>
      <c r="AT363" t="s">
        <v>3890</v>
      </c>
      <c r="AU363" t="s">
        <v>4006</v>
      </c>
      <c r="AV363" t="s">
        <v>3898</v>
      </c>
      <c r="AW363">
        <v>2</v>
      </c>
      <c r="AX363">
        <v>0</v>
      </c>
    </row>
    <row r="364" spans="1:50" x14ac:dyDescent="0.25">
      <c r="A364" t="s">
        <v>2963</v>
      </c>
      <c r="B364" t="s">
        <v>3889</v>
      </c>
      <c r="C364" t="s">
        <v>3890</v>
      </c>
      <c r="D364">
        <v>29.079000000000001</v>
      </c>
      <c r="E364">
        <v>29.018999999999998</v>
      </c>
      <c r="F364" s="2">
        <v>3.0000000000000001E-3</v>
      </c>
      <c r="G364" t="s">
        <v>2962</v>
      </c>
      <c r="H364" t="s">
        <v>2964</v>
      </c>
      <c r="I364">
        <v>440350.4252</v>
      </c>
      <c r="J364">
        <v>1827703.7895</v>
      </c>
      <c r="K364">
        <v>440370.4252</v>
      </c>
      <c r="L364">
        <v>1827703.7895</v>
      </c>
      <c r="M364" t="s">
        <v>56</v>
      </c>
      <c r="N364" t="s">
        <v>57</v>
      </c>
      <c r="O364">
        <v>450</v>
      </c>
      <c r="P364" t="s">
        <v>3891</v>
      </c>
      <c r="Q364" t="s">
        <v>3892</v>
      </c>
      <c r="R364" t="s">
        <v>1056</v>
      </c>
      <c r="S364" t="s">
        <v>525</v>
      </c>
      <c r="T364" t="s">
        <v>529</v>
      </c>
      <c r="U364">
        <v>7.4999999999999997E-2</v>
      </c>
      <c r="V364">
        <v>7.4999999999999997E-2</v>
      </c>
      <c r="W364" t="s">
        <v>52</v>
      </c>
      <c r="X364">
        <v>0.88200000000000001</v>
      </c>
      <c r="Y364">
        <v>0.98460000000000003</v>
      </c>
      <c r="Z364">
        <v>0.98460000000000003</v>
      </c>
      <c r="AA364">
        <v>0.88200000000000001</v>
      </c>
      <c r="AB364">
        <v>20</v>
      </c>
      <c r="AC364">
        <v>20.0001</v>
      </c>
      <c r="AD364">
        <v>18.802099999999999</v>
      </c>
      <c r="AE364">
        <v>18.802199999999999</v>
      </c>
      <c r="AF364" t="s">
        <v>183</v>
      </c>
      <c r="AG364" t="s">
        <v>183</v>
      </c>
      <c r="AH364" t="s">
        <v>3894</v>
      </c>
      <c r="AI364" t="s">
        <v>3894</v>
      </c>
      <c r="AJ364" t="s">
        <v>3895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3896</v>
      </c>
      <c r="AT364" t="s">
        <v>3890</v>
      </c>
      <c r="AU364" t="s">
        <v>3897</v>
      </c>
      <c r="AV364" t="s">
        <v>3898</v>
      </c>
      <c r="AW364">
        <v>2</v>
      </c>
      <c r="AX364">
        <v>0</v>
      </c>
    </row>
    <row r="365" spans="1:50" x14ac:dyDescent="0.25">
      <c r="A365" t="s">
        <v>2881</v>
      </c>
      <c r="B365" t="s">
        <v>3889</v>
      </c>
      <c r="C365" t="s">
        <v>3890</v>
      </c>
      <c r="D365">
        <v>29.079000000000001</v>
      </c>
      <c r="E365">
        <v>29.018999999999998</v>
      </c>
      <c r="F365" s="2">
        <v>3.0000000000000001E-3</v>
      </c>
      <c r="G365" t="s">
        <v>2880</v>
      </c>
      <c r="H365" t="s">
        <v>2884</v>
      </c>
      <c r="I365">
        <v>440350.4252</v>
      </c>
      <c r="J365">
        <v>1827692.6895000001</v>
      </c>
      <c r="K365">
        <v>440370.4252</v>
      </c>
      <c r="L365">
        <v>1827692.6895000001</v>
      </c>
      <c r="M365" t="s">
        <v>56</v>
      </c>
      <c r="N365" t="s">
        <v>57</v>
      </c>
      <c r="O365">
        <v>450</v>
      </c>
      <c r="P365" t="s">
        <v>3891</v>
      </c>
      <c r="Q365" t="s">
        <v>3892</v>
      </c>
      <c r="R365" t="s">
        <v>1112</v>
      </c>
      <c r="S365" t="s">
        <v>2882</v>
      </c>
      <c r="T365" t="s">
        <v>2886</v>
      </c>
      <c r="U365">
        <v>-0.14199999999999999</v>
      </c>
      <c r="V365">
        <v>-0.1371</v>
      </c>
      <c r="W365" t="s">
        <v>52</v>
      </c>
      <c r="X365">
        <v>0.88200000000000001</v>
      </c>
      <c r="Y365">
        <v>0.98460000000000003</v>
      </c>
      <c r="Z365">
        <v>0.98460000000000003</v>
      </c>
      <c r="AA365">
        <v>0.88200000000000001</v>
      </c>
      <c r="AB365">
        <v>20</v>
      </c>
      <c r="AC365">
        <v>20.0001</v>
      </c>
      <c r="AD365">
        <v>18.802099999999999</v>
      </c>
      <c r="AE365">
        <v>18.802199999999999</v>
      </c>
      <c r="AF365" t="s">
        <v>183</v>
      </c>
      <c r="AG365" t="s">
        <v>183</v>
      </c>
      <c r="AH365" t="s">
        <v>3894</v>
      </c>
      <c r="AI365" t="s">
        <v>3894</v>
      </c>
      <c r="AJ365" t="s">
        <v>3895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3896</v>
      </c>
      <c r="AT365" t="s">
        <v>3890</v>
      </c>
      <c r="AU365" t="s">
        <v>3897</v>
      </c>
      <c r="AV365" t="s">
        <v>3898</v>
      </c>
      <c r="AW365">
        <v>2</v>
      </c>
      <c r="AX365">
        <v>0</v>
      </c>
    </row>
    <row r="366" spans="1:50" x14ac:dyDescent="0.25">
      <c r="A366" t="s">
        <v>2690</v>
      </c>
      <c r="B366" t="s">
        <v>3889</v>
      </c>
      <c r="C366" t="s">
        <v>3890</v>
      </c>
      <c r="D366">
        <v>29.265000000000001</v>
      </c>
      <c r="E366">
        <v>29.204999999999998</v>
      </c>
      <c r="F366" s="2">
        <v>3.0000000000000001E-3</v>
      </c>
      <c r="G366" t="s">
        <v>2689</v>
      </c>
      <c r="H366" t="s">
        <v>2692</v>
      </c>
      <c r="I366">
        <v>440410.42509999999</v>
      </c>
      <c r="J366">
        <v>1827768.9757000001</v>
      </c>
      <c r="K366">
        <v>440430.42509999999</v>
      </c>
      <c r="L366">
        <v>1827768.9757000001</v>
      </c>
      <c r="M366" t="s">
        <v>56</v>
      </c>
      <c r="N366" t="s">
        <v>57</v>
      </c>
      <c r="O366">
        <v>450</v>
      </c>
      <c r="P366" t="s">
        <v>3891</v>
      </c>
      <c r="Q366" t="s">
        <v>3892</v>
      </c>
      <c r="R366" t="s">
        <v>205</v>
      </c>
      <c r="S366" t="s">
        <v>420</v>
      </c>
      <c r="T366" t="s">
        <v>424</v>
      </c>
      <c r="U366">
        <v>-7.4999999999999997E-2</v>
      </c>
      <c r="V366">
        <v>-7.4999999999999997E-2</v>
      </c>
      <c r="W366" t="s">
        <v>52</v>
      </c>
      <c r="X366">
        <v>0.8821</v>
      </c>
      <c r="Y366">
        <v>1.0487</v>
      </c>
      <c r="Z366">
        <v>1.0487</v>
      </c>
      <c r="AA366">
        <v>0.8821</v>
      </c>
      <c r="AB366">
        <v>20</v>
      </c>
      <c r="AC366">
        <v>20.0001</v>
      </c>
      <c r="AD366">
        <v>18.802099999999999</v>
      </c>
      <c r="AE366">
        <v>18.802199999999999</v>
      </c>
      <c r="AF366" t="s">
        <v>183</v>
      </c>
      <c r="AG366" t="s">
        <v>183</v>
      </c>
      <c r="AH366" t="s">
        <v>3894</v>
      </c>
      <c r="AI366" t="s">
        <v>3894</v>
      </c>
      <c r="AJ366" t="s">
        <v>3895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3896</v>
      </c>
      <c r="AT366" t="s">
        <v>3890</v>
      </c>
      <c r="AU366" t="s">
        <v>3897</v>
      </c>
      <c r="AV366" t="s">
        <v>3898</v>
      </c>
      <c r="AW366">
        <v>2</v>
      </c>
      <c r="AX366">
        <v>0</v>
      </c>
    </row>
    <row r="367" spans="1:50" x14ac:dyDescent="0.25">
      <c r="A367" t="s">
        <v>2696</v>
      </c>
      <c r="B367" t="s">
        <v>3889</v>
      </c>
      <c r="C367" t="s">
        <v>3890</v>
      </c>
      <c r="D367">
        <v>29.265000000000001</v>
      </c>
      <c r="E367">
        <v>29.204999999999998</v>
      </c>
      <c r="F367" s="2">
        <v>3.0000000000000001E-3</v>
      </c>
      <c r="G367" t="s">
        <v>2695</v>
      </c>
      <c r="H367" t="s">
        <v>2697</v>
      </c>
      <c r="I367">
        <v>440410.42509999999</v>
      </c>
      <c r="J367">
        <v>1827778.6757</v>
      </c>
      <c r="K367">
        <v>440430.42509999999</v>
      </c>
      <c r="L367">
        <v>1827778.6757</v>
      </c>
      <c r="M367" t="s">
        <v>56</v>
      </c>
      <c r="N367" t="s">
        <v>57</v>
      </c>
      <c r="O367">
        <v>450</v>
      </c>
      <c r="P367" t="s">
        <v>3891</v>
      </c>
      <c r="Q367" t="s">
        <v>3892</v>
      </c>
      <c r="R367" t="s">
        <v>200</v>
      </c>
      <c r="S367" t="s">
        <v>420</v>
      </c>
      <c r="T367" t="s">
        <v>424</v>
      </c>
      <c r="U367">
        <v>0.1497</v>
      </c>
      <c r="V367">
        <v>0.1429</v>
      </c>
      <c r="W367" t="s">
        <v>52</v>
      </c>
      <c r="X367">
        <v>0.8821</v>
      </c>
      <c r="Y367">
        <v>1.0487</v>
      </c>
      <c r="Z367">
        <v>1.0487</v>
      </c>
      <c r="AA367">
        <v>0.8821</v>
      </c>
      <c r="AB367">
        <v>20</v>
      </c>
      <c r="AC367">
        <v>20.0001</v>
      </c>
      <c r="AD367">
        <v>18.802099999999999</v>
      </c>
      <c r="AE367">
        <v>18.802199999999999</v>
      </c>
      <c r="AF367" t="s">
        <v>183</v>
      </c>
      <c r="AG367" t="s">
        <v>183</v>
      </c>
      <c r="AH367" t="s">
        <v>3894</v>
      </c>
      <c r="AI367" t="s">
        <v>3894</v>
      </c>
      <c r="AJ367" t="s">
        <v>3895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3896</v>
      </c>
      <c r="AT367" t="s">
        <v>3890</v>
      </c>
      <c r="AU367" t="s">
        <v>3897</v>
      </c>
      <c r="AV367" t="s">
        <v>3898</v>
      </c>
      <c r="AW367">
        <v>2</v>
      </c>
      <c r="AX367">
        <v>0</v>
      </c>
    </row>
    <row r="368" spans="1:50" x14ac:dyDescent="0.25">
      <c r="A368" t="s">
        <v>4328</v>
      </c>
      <c r="B368" t="s">
        <v>4065</v>
      </c>
      <c r="C368" t="s">
        <v>3890</v>
      </c>
      <c r="D368">
        <v>30.443999999999999</v>
      </c>
      <c r="E368">
        <v>30.384</v>
      </c>
      <c r="F368" s="2">
        <v>3.0000000000000001E-3</v>
      </c>
      <c r="G368" t="s">
        <v>2543</v>
      </c>
      <c r="H368" t="s">
        <v>2546</v>
      </c>
      <c r="I368">
        <v>440510.42509999999</v>
      </c>
      <c r="J368">
        <v>1828047.2973</v>
      </c>
      <c r="K368">
        <v>440530.42509999999</v>
      </c>
      <c r="L368">
        <v>1828047.2973</v>
      </c>
      <c r="M368" t="s">
        <v>56</v>
      </c>
      <c r="N368" t="s">
        <v>57</v>
      </c>
      <c r="O368">
        <v>900</v>
      </c>
      <c r="P368" t="s">
        <v>58</v>
      </c>
      <c r="Q368" t="s">
        <v>3919</v>
      </c>
      <c r="R368" t="s">
        <v>2502</v>
      </c>
      <c r="S368" t="s">
        <v>440</v>
      </c>
      <c r="T368" t="s">
        <v>444</v>
      </c>
      <c r="U368">
        <v>-0.1</v>
      </c>
      <c r="V368">
        <v>-0.1</v>
      </c>
      <c r="W368" t="s">
        <v>52</v>
      </c>
      <c r="X368">
        <v>0.85199999999999998</v>
      </c>
      <c r="Y368">
        <v>0.8841</v>
      </c>
      <c r="Z368">
        <v>0.8841</v>
      </c>
      <c r="AA368">
        <v>0.85199999999999998</v>
      </c>
      <c r="AB368">
        <v>20</v>
      </c>
      <c r="AC368">
        <v>20.0001</v>
      </c>
      <c r="AD368">
        <v>18.803599999999999</v>
      </c>
      <c r="AE368">
        <v>18.803699999999999</v>
      </c>
      <c r="AF368" t="s">
        <v>183</v>
      </c>
      <c r="AG368" t="s">
        <v>183</v>
      </c>
      <c r="AH368" t="s">
        <v>3894</v>
      </c>
      <c r="AI368" t="s">
        <v>3894</v>
      </c>
      <c r="AJ368" t="s">
        <v>3895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3896</v>
      </c>
      <c r="AT368" t="s">
        <v>3890</v>
      </c>
      <c r="AU368" t="s">
        <v>4066</v>
      </c>
      <c r="AV368" t="s">
        <v>3898</v>
      </c>
      <c r="AW368">
        <v>2</v>
      </c>
      <c r="AX368">
        <v>0</v>
      </c>
    </row>
    <row r="369" spans="1:50" x14ac:dyDescent="0.25">
      <c r="A369" t="s">
        <v>4329</v>
      </c>
      <c r="B369" t="s">
        <v>4065</v>
      </c>
      <c r="C369" t="s">
        <v>3890</v>
      </c>
      <c r="D369">
        <v>30.536000000000001</v>
      </c>
      <c r="E369">
        <v>30.475999999999999</v>
      </c>
      <c r="F369" s="2">
        <v>3.0000000000000001E-3</v>
      </c>
      <c r="G369" t="s">
        <v>2540</v>
      </c>
      <c r="H369" t="s">
        <v>2543</v>
      </c>
      <c r="I369">
        <v>440490.42509999999</v>
      </c>
      <c r="J369">
        <v>1828047.2973</v>
      </c>
      <c r="K369">
        <v>440510.42509999999</v>
      </c>
      <c r="L369">
        <v>1828047.2973</v>
      </c>
      <c r="M369" t="s">
        <v>56</v>
      </c>
      <c r="N369" t="s">
        <v>57</v>
      </c>
      <c r="O369">
        <v>900</v>
      </c>
      <c r="P369" t="s">
        <v>58</v>
      </c>
      <c r="Q369" t="s">
        <v>3919</v>
      </c>
      <c r="R369" t="s">
        <v>2502</v>
      </c>
      <c r="S369" s="1" t="s">
        <v>597</v>
      </c>
      <c r="T369" t="s">
        <v>440</v>
      </c>
      <c r="U369">
        <v>-0.1</v>
      </c>
      <c r="V369">
        <v>-0.1</v>
      </c>
      <c r="W369" t="s">
        <v>52</v>
      </c>
      <c r="X369">
        <v>0.85209999999999997</v>
      </c>
      <c r="Y369">
        <v>0.88419999999999999</v>
      </c>
      <c r="Z369">
        <v>0.88419999999999999</v>
      </c>
      <c r="AA369">
        <v>0.85209999999999997</v>
      </c>
      <c r="AB369">
        <v>20</v>
      </c>
      <c r="AC369">
        <v>20.0001</v>
      </c>
      <c r="AD369">
        <v>18.803599999999999</v>
      </c>
      <c r="AE369">
        <v>18.803699999999999</v>
      </c>
      <c r="AF369" t="s">
        <v>183</v>
      </c>
      <c r="AG369" t="s">
        <v>183</v>
      </c>
      <c r="AH369" t="s">
        <v>3894</v>
      </c>
      <c r="AI369" t="s">
        <v>3894</v>
      </c>
      <c r="AJ369" t="s">
        <v>3895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3896</v>
      </c>
      <c r="AT369" t="s">
        <v>3890</v>
      </c>
      <c r="AU369" t="s">
        <v>4066</v>
      </c>
      <c r="AV369" t="s">
        <v>3898</v>
      </c>
      <c r="AW369">
        <v>2</v>
      </c>
      <c r="AX369">
        <v>0</v>
      </c>
    </row>
    <row r="370" spans="1:50" x14ac:dyDescent="0.25">
      <c r="A370" t="s">
        <v>4330</v>
      </c>
      <c r="B370" t="s">
        <v>4065</v>
      </c>
      <c r="C370" t="s">
        <v>3890</v>
      </c>
      <c r="D370">
        <v>30.628</v>
      </c>
      <c r="E370">
        <v>30.568000000000001</v>
      </c>
      <c r="F370" s="2">
        <v>3.0000000000000001E-3</v>
      </c>
      <c r="G370" t="s">
        <v>2537</v>
      </c>
      <c r="H370" t="s">
        <v>2540</v>
      </c>
      <c r="I370">
        <v>440470.42509999999</v>
      </c>
      <c r="J370">
        <v>1828047.2973</v>
      </c>
      <c r="K370">
        <v>440490.42509999999</v>
      </c>
      <c r="L370">
        <v>1828047.2973</v>
      </c>
      <c r="M370" t="s">
        <v>56</v>
      </c>
      <c r="N370" t="s">
        <v>57</v>
      </c>
      <c r="O370">
        <v>900</v>
      </c>
      <c r="P370" t="s">
        <v>58</v>
      </c>
      <c r="Q370" t="s">
        <v>3919</v>
      </c>
      <c r="R370" t="s">
        <v>2502</v>
      </c>
      <c r="S370" t="s">
        <v>432</v>
      </c>
      <c r="T370" t="s">
        <v>597</v>
      </c>
      <c r="U370">
        <v>-0.1</v>
      </c>
      <c r="V370">
        <v>-0.1</v>
      </c>
      <c r="W370" t="s">
        <v>52</v>
      </c>
      <c r="X370">
        <v>0.85219999999999996</v>
      </c>
      <c r="Y370">
        <v>0.88429999999999997</v>
      </c>
      <c r="Z370">
        <v>0.88429999999999997</v>
      </c>
      <c r="AA370">
        <v>0.85219999999999996</v>
      </c>
      <c r="AB370">
        <v>20</v>
      </c>
      <c r="AC370">
        <v>20.0001</v>
      </c>
      <c r="AD370">
        <v>18.803599999999999</v>
      </c>
      <c r="AE370">
        <v>18.803699999999999</v>
      </c>
      <c r="AF370" t="s">
        <v>183</v>
      </c>
      <c r="AG370" t="s">
        <v>183</v>
      </c>
      <c r="AH370" t="s">
        <v>3894</v>
      </c>
      <c r="AI370" t="s">
        <v>3894</v>
      </c>
      <c r="AJ370" t="s">
        <v>3895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3896</v>
      </c>
      <c r="AT370" t="s">
        <v>3890</v>
      </c>
      <c r="AU370" t="s">
        <v>4066</v>
      </c>
      <c r="AV370" t="s">
        <v>3898</v>
      </c>
      <c r="AW370">
        <v>2</v>
      </c>
      <c r="AX370">
        <v>0</v>
      </c>
    </row>
    <row r="371" spans="1:50" x14ac:dyDescent="0.25">
      <c r="A371" t="s">
        <v>4331</v>
      </c>
      <c r="B371" t="s">
        <v>3933</v>
      </c>
      <c r="C371" t="s">
        <v>3890</v>
      </c>
      <c r="D371">
        <v>30.904</v>
      </c>
      <c r="E371">
        <v>30.844999999999999</v>
      </c>
      <c r="F371" s="2">
        <v>3.0000000000000001E-3</v>
      </c>
      <c r="G371" t="s">
        <v>2528</v>
      </c>
      <c r="H371" t="s">
        <v>2531</v>
      </c>
      <c r="I371">
        <v>440410.42509999999</v>
      </c>
      <c r="J371">
        <v>1828047.3722999999</v>
      </c>
      <c r="K371">
        <v>440430.42509999999</v>
      </c>
      <c r="L371">
        <v>1828047.3722999999</v>
      </c>
      <c r="M371" t="s">
        <v>56</v>
      </c>
      <c r="N371" t="s">
        <v>57</v>
      </c>
      <c r="O371">
        <v>750</v>
      </c>
      <c r="P371" t="s">
        <v>58</v>
      </c>
      <c r="Q371" t="s">
        <v>3919</v>
      </c>
      <c r="R371" t="s">
        <v>2502</v>
      </c>
      <c r="S371" t="s">
        <v>420</v>
      </c>
      <c r="T371" t="s">
        <v>424</v>
      </c>
      <c r="U371">
        <v>-2.5000000000000001E-2</v>
      </c>
      <c r="V371">
        <v>-2.5000000000000001E-2</v>
      </c>
      <c r="W371" t="s">
        <v>52</v>
      </c>
      <c r="X371">
        <v>0.85309999999999997</v>
      </c>
      <c r="Y371">
        <v>0.88619999999999999</v>
      </c>
      <c r="Z371">
        <v>0.88619999999999999</v>
      </c>
      <c r="AA371">
        <v>0.85309999999999997</v>
      </c>
      <c r="AB371">
        <v>20</v>
      </c>
      <c r="AC371">
        <v>20.0001</v>
      </c>
      <c r="AD371">
        <v>18.803100000000001</v>
      </c>
      <c r="AE371">
        <v>18.8032</v>
      </c>
      <c r="AF371" t="s">
        <v>183</v>
      </c>
      <c r="AG371" t="s">
        <v>183</v>
      </c>
      <c r="AH371" t="s">
        <v>3894</v>
      </c>
      <c r="AI371" t="s">
        <v>3894</v>
      </c>
      <c r="AJ371" t="s">
        <v>3895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3896</v>
      </c>
      <c r="AT371" t="s">
        <v>3890</v>
      </c>
      <c r="AU371" t="s">
        <v>3935</v>
      </c>
      <c r="AV371" t="s">
        <v>3898</v>
      </c>
      <c r="AW371">
        <v>2</v>
      </c>
      <c r="AX371">
        <v>0</v>
      </c>
    </row>
    <row r="372" spans="1:50" x14ac:dyDescent="0.25">
      <c r="A372" t="s">
        <v>4332</v>
      </c>
      <c r="B372" t="s">
        <v>3963</v>
      </c>
      <c r="C372" t="s">
        <v>3890</v>
      </c>
      <c r="D372">
        <v>31.422999999999998</v>
      </c>
      <c r="E372">
        <v>31.363</v>
      </c>
      <c r="F372" s="2">
        <v>3.0000000000000001E-3</v>
      </c>
      <c r="G372" t="s">
        <v>2515</v>
      </c>
      <c r="H372" t="s">
        <v>2518</v>
      </c>
      <c r="I372">
        <v>440330.42509999999</v>
      </c>
      <c r="J372">
        <v>1828047.4723</v>
      </c>
      <c r="K372">
        <v>440350.42509999999</v>
      </c>
      <c r="L372">
        <v>1828047.4723</v>
      </c>
      <c r="M372" t="s">
        <v>56</v>
      </c>
      <c r="N372" t="s">
        <v>57</v>
      </c>
      <c r="O372">
        <v>600</v>
      </c>
      <c r="P372" t="s">
        <v>3891</v>
      </c>
      <c r="Q372" t="s">
        <v>3892</v>
      </c>
      <c r="R372" t="s">
        <v>2502</v>
      </c>
      <c r="S372" t="s">
        <v>1444</v>
      </c>
      <c r="T372" t="s">
        <v>525</v>
      </c>
      <c r="U372">
        <v>7.4999999999999997E-2</v>
      </c>
      <c r="V372">
        <v>7.4999999999999997E-2</v>
      </c>
      <c r="W372" t="s">
        <v>52</v>
      </c>
      <c r="X372">
        <v>0.88049999999999995</v>
      </c>
      <c r="Y372">
        <v>0.91259999999999997</v>
      </c>
      <c r="Z372">
        <v>0.91259999999999997</v>
      </c>
      <c r="AA372">
        <v>0.88049999999999995</v>
      </c>
      <c r="AB372">
        <v>20</v>
      </c>
      <c r="AC372">
        <v>20.0001</v>
      </c>
      <c r="AD372">
        <v>18.802499999999998</v>
      </c>
      <c r="AE372">
        <v>18.802600000000002</v>
      </c>
      <c r="AF372" t="s">
        <v>183</v>
      </c>
      <c r="AG372" t="s">
        <v>183</v>
      </c>
      <c r="AH372" t="s">
        <v>3894</v>
      </c>
      <c r="AI372" t="s">
        <v>3894</v>
      </c>
      <c r="AJ372" t="s">
        <v>3895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3896</v>
      </c>
      <c r="AT372" t="s">
        <v>3890</v>
      </c>
      <c r="AU372" t="s">
        <v>3964</v>
      </c>
      <c r="AV372" t="s">
        <v>3898</v>
      </c>
      <c r="AW372">
        <v>2</v>
      </c>
      <c r="AX372">
        <v>0</v>
      </c>
    </row>
    <row r="373" spans="1:50" x14ac:dyDescent="0.25">
      <c r="A373" t="s">
        <v>4333</v>
      </c>
      <c r="B373" t="s">
        <v>3889</v>
      </c>
      <c r="C373" t="s">
        <v>3890</v>
      </c>
      <c r="D373">
        <v>31.791</v>
      </c>
      <c r="E373">
        <v>31.731999999999999</v>
      </c>
      <c r="F373" s="2">
        <v>2.8999999999999998E-3</v>
      </c>
      <c r="G373" t="s">
        <v>2504</v>
      </c>
      <c r="H373" t="s">
        <v>2507</v>
      </c>
      <c r="I373">
        <v>440250.42509999999</v>
      </c>
      <c r="J373">
        <v>1828047.5473</v>
      </c>
      <c r="K373">
        <v>440270.42509999999</v>
      </c>
      <c r="L373">
        <v>1828047.5473</v>
      </c>
      <c r="M373" t="s">
        <v>56</v>
      </c>
      <c r="N373" t="s">
        <v>57</v>
      </c>
      <c r="O373">
        <v>450</v>
      </c>
      <c r="P373" t="s">
        <v>3891</v>
      </c>
      <c r="Q373" t="s">
        <v>3892</v>
      </c>
      <c r="R373" t="s">
        <v>2502</v>
      </c>
      <c r="S373" t="s">
        <v>1457</v>
      </c>
      <c r="T373" t="s">
        <v>1065</v>
      </c>
      <c r="U373">
        <v>0.15</v>
      </c>
      <c r="V373">
        <v>0.15</v>
      </c>
      <c r="W373" t="s">
        <v>52</v>
      </c>
      <c r="X373">
        <v>0.88149999999999995</v>
      </c>
      <c r="Y373">
        <v>0.91459999999999997</v>
      </c>
      <c r="Z373">
        <v>0.91459999999999997</v>
      </c>
      <c r="AA373">
        <v>0.88149999999999995</v>
      </c>
      <c r="AB373">
        <v>20</v>
      </c>
      <c r="AC373">
        <v>20.0001</v>
      </c>
      <c r="AD373">
        <v>18.802099999999999</v>
      </c>
      <c r="AE373">
        <v>18.802099999999999</v>
      </c>
      <c r="AF373" t="s">
        <v>183</v>
      </c>
      <c r="AG373" t="s">
        <v>183</v>
      </c>
      <c r="AH373" t="s">
        <v>3894</v>
      </c>
      <c r="AI373" t="s">
        <v>3894</v>
      </c>
      <c r="AJ373" t="s">
        <v>3895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3896</v>
      </c>
      <c r="AT373" t="s">
        <v>3890</v>
      </c>
      <c r="AU373" t="s">
        <v>3897</v>
      </c>
      <c r="AV373" t="s">
        <v>3898</v>
      </c>
      <c r="AW373">
        <v>2</v>
      </c>
      <c r="AX373">
        <v>0</v>
      </c>
    </row>
    <row r="374" spans="1:50" x14ac:dyDescent="0.25">
      <c r="A374" t="s">
        <v>2323</v>
      </c>
      <c r="B374" t="s">
        <v>3889</v>
      </c>
      <c r="C374" t="s">
        <v>3890</v>
      </c>
      <c r="D374">
        <v>30.777999999999999</v>
      </c>
      <c r="E374">
        <v>30.718</v>
      </c>
      <c r="F374" s="2">
        <v>3.0000000000000001E-3</v>
      </c>
      <c r="G374" t="s">
        <v>2322</v>
      </c>
      <c r="H374" t="s">
        <v>2325</v>
      </c>
      <c r="I374">
        <v>440470.42509999999</v>
      </c>
      <c r="J374">
        <v>1828037.8473</v>
      </c>
      <c r="K374">
        <v>440490.42509999999</v>
      </c>
      <c r="L374">
        <v>1828037.8473</v>
      </c>
      <c r="M374" t="s">
        <v>56</v>
      </c>
      <c r="N374" t="s">
        <v>57</v>
      </c>
      <c r="O374">
        <v>450</v>
      </c>
      <c r="P374" t="s">
        <v>3891</v>
      </c>
      <c r="Q374" t="s">
        <v>3892</v>
      </c>
      <c r="R374" t="s">
        <v>2263</v>
      </c>
      <c r="S374" t="s">
        <v>432</v>
      </c>
      <c r="T374" t="s">
        <v>597</v>
      </c>
      <c r="U374">
        <v>-6.7400000000000002E-2</v>
      </c>
      <c r="V374">
        <v>-6.7400000000000002E-2</v>
      </c>
      <c r="W374" t="s">
        <v>52</v>
      </c>
      <c r="X374">
        <v>0.88229999999999997</v>
      </c>
      <c r="Y374">
        <v>0.9143</v>
      </c>
      <c r="Z374">
        <v>0.9143</v>
      </c>
      <c r="AA374">
        <v>0.88229999999999997</v>
      </c>
      <c r="AB374">
        <v>20</v>
      </c>
      <c r="AC374">
        <v>20.0001</v>
      </c>
      <c r="AD374">
        <v>18.802099999999999</v>
      </c>
      <c r="AE374">
        <v>18.802199999999999</v>
      </c>
      <c r="AF374" t="s">
        <v>183</v>
      </c>
      <c r="AG374" t="s">
        <v>183</v>
      </c>
      <c r="AH374" t="s">
        <v>3894</v>
      </c>
      <c r="AI374" t="s">
        <v>3894</v>
      </c>
      <c r="AJ374" t="s">
        <v>3895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3896</v>
      </c>
      <c r="AT374" t="s">
        <v>3890</v>
      </c>
      <c r="AU374" t="s">
        <v>3897</v>
      </c>
      <c r="AV374" t="s">
        <v>3898</v>
      </c>
      <c r="AW374">
        <v>2</v>
      </c>
      <c r="AX374">
        <v>0</v>
      </c>
    </row>
    <row r="375" spans="1:50" x14ac:dyDescent="0.25">
      <c r="A375" t="s">
        <v>2262</v>
      </c>
      <c r="B375" t="s">
        <v>3889</v>
      </c>
      <c r="C375" t="s">
        <v>3890</v>
      </c>
      <c r="D375">
        <v>31.053999999999998</v>
      </c>
      <c r="E375">
        <v>30.995000000000001</v>
      </c>
      <c r="F375" s="2">
        <v>2.8999999999999998E-3</v>
      </c>
      <c r="G375" t="s">
        <v>2261</v>
      </c>
      <c r="H375" t="s">
        <v>2265</v>
      </c>
      <c r="I375">
        <v>440410.42509999999</v>
      </c>
      <c r="J375">
        <v>1828037.8473</v>
      </c>
      <c r="K375">
        <v>440430.42509999999</v>
      </c>
      <c r="L375">
        <v>1828037.8473</v>
      </c>
      <c r="M375" t="s">
        <v>56</v>
      </c>
      <c r="N375" t="s">
        <v>57</v>
      </c>
      <c r="O375">
        <v>450</v>
      </c>
      <c r="P375" t="s">
        <v>3891</v>
      </c>
      <c r="Q375" t="s">
        <v>3892</v>
      </c>
      <c r="R375" t="s">
        <v>2263</v>
      </c>
      <c r="S375" t="s">
        <v>420</v>
      </c>
      <c r="T375" t="s">
        <v>424</v>
      </c>
      <c r="U375">
        <v>-6.7400000000000002E-2</v>
      </c>
      <c r="V375">
        <v>-6.7400000000000002E-2</v>
      </c>
      <c r="W375" t="s">
        <v>52</v>
      </c>
      <c r="X375">
        <v>0.88160000000000005</v>
      </c>
      <c r="Y375">
        <v>0.91469999999999996</v>
      </c>
      <c r="Z375">
        <v>0.91469999999999996</v>
      </c>
      <c r="AA375">
        <v>0.88160000000000005</v>
      </c>
      <c r="AB375">
        <v>20</v>
      </c>
      <c r="AC375">
        <v>20.0001</v>
      </c>
      <c r="AD375">
        <v>18.802099999999999</v>
      </c>
      <c r="AE375">
        <v>18.802099999999999</v>
      </c>
      <c r="AF375" t="s">
        <v>183</v>
      </c>
      <c r="AG375" t="s">
        <v>183</v>
      </c>
      <c r="AH375" t="s">
        <v>3894</v>
      </c>
      <c r="AI375" t="s">
        <v>3894</v>
      </c>
      <c r="AJ375" t="s">
        <v>3895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3896</v>
      </c>
      <c r="AT375" t="s">
        <v>3890</v>
      </c>
      <c r="AU375" t="s">
        <v>3897</v>
      </c>
      <c r="AV375" t="s">
        <v>3898</v>
      </c>
      <c r="AW375">
        <v>2</v>
      </c>
      <c r="AX375">
        <v>0</v>
      </c>
    </row>
    <row r="376" spans="1:50" x14ac:dyDescent="0.25">
      <c r="A376" t="s">
        <v>4334</v>
      </c>
      <c r="B376" t="s">
        <v>3889</v>
      </c>
      <c r="C376" t="s">
        <v>3890</v>
      </c>
      <c r="D376">
        <v>29.977</v>
      </c>
      <c r="E376">
        <v>29.917000000000002</v>
      </c>
      <c r="F376" s="2">
        <v>3.0000000000000001E-3</v>
      </c>
      <c r="G376" t="s">
        <v>2400</v>
      </c>
      <c r="H376" t="s">
        <v>2403</v>
      </c>
      <c r="I376">
        <v>440430.42509999999</v>
      </c>
      <c r="J376">
        <v>1827925.5109000001</v>
      </c>
      <c r="K376">
        <v>440450.42509999999</v>
      </c>
      <c r="L376">
        <v>1827925.5109000001</v>
      </c>
      <c r="M376" t="s">
        <v>56</v>
      </c>
      <c r="N376" t="s">
        <v>57</v>
      </c>
      <c r="O376">
        <v>450</v>
      </c>
      <c r="P376" t="s">
        <v>3891</v>
      </c>
      <c r="Q376" t="s">
        <v>3892</v>
      </c>
      <c r="R376" t="s">
        <v>2395</v>
      </c>
      <c r="S376" t="s">
        <v>424</v>
      </c>
      <c r="T376" t="s">
        <v>428</v>
      </c>
      <c r="U376">
        <v>-0.16850000000000001</v>
      </c>
      <c r="V376">
        <v>-0.1769</v>
      </c>
      <c r="W376" t="s">
        <v>52</v>
      </c>
      <c r="X376">
        <v>0.88090000000000002</v>
      </c>
      <c r="Y376">
        <v>0.95240000000000002</v>
      </c>
      <c r="Z376">
        <v>0.94089999999999996</v>
      </c>
      <c r="AA376">
        <v>0.88090000000000002</v>
      </c>
      <c r="AB376">
        <v>20</v>
      </c>
      <c r="AC376">
        <v>20.0001</v>
      </c>
      <c r="AD376">
        <v>18.802099999999999</v>
      </c>
      <c r="AE376">
        <v>18.802199999999999</v>
      </c>
      <c r="AF376" t="s">
        <v>183</v>
      </c>
      <c r="AG376" t="s">
        <v>183</v>
      </c>
      <c r="AH376" t="s">
        <v>3894</v>
      </c>
      <c r="AI376" t="s">
        <v>3894</v>
      </c>
      <c r="AJ376" t="s">
        <v>3895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3896</v>
      </c>
      <c r="AT376" t="s">
        <v>3890</v>
      </c>
      <c r="AU376" t="s">
        <v>3897</v>
      </c>
      <c r="AV376" t="s">
        <v>3898</v>
      </c>
      <c r="AW376">
        <v>2</v>
      </c>
      <c r="AX376">
        <v>0</v>
      </c>
    </row>
    <row r="377" spans="1:50" x14ac:dyDescent="0.25">
      <c r="A377" t="s">
        <v>4335</v>
      </c>
      <c r="B377" t="s">
        <v>3889</v>
      </c>
      <c r="C377" t="s">
        <v>3890</v>
      </c>
      <c r="D377">
        <v>31.791</v>
      </c>
      <c r="E377">
        <v>31.731999999999999</v>
      </c>
      <c r="F377" s="2">
        <v>2.8999999999999998E-3</v>
      </c>
      <c r="G377" t="s">
        <v>2355</v>
      </c>
      <c r="H377" t="s">
        <v>2358</v>
      </c>
      <c r="I377">
        <v>440250.42509999999</v>
      </c>
      <c r="J377">
        <v>1828037.8473</v>
      </c>
      <c r="K377">
        <v>440270.42509999999</v>
      </c>
      <c r="L377">
        <v>1828037.8473</v>
      </c>
      <c r="M377" t="s">
        <v>56</v>
      </c>
      <c r="N377" t="s">
        <v>57</v>
      </c>
      <c r="O377">
        <v>450</v>
      </c>
      <c r="P377" t="s">
        <v>3891</v>
      </c>
      <c r="Q377" t="s">
        <v>3892</v>
      </c>
      <c r="R377" t="s">
        <v>2263</v>
      </c>
      <c r="S377" t="s">
        <v>1457</v>
      </c>
      <c r="T377" t="s">
        <v>1065</v>
      </c>
      <c r="U377">
        <v>-6.7400000000000002E-2</v>
      </c>
      <c r="V377">
        <v>-6.7400000000000002E-2</v>
      </c>
      <c r="W377" t="s">
        <v>52</v>
      </c>
      <c r="X377">
        <v>0.88149999999999995</v>
      </c>
      <c r="Y377">
        <v>0.91469999999999996</v>
      </c>
      <c r="Z377">
        <v>0.91469999999999996</v>
      </c>
      <c r="AA377">
        <v>0.88149999999999995</v>
      </c>
      <c r="AB377">
        <v>20</v>
      </c>
      <c r="AC377">
        <v>20.0001</v>
      </c>
      <c r="AD377">
        <v>18.802099999999999</v>
      </c>
      <c r="AE377">
        <v>18.802099999999999</v>
      </c>
      <c r="AF377" t="s">
        <v>183</v>
      </c>
      <c r="AG377" t="s">
        <v>183</v>
      </c>
      <c r="AH377" t="s">
        <v>3894</v>
      </c>
      <c r="AI377" t="s">
        <v>3894</v>
      </c>
      <c r="AJ377" t="s">
        <v>3895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3896</v>
      </c>
      <c r="AT377" t="s">
        <v>3890</v>
      </c>
      <c r="AU377" t="s">
        <v>3897</v>
      </c>
      <c r="AV377" t="s">
        <v>3898</v>
      </c>
      <c r="AW377">
        <v>2</v>
      </c>
      <c r="AX377">
        <v>0</v>
      </c>
    </row>
    <row r="378" spans="1:50" x14ac:dyDescent="0.25">
      <c r="A378" t="s">
        <v>1195</v>
      </c>
      <c r="B378" t="s">
        <v>3889</v>
      </c>
      <c r="C378" t="s">
        <v>3890</v>
      </c>
      <c r="D378">
        <v>31.431000000000001</v>
      </c>
      <c r="E378">
        <v>31.372</v>
      </c>
      <c r="F378" s="2">
        <v>3.0000000000000001E-3</v>
      </c>
      <c r="G378" t="s">
        <v>1194</v>
      </c>
      <c r="H378" t="s">
        <v>1198</v>
      </c>
      <c r="I378">
        <v>440148.22489999997</v>
      </c>
      <c r="J378">
        <v>1827853.3740999999</v>
      </c>
      <c r="K378">
        <v>440168.22489999997</v>
      </c>
      <c r="L378">
        <v>1827853.3740999999</v>
      </c>
      <c r="M378" t="s">
        <v>56</v>
      </c>
      <c r="N378" t="s">
        <v>57</v>
      </c>
      <c r="O378">
        <v>450</v>
      </c>
      <c r="P378" t="s">
        <v>3891</v>
      </c>
      <c r="Q378" t="s">
        <v>3892</v>
      </c>
      <c r="R378" t="s">
        <v>227</v>
      </c>
      <c r="S378" t="s">
        <v>1196</v>
      </c>
      <c r="T378" s="1" t="s">
        <v>1200</v>
      </c>
      <c r="U378">
        <v>0</v>
      </c>
      <c r="V378">
        <v>0</v>
      </c>
      <c r="W378" t="s">
        <v>52</v>
      </c>
      <c r="X378">
        <v>0.88160000000000005</v>
      </c>
      <c r="Y378">
        <v>0.93089999999999995</v>
      </c>
      <c r="Z378">
        <v>0.93089999999999995</v>
      </c>
      <c r="AA378">
        <v>0.88160000000000005</v>
      </c>
      <c r="AB378">
        <v>20</v>
      </c>
      <c r="AC378">
        <v>20.0001</v>
      </c>
      <c r="AD378">
        <v>18.802099999999999</v>
      </c>
      <c r="AE378">
        <v>18.802099999999999</v>
      </c>
      <c r="AF378" t="s">
        <v>183</v>
      </c>
      <c r="AG378" t="s">
        <v>183</v>
      </c>
      <c r="AH378" t="s">
        <v>3894</v>
      </c>
      <c r="AI378" t="s">
        <v>3894</v>
      </c>
      <c r="AJ378" t="s">
        <v>3895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3896</v>
      </c>
      <c r="AT378" t="s">
        <v>3890</v>
      </c>
      <c r="AU378" t="s">
        <v>3897</v>
      </c>
      <c r="AV378" t="s">
        <v>3898</v>
      </c>
      <c r="AW378">
        <v>2</v>
      </c>
      <c r="AX378">
        <v>0</v>
      </c>
    </row>
    <row r="379" spans="1:50" x14ac:dyDescent="0.25">
      <c r="A379" t="s">
        <v>1233</v>
      </c>
      <c r="B379" t="s">
        <v>3889</v>
      </c>
      <c r="C379" t="s">
        <v>3890</v>
      </c>
      <c r="D379">
        <v>32.637</v>
      </c>
      <c r="E379">
        <v>32.578000000000003</v>
      </c>
      <c r="F379" s="2">
        <v>2.8999999999999998E-3</v>
      </c>
      <c r="G379" t="s">
        <v>1232</v>
      </c>
      <c r="H379" t="s">
        <v>1235</v>
      </c>
      <c r="I379">
        <v>440148.22489999997</v>
      </c>
      <c r="J379">
        <v>1828091.6338</v>
      </c>
      <c r="K379">
        <v>440168.22489999997</v>
      </c>
      <c r="L379">
        <v>1828091.6338</v>
      </c>
      <c r="M379" t="s">
        <v>56</v>
      </c>
      <c r="N379" t="s">
        <v>57</v>
      </c>
      <c r="O379">
        <v>450</v>
      </c>
      <c r="P379" t="s">
        <v>3891</v>
      </c>
      <c r="Q379" t="s">
        <v>3892</v>
      </c>
      <c r="R379" t="s">
        <v>1234</v>
      </c>
      <c r="S379" t="s">
        <v>444</v>
      </c>
      <c r="T379" t="s">
        <v>448</v>
      </c>
      <c r="U379">
        <v>0</v>
      </c>
      <c r="V379">
        <v>0</v>
      </c>
      <c r="W379" t="s">
        <v>52</v>
      </c>
      <c r="X379">
        <v>0.88160000000000005</v>
      </c>
      <c r="Y379">
        <v>0.95889999999999997</v>
      </c>
      <c r="Z379">
        <v>0.95889999999999997</v>
      </c>
      <c r="AA379">
        <v>0.88160000000000005</v>
      </c>
      <c r="AB379">
        <v>20</v>
      </c>
      <c r="AC379">
        <v>20.0001</v>
      </c>
      <c r="AD379">
        <v>18.802099999999999</v>
      </c>
      <c r="AE379">
        <v>18.802099999999999</v>
      </c>
      <c r="AF379" t="s">
        <v>183</v>
      </c>
      <c r="AG379" t="s">
        <v>183</v>
      </c>
      <c r="AH379" t="s">
        <v>3894</v>
      </c>
      <c r="AI379" t="s">
        <v>3894</v>
      </c>
      <c r="AJ379" t="s">
        <v>3895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3896</v>
      </c>
      <c r="AT379" t="s">
        <v>3890</v>
      </c>
      <c r="AU379" t="s">
        <v>3897</v>
      </c>
      <c r="AV379" t="s">
        <v>3898</v>
      </c>
      <c r="AW379">
        <v>2</v>
      </c>
      <c r="AX379">
        <v>0</v>
      </c>
    </row>
    <row r="380" spans="1:50" x14ac:dyDescent="0.25">
      <c r="A380" t="s">
        <v>1219</v>
      </c>
      <c r="B380" t="s">
        <v>3889</v>
      </c>
      <c r="C380" t="s">
        <v>3890</v>
      </c>
      <c r="D380">
        <v>32.637</v>
      </c>
      <c r="E380">
        <v>32.578000000000003</v>
      </c>
      <c r="F380" s="2">
        <v>2.8999999999999998E-3</v>
      </c>
      <c r="G380" t="s">
        <v>1218</v>
      </c>
      <c r="H380" t="s">
        <v>1222</v>
      </c>
      <c r="I380">
        <v>440148.22489999997</v>
      </c>
      <c r="J380">
        <v>1828102.7338</v>
      </c>
      <c r="K380">
        <v>440168.22489999997</v>
      </c>
      <c r="L380">
        <v>1828102.7338</v>
      </c>
      <c r="M380" t="s">
        <v>56</v>
      </c>
      <c r="N380" t="s">
        <v>57</v>
      </c>
      <c r="O380">
        <v>450</v>
      </c>
      <c r="P380" t="s">
        <v>3891</v>
      </c>
      <c r="Q380" t="s">
        <v>3892</v>
      </c>
      <c r="R380" t="s">
        <v>1220</v>
      </c>
      <c r="S380" t="s">
        <v>444</v>
      </c>
      <c r="T380" t="s">
        <v>448</v>
      </c>
      <c r="U380">
        <v>0</v>
      </c>
      <c r="V380">
        <v>0</v>
      </c>
      <c r="W380" t="s">
        <v>52</v>
      </c>
      <c r="X380">
        <v>0.88160000000000005</v>
      </c>
      <c r="Y380">
        <v>0.95889999999999997</v>
      </c>
      <c r="Z380">
        <v>0.95889999999999997</v>
      </c>
      <c r="AA380">
        <v>0.88160000000000005</v>
      </c>
      <c r="AB380">
        <v>20</v>
      </c>
      <c r="AC380">
        <v>20.0001</v>
      </c>
      <c r="AD380">
        <v>18.802099999999999</v>
      </c>
      <c r="AE380">
        <v>18.802099999999999</v>
      </c>
      <c r="AF380" t="s">
        <v>183</v>
      </c>
      <c r="AG380" t="s">
        <v>183</v>
      </c>
      <c r="AH380" t="s">
        <v>3894</v>
      </c>
      <c r="AI380" t="s">
        <v>3894</v>
      </c>
      <c r="AJ380" t="s">
        <v>3895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3896</v>
      </c>
      <c r="AT380" t="s">
        <v>3890</v>
      </c>
      <c r="AU380" t="s">
        <v>3897</v>
      </c>
      <c r="AV380" t="s">
        <v>3898</v>
      </c>
      <c r="AW380">
        <v>2</v>
      </c>
      <c r="AX380">
        <v>0</v>
      </c>
    </row>
    <row r="381" spans="1:50" x14ac:dyDescent="0.25">
      <c r="A381" t="s">
        <v>1288</v>
      </c>
      <c r="B381" t="s">
        <v>3889</v>
      </c>
      <c r="C381" t="s">
        <v>3890</v>
      </c>
      <c r="D381">
        <v>31.431000000000001</v>
      </c>
      <c r="E381">
        <v>31.372</v>
      </c>
      <c r="F381" s="2">
        <v>3.0000000000000001E-3</v>
      </c>
      <c r="G381" t="s">
        <v>1287</v>
      </c>
      <c r="H381" t="s">
        <v>1290</v>
      </c>
      <c r="I381">
        <v>440148.22489999997</v>
      </c>
      <c r="J381">
        <v>1827864.4741</v>
      </c>
      <c r="K381">
        <v>440168.22489999997</v>
      </c>
      <c r="L381">
        <v>1827864.4741</v>
      </c>
      <c r="M381" t="s">
        <v>56</v>
      </c>
      <c r="N381" t="s">
        <v>57</v>
      </c>
      <c r="O381">
        <v>450</v>
      </c>
      <c r="P381" t="s">
        <v>3891</v>
      </c>
      <c r="Q381" t="s">
        <v>3892</v>
      </c>
      <c r="R381" t="s">
        <v>1289</v>
      </c>
      <c r="S381" t="s">
        <v>444</v>
      </c>
      <c r="T381" t="s">
        <v>448</v>
      </c>
      <c r="U381">
        <v>-1.6000000000000001E-3</v>
      </c>
      <c r="V381">
        <v>-1.6000000000000001E-3</v>
      </c>
      <c r="W381" t="s">
        <v>52</v>
      </c>
      <c r="X381">
        <v>0.88160000000000005</v>
      </c>
      <c r="Y381">
        <v>0.93089999999999995</v>
      </c>
      <c r="Z381">
        <v>0.93089999999999995</v>
      </c>
      <c r="AA381">
        <v>0.88160000000000005</v>
      </c>
      <c r="AB381">
        <v>20</v>
      </c>
      <c r="AC381">
        <v>20.0001</v>
      </c>
      <c r="AD381">
        <v>18.802099999999999</v>
      </c>
      <c r="AE381">
        <v>18.802099999999999</v>
      </c>
      <c r="AF381" t="s">
        <v>183</v>
      </c>
      <c r="AG381" t="s">
        <v>183</v>
      </c>
      <c r="AH381" t="s">
        <v>3894</v>
      </c>
      <c r="AI381" t="s">
        <v>3894</v>
      </c>
      <c r="AJ381" t="s">
        <v>3895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3896</v>
      </c>
      <c r="AT381" t="s">
        <v>3890</v>
      </c>
      <c r="AU381" t="s">
        <v>3897</v>
      </c>
      <c r="AV381" t="s">
        <v>3898</v>
      </c>
      <c r="AW381">
        <v>2</v>
      </c>
      <c r="AX381">
        <v>0</v>
      </c>
    </row>
    <row r="382" spans="1:50" x14ac:dyDescent="0.25">
      <c r="A382" t="s">
        <v>4336</v>
      </c>
      <c r="B382" t="s">
        <v>3889</v>
      </c>
      <c r="C382" t="s">
        <v>3890</v>
      </c>
      <c r="D382">
        <v>32.081000000000003</v>
      </c>
      <c r="E382">
        <v>32.021000000000001</v>
      </c>
      <c r="F382" s="2">
        <v>3.0000000000000001E-3</v>
      </c>
      <c r="G382" t="s">
        <v>1874</v>
      </c>
      <c r="H382" t="s">
        <v>1877</v>
      </c>
      <c r="I382">
        <v>440028.22489999997</v>
      </c>
      <c r="J382">
        <v>1827864.4741</v>
      </c>
      <c r="K382">
        <v>440048.22489999997</v>
      </c>
      <c r="L382">
        <v>1827864.4741</v>
      </c>
      <c r="M382" t="s">
        <v>56</v>
      </c>
      <c r="N382" t="s">
        <v>57</v>
      </c>
      <c r="O382">
        <v>450</v>
      </c>
      <c r="P382" t="s">
        <v>3891</v>
      </c>
      <c r="Q382" t="s">
        <v>3892</v>
      </c>
      <c r="R382" t="s">
        <v>1289</v>
      </c>
      <c r="S382" s="1" t="s">
        <v>420</v>
      </c>
      <c r="T382" t="s">
        <v>424</v>
      </c>
      <c r="U382">
        <v>-1.6000000000000001E-3</v>
      </c>
      <c r="V382">
        <v>-1.6000000000000001E-3</v>
      </c>
      <c r="W382" t="s">
        <v>52</v>
      </c>
      <c r="X382">
        <v>0.88229999999999997</v>
      </c>
      <c r="Y382">
        <v>0.93430000000000002</v>
      </c>
      <c r="Z382">
        <v>0.93430000000000002</v>
      </c>
      <c r="AA382">
        <v>0.88229999999999997</v>
      </c>
      <c r="AB382">
        <v>20</v>
      </c>
      <c r="AC382">
        <v>20.0001</v>
      </c>
      <c r="AD382">
        <v>18.802099999999999</v>
      </c>
      <c r="AE382">
        <v>18.802199999999999</v>
      </c>
      <c r="AF382" t="s">
        <v>183</v>
      </c>
      <c r="AG382" t="s">
        <v>183</v>
      </c>
      <c r="AH382" t="s">
        <v>3894</v>
      </c>
      <c r="AI382" t="s">
        <v>3894</v>
      </c>
      <c r="AJ382" t="s">
        <v>3895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3896</v>
      </c>
      <c r="AT382" t="s">
        <v>3890</v>
      </c>
      <c r="AU382" t="s">
        <v>3897</v>
      </c>
      <c r="AV382" t="s">
        <v>3898</v>
      </c>
      <c r="AW382">
        <v>2</v>
      </c>
      <c r="AX382">
        <v>0</v>
      </c>
    </row>
    <row r="383" spans="1:50" x14ac:dyDescent="0.25">
      <c r="A383" t="s">
        <v>1865</v>
      </c>
      <c r="B383" t="s">
        <v>3889</v>
      </c>
      <c r="C383" t="s">
        <v>3890</v>
      </c>
      <c r="D383">
        <v>32.508000000000003</v>
      </c>
      <c r="E383">
        <v>32.448</v>
      </c>
      <c r="F383" s="2">
        <v>3.0000000000000001E-3</v>
      </c>
      <c r="G383" t="s">
        <v>1864</v>
      </c>
      <c r="H383" t="s">
        <v>1867</v>
      </c>
      <c r="I383">
        <v>439968.22489999997</v>
      </c>
      <c r="J383">
        <v>1827864.4741</v>
      </c>
      <c r="K383">
        <v>439988.22489999997</v>
      </c>
      <c r="L383">
        <v>1827864.4741</v>
      </c>
      <c r="M383" t="s">
        <v>56</v>
      </c>
      <c r="N383" t="s">
        <v>57</v>
      </c>
      <c r="O383">
        <v>450</v>
      </c>
      <c r="P383" t="s">
        <v>3891</v>
      </c>
      <c r="Q383" t="s">
        <v>3892</v>
      </c>
      <c r="R383" t="s">
        <v>1289</v>
      </c>
      <c r="S383" t="s">
        <v>525</v>
      </c>
      <c r="T383" t="s">
        <v>529</v>
      </c>
      <c r="U383">
        <v>-1.6000000000000001E-3</v>
      </c>
      <c r="V383">
        <v>-1.6000000000000001E-3</v>
      </c>
      <c r="W383" t="s">
        <v>52</v>
      </c>
      <c r="X383">
        <v>0.88170000000000004</v>
      </c>
      <c r="Y383">
        <v>1.1591</v>
      </c>
      <c r="Z383">
        <v>1.1586000000000001</v>
      </c>
      <c r="AA383">
        <v>0.88170000000000004</v>
      </c>
      <c r="AB383">
        <v>20</v>
      </c>
      <c r="AC383">
        <v>20.0001</v>
      </c>
      <c r="AD383">
        <v>18.802099999999999</v>
      </c>
      <c r="AE383">
        <v>18.802199999999999</v>
      </c>
      <c r="AF383" t="s">
        <v>183</v>
      </c>
      <c r="AG383" t="s">
        <v>183</v>
      </c>
      <c r="AH383" t="s">
        <v>3894</v>
      </c>
      <c r="AI383" t="s">
        <v>3894</v>
      </c>
      <c r="AJ383" t="s">
        <v>3895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3896</v>
      </c>
      <c r="AT383" t="s">
        <v>3890</v>
      </c>
      <c r="AU383" t="s">
        <v>3897</v>
      </c>
      <c r="AV383" t="s">
        <v>3898</v>
      </c>
      <c r="AW383">
        <v>2</v>
      </c>
      <c r="AX383">
        <v>0</v>
      </c>
    </row>
    <row r="384" spans="1:50" x14ac:dyDescent="0.25">
      <c r="A384" t="s">
        <v>1894</v>
      </c>
      <c r="B384" t="s">
        <v>3889</v>
      </c>
      <c r="C384" t="s">
        <v>3890</v>
      </c>
      <c r="D384">
        <v>32.508000000000003</v>
      </c>
      <c r="E384">
        <v>32.448</v>
      </c>
      <c r="F384" s="2">
        <v>3.0000000000000001E-3</v>
      </c>
      <c r="G384" t="s">
        <v>1893</v>
      </c>
      <c r="H384" t="s">
        <v>1897</v>
      </c>
      <c r="I384">
        <v>439968.22489999997</v>
      </c>
      <c r="J384">
        <v>1827853.3740999999</v>
      </c>
      <c r="K384">
        <v>439988.22489999997</v>
      </c>
      <c r="L384">
        <v>1827853.3740999999</v>
      </c>
      <c r="M384" t="s">
        <v>56</v>
      </c>
      <c r="N384" t="s">
        <v>57</v>
      </c>
      <c r="O384">
        <v>450</v>
      </c>
      <c r="P384" t="s">
        <v>3891</v>
      </c>
      <c r="Q384" t="s">
        <v>3892</v>
      </c>
      <c r="R384" t="s">
        <v>227</v>
      </c>
      <c r="S384" t="s">
        <v>1895</v>
      </c>
      <c r="T384" t="s">
        <v>1899</v>
      </c>
      <c r="U384">
        <v>0</v>
      </c>
      <c r="V384">
        <v>0</v>
      </c>
      <c r="W384" t="s">
        <v>52</v>
      </c>
      <c r="X384">
        <v>0.88170000000000004</v>
      </c>
      <c r="Y384">
        <v>1.1237999999999999</v>
      </c>
      <c r="Z384">
        <v>1.1206</v>
      </c>
      <c r="AA384">
        <v>0.88170000000000004</v>
      </c>
      <c r="AB384">
        <v>20</v>
      </c>
      <c r="AC384">
        <v>20.0001</v>
      </c>
      <c r="AD384">
        <v>18.802099999999999</v>
      </c>
      <c r="AE384">
        <v>18.802199999999999</v>
      </c>
      <c r="AF384" t="s">
        <v>183</v>
      </c>
      <c r="AG384" t="s">
        <v>183</v>
      </c>
      <c r="AH384" t="s">
        <v>3894</v>
      </c>
      <c r="AI384" t="s">
        <v>3894</v>
      </c>
      <c r="AJ384" t="s">
        <v>3895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3896</v>
      </c>
      <c r="AT384" t="s">
        <v>3890</v>
      </c>
      <c r="AU384" t="s">
        <v>3897</v>
      </c>
      <c r="AV384" t="s">
        <v>3898</v>
      </c>
      <c r="AW384">
        <v>2</v>
      </c>
      <c r="AX384">
        <v>0</v>
      </c>
    </row>
    <row r="385" spans="1:50" x14ac:dyDescent="0.25">
      <c r="A385" t="s">
        <v>4337</v>
      </c>
      <c r="B385" t="s">
        <v>3889</v>
      </c>
      <c r="C385" t="s">
        <v>3890</v>
      </c>
      <c r="D385">
        <v>30.178999999999998</v>
      </c>
      <c r="E385">
        <v>30.119</v>
      </c>
      <c r="F385" s="2">
        <v>3.0000000000000001E-3</v>
      </c>
      <c r="G385" t="s">
        <v>2164</v>
      </c>
      <c r="H385" t="s">
        <v>2167</v>
      </c>
      <c r="I385">
        <v>440279.1249</v>
      </c>
      <c r="J385">
        <v>1827821.1248000001</v>
      </c>
      <c r="K385">
        <v>440299.1249</v>
      </c>
      <c r="L385">
        <v>1827821.1248000001</v>
      </c>
      <c r="M385" t="s">
        <v>56</v>
      </c>
      <c r="N385" t="s">
        <v>57</v>
      </c>
      <c r="O385">
        <v>450</v>
      </c>
      <c r="P385" t="s">
        <v>3891</v>
      </c>
      <c r="Q385" t="s">
        <v>3892</v>
      </c>
      <c r="R385" t="s">
        <v>2162</v>
      </c>
      <c r="S385" t="s">
        <v>448</v>
      </c>
      <c r="T385" t="s">
        <v>452</v>
      </c>
      <c r="U385">
        <v>0.29449999999999998</v>
      </c>
      <c r="V385">
        <v>0.3614</v>
      </c>
      <c r="W385" t="s">
        <v>52</v>
      </c>
      <c r="X385">
        <v>0.88190000000000002</v>
      </c>
      <c r="Y385">
        <v>1.0658000000000001</v>
      </c>
      <c r="Z385">
        <v>1.0658000000000001</v>
      </c>
      <c r="AA385">
        <v>0.88190000000000002</v>
      </c>
      <c r="AB385">
        <v>20</v>
      </c>
      <c r="AC385">
        <v>20.0001</v>
      </c>
      <c r="AD385">
        <v>18.802099999999999</v>
      </c>
      <c r="AE385">
        <v>18.802199999999999</v>
      </c>
      <c r="AF385" t="s">
        <v>183</v>
      </c>
      <c r="AG385" t="s">
        <v>183</v>
      </c>
      <c r="AH385" t="s">
        <v>3894</v>
      </c>
      <c r="AI385" t="s">
        <v>3894</v>
      </c>
      <c r="AJ385" t="s">
        <v>3895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3896</v>
      </c>
      <c r="AT385" t="s">
        <v>3890</v>
      </c>
      <c r="AU385" t="s">
        <v>3897</v>
      </c>
      <c r="AV385" t="s">
        <v>3898</v>
      </c>
      <c r="AW385">
        <v>2</v>
      </c>
      <c r="AX385">
        <v>0</v>
      </c>
    </row>
    <row r="386" spans="1:50" x14ac:dyDescent="0.25">
      <c r="A386" t="s">
        <v>4338</v>
      </c>
      <c r="B386" t="s">
        <v>3917</v>
      </c>
      <c r="C386" t="s">
        <v>3890</v>
      </c>
      <c r="D386">
        <v>28.603999999999999</v>
      </c>
      <c r="E386">
        <v>28.544</v>
      </c>
      <c r="F386" s="2">
        <v>3.0000000000000001E-3</v>
      </c>
      <c r="G386" t="s">
        <v>776</v>
      </c>
      <c r="H386" t="s">
        <v>780</v>
      </c>
      <c r="I386">
        <v>440220.25550000003</v>
      </c>
      <c r="J386">
        <v>1827531.6088</v>
      </c>
      <c r="K386">
        <v>440240.25550000003</v>
      </c>
      <c r="L386">
        <v>1827531.6088</v>
      </c>
      <c r="M386" t="s">
        <v>56</v>
      </c>
      <c r="N386" t="s">
        <v>57</v>
      </c>
      <c r="O386">
        <v>750</v>
      </c>
      <c r="P386" t="s">
        <v>3918</v>
      </c>
      <c r="Q386" t="s">
        <v>3919</v>
      </c>
      <c r="R386" t="s">
        <v>141</v>
      </c>
      <c r="S386" t="s">
        <v>778</v>
      </c>
      <c r="T386" t="s">
        <v>782</v>
      </c>
      <c r="U386">
        <v>5.8400000000000001E-2</v>
      </c>
      <c r="V386">
        <v>5.8400000000000001E-2</v>
      </c>
      <c r="W386" t="s">
        <v>52</v>
      </c>
      <c r="X386">
        <v>1.754</v>
      </c>
      <c r="Y386">
        <v>1.7923</v>
      </c>
      <c r="Z386">
        <v>1.7923</v>
      </c>
      <c r="AA386">
        <v>1.754</v>
      </c>
      <c r="AB386">
        <v>20</v>
      </c>
      <c r="AC386">
        <v>20.0001</v>
      </c>
      <c r="AD386">
        <v>18.803100000000001</v>
      </c>
      <c r="AE386">
        <v>18.8032</v>
      </c>
      <c r="AF386" t="s">
        <v>3920</v>
      </c>
      <c r="AG386" t="s">
        <v>3920</v>
      </c>
      <c r="AH386" t="s">
        <v>3894</v>
      </c>
      <c r="AI386" t="s">
        <v>3894</v>
      </c>
      <c r="AJ386" t="s">
        <v>3895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3896</v>
      </c>
      <c r="AT386" t="s">
        <v>3890</v>
      </c>
      <c r="AU386" t="s">
        <v>3921</v>
      </c>
      <c r="AV386" t="s">
        <v>3898</v>
      </c>
      <c r="AW386">
        <v>2</v>
      </c>
      <c r="AX386">
        <v>0</v>
      </c>
    </row>
    <row r="387" spans="1:50" x14ac:dyDescent="0.25">
      <c r="A387" t="s">
        <v>4339</v>
      </c>
      <c r="B387" t="s">
        <v>3917</v>
      </c>
      <c r="C387" t="s">
        <v>3890</v>
      </c>
      <c r="D387">
        <v>29.465</v>
      </c>
      <c r="E387">
        <v>29.405000000000001</v>
      </c>
      <c r="F387" s="2">
        <v>3.0000000000000001E-3</v>
      </c>
      <c r="G387" t="s">
        <v>665</v>
      </c>
      <c r="H387" t="s">
        <v>668</v>
      </c>
      <c r="I387">
        <v>440068.22489999997</v>
      </c>
      <c r="J387">
        <v>1827531.6088</v>
      </c>
      <c r="K387">
        <v>440088.22489999997</v>
      </c>
      <c r="L387">
        <v>1827531.6088</v>
      </c>
      <c r="M387" t="s">
        <v>56</v>
      </c>
      <c r="N387" t="s">
        <v>57</v>
      </c>
      <c r="O387">
        <v>750</v>
      </c>
      <c r="P387" t="s">
        <v>3918</v>
      </c>
      <c r="Q387" t="s">
        <v>3919</v>
      </c>
      <c r="R387" t="s">
        <v>127</v>
      </c>
      <c r="S387" t="s">
        <v>428</v>
      </c>
      <c r="T387" t="s">
        <v>432</v>
      </c>
      <c r="U387">
        <v>5.8299999999999998E-2</v>
      </c>
      <c r="V387">
        <v>5.8299999999999998E-2</v>
      </c>
      <c r="W387" t="s">
        <v>52</v>
      </c>
      <c r="X387">
        <v>1.7534000000000001</v>
      </c>
      <c r="Y387">
        <v>1.8071999999999999</v>
      </c>
      <c r="Z387">
        <v>1.8071999999999999</v>
      </c>
      <c r="AA387">
        <v>1.7534000000000001</v>
      </c>
      <c r="AB387">
        <v>20</v>
      </c>
      <c r="AC387">
        <v>20.0001</v>
      </c>
      <c r="AD387">
        <v>18.803100000000001</v>
      </c>
      <c r="AE387">
        <v>18.8032</v>
      </c>
      <c r="AF387" t="s">
        <v>3920</v>
      </c>
      <c r="AG387" t="s">
        <v>3920</v>
      </c>
      <c r="AH387" t="s">
        <v>3894</v>
      </c>
      <c r="AI387" t="s">
        <v>3894</v>
      </c>
      <c r="AJ387" t="s">
        <v>3895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3896</v>
      </c>
      <c r="AT387" t="s">
        <v>3890</v>
      </c>
      <c r="AU387" t="s">
        <v>3921</v>
      </c>
      <c r="AV387" t="s">
        <v>3898</v>
      </c>
      <c r="AW387">
        <v>2</v>
      </c>
      <c r="AX387">
        <v>0</v>
      </c>
    </row>
    <row r="388" spans="1:50" x14ac:dyDescent="0.25">
      <c r="A388" t="s">
        <v>4340</v>
      </c>
      <c r="B388" t="s">
        <v>3889</v>
      </c>
      <c r="C388" t="s">
        <v>3890</v>
      </c>
      <c r="D388">
        <v>32.381</v>
      </c>
      <c r="E388">
        <v>32.320999999999998</v>
      </c>
      <c r="F388" s="2">
        <v>3.0000000000000001E-3</v>
      </c>
      <c r="G388" t="s">
        <v>583</v>
      </c>
      <c r="H388" t="s">
        <v>585</v>
      </c>
      <c r="I388">
        <v>439970.42509999999</v>
      </c>
      <c r="J388">
        <v>1827425.1986</v>
      </c>
      <c r="K388">
        <v>439990.42509999999</v>
      </c>
      <c r="L388">
        <v>1827425.1986</v>
      </c>
      <c r="M388" t="s">
        <v>56</v>
      </c>
      <c r="N388" t="s">
        <v>57</v>
      </c>
      <c r="O388">
        <v>450</v>
      </c>
      <c r="P388" t="s">
        <v>3891</v>
      </c>
      <c r="Q388" t="s">
        <v>3892</v>
      </c>
      <c r="R388" t="s">
        <v>80</v>
      </c>
      <c r="S388" t="s">
        <v>567</v>
      </c>
      <c r="T388" t="s">
        <v>571</v>
      </c>
      <c r="U388">
        <v>0.1295</v>
      </c>
      <c r="V388">
        <v>0.123</v>
      </c>
      <c r="W388" t="s">
        <v>52</v>
      </c>
      <c r="X388">
        <v>0.88170000000000004</v>
      </c>
      <c r="Y388">
        <v>0.98560000000000003</v>
      </c>
      <c r="Z388">
        <v>0.98560000000000003</v>
      </c>
      <c r="AA388">
        <v>0.88170000000000004</v>
      </c>
      <c r="AB388">
        <v>20</v>
      </c>
      <c r="AC388">
        <v>20.0001</v>
      </c>
      <c r="AD388">
        <v>18.802099999999999</v>
      </c>
      <c r="AE388">
        <v>18.802199999999999</v>
      </c>
      <c r="AF388" t="s">
        <v>183</v>
      </c>
      <c r="AG388" t="s">
        <v>183</v>
      </c>
      <c r="AH388" t="s">
        <v>3894</v>
      </c>
      <c r="AI388" t="s">
        <v>3894</v>
      </c>
      <c r="AJ388" t="s">
        <v>3895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3896</v>
      </c>
      <c r="AT388" t="s">
        <v>3890</v>
      </c>
      <c r="AU388" t="s">
        <v>3897</v>
      </c>
      <c r="AV388" t="s">
        <v>3898</v>
      </c>
      <c r="AW388">
        <v>2</v>
      </c>
      <c r="AX388">
        <v>0</v>
      </c>
    </row>
    <row r="389" spans="1:50" x14ac:dyDescent="0.25">
      <c r="A389" t="s">
        <v>582</v>
      </c>
      <c r="B389" t="s">
        <v>3889</v>
      </c>
      <c r="C389" t="s">
        <v>3890</v>
      </c>
      <c r="D389">
        <v>32.543999999999997</v>
      </c>
      <c r="E389">
        <v>32.484999999999999</v>
      </c>
      <c r="F389" s="2">
        <v>2.8999999999999998E-3</v>
      </c>
      <c r="G389" t="s">
        <v>581</v>
      </c>
      <c r="H389" t="s">
        <v>583</v>
      </c>
      <c r="I389">
        <v>439950.42509999999</v>
      </c>
      <c r="J389">
        <v>1827425.1986</v>
      </c>
      <c r="K389">
        <v>439970.42509999999</v>
      </c>
      <c r="L389">
        <v>1827425.1986</v>
      </c>
      <c r="M389" t="s">
        <v>56</v>
      </c>
      <c r="N389" t="s">
        <v>57</v>
      </c>
      <c r="O389">
        <v>450</v>
      </c>
      <c r="P389" t="s">
        <v>3891</v>
      </c>
      <c r="Q389" t="s">
        <v>3892</v>
      </c>
      <c r="R389" t="s">
        <v>80</v>
      </c>
      <c r="S389" t="s">
        <v>563</v>
      </c>
      <c r="T389" t="s">
        <v>567</v>
      </c>
      <c r="U389">
        <v>0.1361</v>
      </c>
      <c r="V389">
        <v>0.1295</v>
      </c>
      <c r="W389" t="s">
        <v>52</v>
      </c>
      <c r="X389">
        <v>0.88160000000000005</v>
      </c>
      <c r="Y389">
        <v>1.0043</v>
      </c>
      <c r="Z389">
        <v>1.0043</v>
      </c>
      <c r="AA389">
        <v>0.88160000000000005</v>
      </c>
      <c r="AB389">
        <v>20</v>
      </c>
      <c r="AC389">
        <v>20.0001</v>
      </c>
      <c r="AD389">
        <v>18.802099999999999</v>
      </c>
      <c r="AE389">
        <v>18.802099999999999</v>
      </c>
      <c r="AF389" t="s">
        <v>183</v>
      </c>
      <c r="AG389" t="s">
        <v>183</v>
      </c>
      <c r="AH389" t="s">
        <v>3894</v>
      </c>
      <c r="AI389" t="s">
        <v>3894</v>
      </c>
      <c r="AJ389" t="s">
        <v>3895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3896</v>
      </c>
      <c r="AT389" t="s">
        <v>3890</v>
      </c>
      <c r="AU389" t="s">
        <v>3897</v>
      </c>
      <c r="AV389" t="s">
        <v>3898</v>
      </c>
      <c r="AW389">
        <v>2</v>
      </c>
      <c r="AX389">
        <v>0</v>
      </c>
    </row>
    <row r="390" spans="1:50" x14ac:dyDescent="0.25">
      <c r="A390" t="s">
        <v>4341</v>
      </c>
      <c r="B390" t="s">
        <v>3889</v>
      </c>
      <c r="C390" t="s">
        <v>3890</v>
      </c>
      <c r="D390">
        <v>32.381</v>
      </c>
      <c r="E390">
        <v>32.320999999999998</v>
      </c>
      <c r="F390" s="2">
        <v>3.0000000000000001E-3</v>
      </c>
      <c r="G390" t="s">
        <v>565</v>
      </c>
      <c r="H390" t="s">
        <v>569</v>
      </c>
      <c r="I390">
        <v>439970.42509999999</v>
      </c>
      <c r="J390">
        <v>1827415.4986</v>
      </c>
      <c r="K390">
        <v>439990.42509999999</v>
      </c>
      <c r="L390">
        <v>1827415.4986</v>
      </c>
      <c r="M390" t="s">
        <v>56</v>
      </c>
      <c r="N390" t="s">
        <v>57</v>
      </c>
      <c r="O390">
        <v>450</v>
      </c>
      <c r="P390" t="s">
        <v>3891</v>
      </c>
      <c r="Q390" t="s">
        <v>3892</v>
      </c>
      <c r="R390" t="s">
        <v>85</v>
      </c>
      <c r="S390" t="s">
        <v>567</v>
      </c>
      <c r="T390" t="s">
        <v>571</v>
      </c>
      <c r="U390">
        <v>-0.14319999999999999</v>
      </c>
      <c r="V390">
        <v>-0.14099999999999999</v>
      </c>
      <c r="W390" t="s">
        <v>52</v>
      </c>
      <c r="X390">
        <v>0.88170000000000004</v>
      </c>
      <c r="Y390">
        <v>0.98560000000000003</v>
      </c>
      <c r="Z390">
        <v>0.98560000000000003</v>
      </c>
      <c r="AA390">
        <v>0.88170000000000004</v>
      </c>
      <c r="AB390">
        <v>20</v>
      </c>
      <c r="AC390">
        <v>20.0001</v>
      </c>
      <c r="AD390">
        <v>18.802099999999999</v>
      </c>
      <c r="AE390">
        <v>18.802199999999999</v>
      </c>
      <c r="AF390" t="s">
        <v>183</v>
      </c>
      <c r="AG390" t="s">
        <v>183</v>
      </c>
      <c r="AH390" t="s">
        <v>3894</v>
      </c>
      <c r="AI390" t="s">
        <v>3894</v>
      </c>
      <c r="AJ390" t="s">
        <v>3895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3896</v>
      </c>
      <c r="AT390" t="s">
        <v>3890</v>
      </c>
      <c r="AU390" t="s">
        <v>3897</v>
      </c>
      <c r="AV390" t="s">
        <v>3898</v>
      </c>
      <c r="AW390">
        <v>2</v>
      </c>
      <c r="AX390">
        <v>0</v>
      </c>
    </row>
    <row r="391" spans="1:50" x14ac:dyDescent="0.25">
      <c r="A391" t="s">
        <v>562</v>
      </c>
      <c r="B391" t="s">
        <v>3889</v>
      </c>
      <c r="C391" t="s">
        <v>3890</v>
      </c>
      <c r="D391">
        <v>32.543999999999997</v>
      </c>
      <c r="E391">
        <v>32.484999999999999</v>
      </c>
      <c r="F391" s="2">
        <v>2.8999999999999998E-3</v>
      </c>
      <c r="G391" t="s">
        <v>561</v>
      </c>
      <c r="H391" t="s">
        <v>565</v>
      </c>
      <c r="I391">
        <v>439950.42509999999</v>
      </c>
      <c r="J391">
        <v>1827415.4986</v>
      </c>
      <c r="K391">
        <v>439970.42509999999</v>
      </c>
      <c r="L391">
        <v>1827415.4986</v>
      </c>
      <c r="M391" t="s">
        <v>56</v>
      </c>
      <c r="N391" t="s">
        <v>57</v>
      </c>
      <c r="O391">
        <v>450</v>
      </c>
      <c r="P391" t="s">
        <v>3891</v>
      </c>
      <c r="Q391" t="s">
        <v>3892</v>
      </c>
      <c r="R391" t="s">
        <v>85</v>
      </c>
      <c r="S391" s="1" t="s">
        <v>563</v>
      </c>
      <c r="T391" s="1" t="s">
        <v>567</v>
      </c>
      <c r="U391">
        <v>-0.1454</v>
      </c>
      <c r="V391">
        <v>-0.14319999999999999</v>
      </c>
      <c r="W391" t="s">
        <v>52</v>
      </c>
      <c r="X391">
        <v>0.88160000000000005</v>
      </c>
      <c r="Y391">
        <v>1.0043</v>
      </c>
      <c r="Z391">
        <v>1.0043</v>
      </c>
      <c r="AA391">
        <v>0.88160000000000005</v>
      </c>
      <c r="AB391">
        <v>20</v>
      </c>
      <c r="AC391">
        <v>20.0001</v>
      </c>
      <c r="AD391">
        <v>18.802099999999999</v>
      </c>
      <c r="AE391">
        <v>18.802099999999999</v>
      </c>
      <c r="AF391" t="s">
        <v>183</v>
      </c>
      <c r="AG391" t="s">
        <v>183</v>
      </c>
      <c r="AH391" t="s">
        <v>3894</v>
      </c>
      <c r="AI391" t="s">
        <v>3894</v>
      </c>
      <c r="AJ391" t="s">
        <v>3895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3896</v>
      </c>
      <c r="AT391" t="s">
        <v>3890</v>
      </c>
      <c r="AU391" t="s">
        <v>3897</v>
      </c>
      <c r="AV391" t="s">
        <v>3898</v>
      </c>
      <c r="AW391">
        <v>2</v>
      </c>
      <c r="AX391">
        <v>0</v>
      </c>
    </row>
    <row r="392" spans="1:50" x14ac:dyDescent="0.25">
      <c r="A392" t="s">
        <v>4342</v>
      </c>
      <c r="B392" t="s">
        <v>4015</v>
      </c>
      <c r="C392" t="s">
        <v>3890</v>
      </c>
      <c r="D392">
        <v>30.783999999999999</v>
      </c>
      <c r="E392">
        <v>30.724</v>
      </c>
      <c r="F392" s="2">
        <v>3.0000000000000001E-3</v>
      </c>
      <c r="G392" t="s">
        <v>523</v>
      </c>
      <c r="H392" t="s">
        <v>527</v>
      </c>
      <c r="I392">
        <v>439968.22489999997</v>
      </c>
      <c r="J392">
        <v>1827531.6088</v>
      </c>
      <c r="K392">
        <v>439988.22489999997</v>
      </c>
      <c r="L392">
        <v>1827531.6088</v>
      </c>
      <c r="M392" t="s">
        <v>56</v>
      </c>
      <c r="N392" t="s">
        <v>57</v>
      </c>
      <c r="O392">
        <v>750</v>
      </c>
      <c r="P392" t="s">
        <v>109</v>
      </c>
      <c r="Q392" t="s">
        <v>3919</v>
      </c>
      <c r="R392" t="s">
        <v>127</v>
      </c>
      <c r="S392" t="s">
        <v>525</v>
      </c>
      <c r="T392" t="s">
        <v>529</v>
      </c>
      <c r="U392">
        <v>5.8299999999999998E-2</v>
      </c>
      <c r="V392">
        <v>5.8299999999999998E-2</v>
      </c>
      <c r="W392" t="s">
        <v>52</v>
      </c>
      <c r="X392">
        <v>1.1535</v>
      </c>
      <c r="Y392">
        <v>1.2045999999999999</v>
      </c>
      <c r="Z392">
        <v>1.1948000000000001</v>
      </c>
      <c r="AA392">
        <v>1.1535</v>
      </c>
      <c r="AB392">
        <v>20</v>
      </c>
      <c r="AC392">
        <v>20.0001</v>
      </c>
      <c r="AD392">
        <v>18.803100000000001</v>
      </c>
      <c r="AE392">
        <v>18.8032</v>
      </c>
      <c r="AF392" t="s">
        <v>3920</v>
      </c>
      <c r="AG392" t="s">
        <v>3920</v>
      </c>
      <c r="AH392" t="s">
        <v>3894</v>
      </c>
      <c r="AI392" t="s">
        <v>3894</v>
      </c>
      <c r="AJ392" t="s">
        <v>3895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3896</v>
      </c>
      <c r="AT392" t="s">
        <v>3890</v>
      </c>
      <c r="AU392" t="s">
        <v>4016</v>
      </c>
      <c r="AV392" t="s">
        <v>3898</v>
      </c>
      <c r="AW392">
        <v>2</v>
      </c>
      <c r="AX392">
        <v>0</v>
      </c>
    </row>
    <row r="393" spans="1:50" x14ac:dyDescent="0.25">
      <c r="A393" t="s">
        <v>689</v>
      </c>
      <c r="B393" t="s">
        <v>3889</v>
      </c>
      <c r="C393" t="s">
        <v>3890</v>
      </c>
      <c r="D393">
        <v>31.85</v>
      </c>
      <c r="E393">
        <v>31.79</v>
      </c>
      <c r="F393" s="2">
        <v>3.0000000000000001E-3</v>
      </c>
      <c r="G393" t="s">
        <v>688</v>
      </c>
      <c r="H393" t="s">
        <v>692</v>
      </c>
      <c r="I393">
        <v>440044.59409999999</v>
      </c>
      <c r="J393">
        <v>1827425.1986</v>
      </c>
      <c r="K393">
        <v>440064.59409999999</v>
      </c>
      <c r="L393">
        <v>1827425.1986</v>
      </c>
      <c r="M393" t="s">
        <v>56</v>
      </c>
      <c r="N393" t="s">
        <v>57</v>
      </c>
      <c r="O393">
        <v>450</v>
      </c>
      <c r="P393" t="s">
        <v>3891</v>
      </c>
      <c r="Q393" t="s">
        <v>3892</v>
      </c>
      <c r="R393" t="s">
        <v>80</v>
      </c>
      <c r="S393" s="1" t="s">
        <v>690</v>
      </c>
      <c r="T393" t="s">
        <v>694</v>
      </c>
      <c r="U393">
        <v>0.1053</v>
      </c>
      <c r="V393">
        <v>9.8699999999999996E-2</v>
      </c>
      <c r="W393" t="s">
        <v>52</v>
      </c>
      <c r="X393">
        <v>0.91890000000000005</v>
      </c>
      <c r="Y393">
        <v>0.98629999999999995</v>
      </c>
      <c r="Z393">
        <v>0.98629999999999995</v>
      </c>
      <c r="AA393">
        <v>0.91890000000000005</v>
      </c>
      <c r="AB393">
        <v>20</v>
      </c>
      <c r="AC393">
        <v>20.0001</v>
      </c>
      <c r="AD393">
        <v>18.802099999999999</v>
      </c>
      <c r="AE393">
        <v>18.802199999999999</v>
      </c>
      <c r="AF393" t="s">
        <v>183</v>
      </c>
      <c r="AG393" t="s">
        <v>183</v>
      </c>
      <c r="AH393" t="s">
        <v>3894</v>
      </c>
      <c r="AI393" t="s">
        <v>3894</v>
      </c>
      <c r="AJ393" t="s">
        <v>3895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3896</v>
      </c>
      <c r="AT393" t="s">
        <v>3890</v>
      </c>
      <c r="AU393" t="s">
        <v>3897</v>
      </c>
      <c r="AV393" t="s">
        <v>3898</v>
      </c>
      <c r="AW393">
        <v>2</v>
      </c>
      <c r="AX393">
        <v>0</v>
      </c>
    </row>
    <row r="394" spans="1:50" x14ac:dyDescent="0.25">
      <c r="A394" t="s">
        <v>701</v>
      </c>
      <c r="B394" t="s">
        <v>3889</v>
      </c>
      <c r="C394" t="s">
        <v>3890</v>
      </c>
      <c r="D394">
        <v>31.85</v>
      </c>
      <c r="E394">
        <v>31.79</v>
      </c>
      <c r="F394" s="2">
        <v>3.0000000000000001E-3</v>
      </c>
      <c r="G394" t="s">
        <v>700</v>
      </c>
      <c r="H394" t="s">
        <v>702</v>
      </c>
      <c r="I394">
        <v>440044.59409999999</v>
      </c>
      <c r="J394">
        <v>1827415.4986</v>
      </c>
      <c r="K394">
        <v>440064.59409999999</v>
      </c>
      <c r="L394">
        <v>1827415.4986</v>
      </c>
      <c r="M394" t="s">
        <v>56</v>
      </c>
      <c r="N394" t="s">
        <v>57</v>
      </c>
      <c r="O394">
        <v>450</v>
      </c>
      <c r="P394" t="s">
        <v>3891</v>
      </c>
      <c r="Q394" t="s">
        <v>3892</v>
      </c>
      <c r="R394" t="s">
        <v>85</v>
      </c>
      <c r="S394" t="s">
        <v>690</v>
      </c>
      <c r="T394" t="s">
        <v>694</v>
      </c>
      <c r="U394">
        <v>-0.13519999999999999</v>
      </c>
      <c r="V394">
        <v>-0.13300000000000001</v>
      </c>
      <c r="W394" t="s">
        <v>52</v>
      </c>
      <c r="X394">
        <v>0.91890000000000005</v>
      </c>
      <c r="Y394">
        <v>0.98629999999999995</v>
      </c>
      <c r="Z394">
        <v>0.98629999999999995</v>
      </c>
      <c r="AA394">
        <v>0.91890000000000005</v>
      </c>
      <c r="AB394">
        <v>20</v>
      </c>
      <c r="AC394">
        <v>20.0001</v>
      </c>
      <c r="AD394">
        <v>18.802099999999999</v>
      </c>
      <c r="AE394">
        <v>18.802199999999999</v>
      </c>
      <c r="AF394" t="s">
        <v>183</v>
      </c>
      <c r="AG394" t="s">
        <v>183</v>
      </c>
      <c r="AH394" t="s">
        <v>3894</v>
      </c>
      <c r="AI394" t="s">
        <v>3894</v>
      </c>
      <c r="AJ394" t="s">
        <v>3895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3896</v>
      </c>
      <c r="AT394" t="s">
        <v>3890</v>
      </c>
      <c r="AU394" t="s">
        <v>3897</v>
      </c>
      <c r="AV394" t="s">
        <v>3898</v>
      </c>
      <c r="AW394">
        <v>2</v>
      </c>
      <c r="AX394">
        <v>0</v>
      </c>
    </row>
    <row r="395" spans="1:50" x14ac:dyDescent="0.25">
      <c r="A395" t="s">
        <v>4343</v>
      </c>
      <c r="B395" t="s">
        <v>3889</v>
      </c>
      <c r="C395" t="s">
        <v>3890</v>
      </c>
      <c r="D395">
        <v>30.933</v>
      </c>
      <c r="E395">
        <v>30.873999999999999</v>
      </c>
      <c r="F395" s="2">
        <v>2.3999999999999998E-3</v>
      </c>
      <c r="G395" t="s">
        <v>830</v>
      </c>
      <c r="H395" t="s">
        <v>838</v>
      </c>
      <c r="I395">
        <v>440170.42509999999</v>
      </c>
      <c r="J395">
        <v>1827425.1986</v>
      </c>
      <c r="K395">
        <v>440194.65590000001</v>
      </c>
      <c r="L395">
        <v>1827425.1986</v>
      </c>
      <c r="M395" t="s">
        <v>56</v>
      </c>
      <c r="N395" t="s">
        <v>57</v>
      </c>
      <c r="O395">
        <v>450</v>
      </c>
      <c r="P395" t="s">
        <v>3891</v>
      </c>
      <c r="Q395" t="s">
        <v>3892</v>
      </c>
      <c r="R395" t="s">
        <v>80</v>
      </c>
      <c r="S395" t="s">
        <v>832</v>
      </c>
      <c r="T395" t="s">
        <v>840</v>
      </c>
      <c r="U395">
        <v>6.4100000000000004E-2</v>
      </c>
      <c r="V395">
        <v>5.62E-2</v>
      </c>
      <c r="W395" t="s">
        <v>52</v>
      </c>
      <c r="X395">
        <v>0.79249999999999998</v>
      </c>
      <c r="Y395">
        <v>1.1019000000000001</v>
      </c>
      <c r="Z395">
        <v>1.1019000000000001</v>
      </c>
      <c r="AA395">
        <v>0.9758</v>
      </c>
      <c r="AB395">
        <v>24.230799999999999</v>
      </c>
      <c r="AC395">
        <v>24.230799999999999</v>
      </c>
      <c r="AD395">
        <v>23.032499999999999</v>
      </c>
      <c r="AE395">
        <v>23.032499999999999</v>
      </c>
      <c r="AF395" t="s">
        <v>183</v>
      </c>
      <c r="AG395" t="s">
        <v>183</v>
      </c>
      <c r="AH395" t="s">
        <v>3894</v>
      </c>
      <c r="AI395" t="s">
        <v>3894</v>
      </c>
      <c r="AJ395" t="s">
        <v>3895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3896</v>
      </c>
      <c r="AT395" t="s">
        <v>3890</v>
      </c>
      <c r="AU395" t="s">
        <v>3897</v>
      </c>
      <c r="AV395" t="s">
        <v>3898</v>
      </c>
      <c r="AW395">
        <v>2</v>
      </c>
      <c r="AX395">
        <v>0</v>
      </c>
    </row>
    <row r="396" spans="1:50" x14ac:dyDescent="0.25">
      <c r="A396" t="s">
        <v>856</v>
      </c>
      <c r="B396" t="s">
        <v>3889</v>
      </c>
      <c r="C396" t="s">
        <v>3890</v>
      </c>
      <c r="D396">
        <v>31.34</v>
      </c>
      <c r="E396">
        <v>31.28</v>
      </c>
      <c r="F396" s="2">
        <v>3.0000000000000001E-3</v>
      </c>
      <c r="G396" t="s">
        <v>855</v>
      </c>
      <c r="H396" t="s">
        <v>858</v>
      </c>
      <c r="I396">
        <v>440130.42509999999</v>
      </c>
      <c r="J396">
        <v>1827415.4986</v>
      </c>
      <c r="K396">
        <v>440150.42509999999</v>
      </c>
      <c r="L396">
        <v>1827415.4986</v>
      </c>
      <c r="M396" t="s">
        <v>56</v>
      </c>
      <c r="N396" t="s">
        <v>57</v>
      </c>
      <c r="O396">
        <v>450</v>
      </c>
      <c r="P396" t="s">
        <v>3891</v>
      </c>
      <c r="Q396" t="s">
        <v>3892</v>
      </c>
      <c r="R396" t="s">
        <v>85</v>
      </c>
      <c r="S396" t="s">
        <v>816</v>
      </c>
      <c r="T396" t="s">
        <v>824</v>
      </c>
      <c r="U396">
        <v>-0.1258</v>
      </c>
      <c r="V396">
        <v>-0.1237</v>
      </c>
      <c r="W396" t="s">
        <v>52</v>
      </c>
      <c r="X396">
        <v>0.88229999999999997</v>
      </c>
      <c r="Y396">
        <v>0.94969999999999999</v>
      </c>
      <c r="Z396">
        <v>0.94969999999999999</v>
      </c>
      <c r="AA396">
        <v>0.88229999999999997</v>
      </c>
      <c r="AB396">
        <v>20</v>
      </c>
      <c r="AC396">
        <v>20.0001</v>
      </c>
      <c r="AD396">
        <v>18.802099999999999</v>
      </c>
      <c r="AE396">
        <v>18.802199999999999</v>
      </c>
      <c r="AF396" t="s">
        <v>183</v>
      </c>
      <c r="AG396" t="s">
        <v>183</v>
      </c>
      <c r="AH396" t="s">
        <v>3894</v>
      </c>
      <c r="AI396" t="s">
        <v>3894</v>
      </c>
      <c r="AJ396" t="s">
        <v>3895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3896</v>
      </c>
      <c r="AT396" t="s">
        <v>3890</v>
      </c>
      <c r="AU396" t="s">
        <v>3897</v>
      </c>
      <c r="AV396" t="s">
        <v>3898</v>
      </c>
      <c r="AW396">
        <v>2</v>
      </c>
      <c r="AX396">
        <v>0</v>
      </c>
    </row>
    <row r="397" spans="1:50" x14ac:dyDescent="0.25">
      <c r="A397" t="s">
        <v>920</v>
      </c>
      <c r="B397" t="s">
        <v>3889</v>
      </c>
      <c r="C397" t="s">
        <v>3890</v>
      </c>
      <c r="D397">
        <v>30.449000000000002</v>
      </c>
      <c r="E397">
        <v>30.388999999999999</v>
      </c>
      <c r="F397" s="2">
        <v>3.0000000000000001E-3</v>
      </c>
      <c r="G397" t="s">
        <v>919</v>
      </c>
      <c r="H397" t="s">
        <v>923</v>
      </c>
      <c r="I397">
        <v>440264.74119999999</v>
      </c>
      <c r="J397">
        <v>1827425.1986</v>
      </c>
      <c r="K397">
        <v>440284.74119999999</v>
      </c>
      <c r="L397">
        <v>1827425.1986</v>
      </c>
      <c r="M397" t="s">
        <v>56</v>
      </c>
      <c r="N397" t="s">
        <v>57</v>
      </c>
      <c r="O397">
        <v>450</v>
      </c>
      <c r="P397" t="s">
        <v>3891</v>
      </c>
      <c r="Q397" t="s">
        <v>3892</v>
      </c>
      <c r="R397" t="s">
        <v>80</v>
      </c>
      <c r="S397" t="s">
        <v>921</v>
      </c>
      <c r="T397" t="s">
        <v>925</v>
      </c>
      <c r="U397">
        <v>3.32E-2</v>
      </c>
      <c r="V397">
        <v>2.6700000000000002E-2</v>
      </c>
      <c r="W397" t="s">
        <v>52</v>
      </c>
      <c r="X397">
        <v>0.91779999999999995</v>
      </c>
      <c r="Y397">
        <v>1.0247999999999999</v>
      </c>
      <c r="Z397">
        <v>1.0245</v>
      </c>
      <c r="AA397">
        <v>0.91779999999999995</v>
      </c>
      <c r="AB397">
        <v>20</v>
      </c>
      <c r="AC397">
        <v>20.0001</v>
      </c>
      <c r="AD397">
        <v>18.802099999999999</v>
      </c>
      <c r="AE397">
        <v>18.802199999999999</v>
      </c>
      <c r="AF397" t="s">
        <v>183</v>
      </c>
      <c r="AG397" t="s">
        <v>183</v>
      </c>
      <c r="AH397" t="s">
        <v>3894</v>
      </c>
      <c r="AI397" t="s">
        <v>3894</v>
      </c>
      <c r="AJ397" t="s">
        <v>3895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3896</v>
      </c>
      <c r="AT397" t="s">
        <v>3890</v>
      </c>
      <c r="AU397" t="s">
        <v>3897</v>
      </c>
      <c r="AV397" t="s">
        <v>3898</v>
      </c>
      <c r="AW397">
        <v>2</v>
      </c>
      <c r="AX397">
        <v>0</v>
      </c>
    </row>
    <row r="398" spans="1:50" x14ac:dyDescent="0.25">
      <c r="A398" t="s">
        <v>928</v>
      </c>
      <c r="B398" t="s">
        <v>3889</v>
      </c>
      <c r="C398" t="s">
        <v>3890</v>
      </c>
      <c r="D398">
        <v>30.449000000000002</v>
      </c>
      <c r="E398">
        <v>30.388999999999999</v>
      </c>
      <c r="F398" s="2">
        <v>3.0000000000000001E-3</v>
      </c>
      <c r="G398" t="s">
        <v>927</v>
      </c>
      <c r="H398" t="s">
        <v>930</v>
      </c>
      <c r="I398">
        <v>440264.74119999999</v>
      </c>
      <c r="J398">
        <v>1827415.4986</v>
      </c>
      <c r="K398">
        <v>440284.74119999999</v>
      </c>
      <c r="L398">
        <v>1827415.4986</v>
      </c>
      <c r="M398" t="s">
        <v>56</v>
      </c>
      <c r="N398" t="s">
        <v>57</v>
      </c>
      <c r="O398">
        <v>450</v>
      </c>
      <c r="P398" t="s">
        <v>3891</v>
      </c>
      <c r="Q398" t="s">
        <v>3892</v>
      </c>
      <c r="R398" t="s">
        <v>85</v>
      </c>
      <c r="S398" t="s">
        <v>921</v>
      </c>
      <c r="T398" t="s">
        <v>925</v>
      </c>
      <c r="U398">
        <v>-0.11119999999999999</v>
      </c>
      <c r="V398">
        <v>-0.1091</v>
      </c>
      <c r="W398" t="s">
        <v>52</v>
      </c>
      <c r="X398">
        <v>0.91779999999999995</v>
      </c>
      <c r="Y398">
        <v>0.98519999999999996</v>
      </c>
      <c r="Z398">
        <v>0.98519999999999996</v>
      </c>
      <c r="AA398">
        <v>0.91779999999999995</v>
      </c>
      <c r="AB398">
        <v>20</v>
      </c>
      <c r="AC398">
        <v>20.0001</v>
      </c>
      <c r="AD398">
        <v>18.802099999999999</v>
      </c>
      <c r="AE398">
        <v>18.802199999999999</v>
      </c>
      <c r="AF398" t="s">
        <v>183</v>
      </c>
      <c r="AG398" t="s">
        <v>183</v>
      </c>
      <c r="AH398" t="s">
        <v>3894</v>
      </c>
      <c r="AI398" t="s">
        <v>3894</v>
      </c>
      <c r="AJ398" t="s">
        <v>3895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3896</v>
      </c>
      <c r="AT398" t="s">
        <v>3890</v>
      </c>
      <c r="AU398" t="s">
        <v>3897</v>
      </c>
      <c r="AV398" t="s">
        <v>3898</v>
      </c>
      <c r="AW398">
        <v>2</v>
      </c>
      <c r="AX398">
        <v>0</v>
      </c>
    </row>
    <row r="399" spans="1:50" x14ac:dyDescent="0.25">
      <c r="A399" t="s">
        <v>4344</v>
      </c>
      <c r="B399" t="s">
        <v>3947</v>
      </c>
      <c r="C399" t="s">
        <v>3890</v>
      </c>
      <c r="D399">
        <v>27.277999999999999</v>
      </c>
      <c r="E399">
        <v>27.257999999999999</v>
      </c>
      <c r="F399" s="2">
        <v>1E-3</v>
      </c>
      <c r="G399" t="s">
        <v>3630</v>
      </c>
      <c r="H399" t="s">
        <v>3634</v>
      </c>
      <c r="I399">
        <v>440550.87599999999</v>
      </c>
      <c r="J399">
        <v>1827531.7830999999</v>
      </c>
      <c r="K399">
        <v>440570.14370000002</v>
      </c>
      <c r="L399">
        <v>1827531.7808999999</v>
      </c>
      <c r="M399" t="s">
        <v>56</v>
      </c>
      <c r="N399" t="s">
        <v>57</v>
      </c>
      <c r="O399">
        <v>1050</v>
      </c>
      <c r="P399" t="s">
        <v>3918</v>
      </c>
      <c r="Q399" t="s">
        <v>3930</v>
      </c>
      <c r="R399" t="s">
        <v>141</v>
      </c>
      <c r="S399" s="1" t="s">
        <v>3632</v>
      </c>
      <c r="T399" s="1" t="s">
        <v>3636</v>
      </c>
      <c r="U399">
        <v>0.23269999999999999</v>
      </c>
      <c r="V399">
        <v>0.23050000000000001</v>
      </c>
      <c r="W399" t="s">
        <v>52</v>
      </c>
      <c r="X399">
        <v>0.91410000000000002</v>
      </c>
      <c r="Y399">
        <v>1.1175999999999999</v>
      </c>
      <c r="Z399">
        <v>1.1175999999999999</v>
      </c>
      <c r="AA399">
        <v>0.91410000000000002</v>
      </c>
      <c r="AB399">
        <v>19.267700000000001</v>
      </c>
      <c r="AC399">
        <v>19.267700000000001</v>
      </c>
      <c r="AD399">
        <v>18.069199999999999</v>
      </c>
      <c r="AE399">
        <v>18.069199999999999</v>
      </c>
      <c r="AF399" t="s">
        <v>4345</v>
      </c>
      <c r="AG399" t="s">
        <v>4345</v>
      </c>
      <c r="AH399" t="s">
        <v>3894</v>
      </c>
      <c r="AI399" t="s">
        <v>3894</v>
      </c>
      <c r="AJ399" t="s">
        <v>3895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3896</v>
      </c>
      <c r="AT399" t="s">
        <v>3890</v>
      </c>
      <c r="AU399" t="s">
        <v>3950</v>
      </c>
      <c r="AV399" t="s">
        <v>3898</v>
      </c>
      <c r="AW399">
        <v>2</v>
      </c>
      <c r="AX399">
        <v>0</v>
      </c>
    </row>
    <row r="400" spans="1:50" x14ac:dyDescent="0.25">
      <c r="A400" t="s">
        <v>4346</v>
      </c>
      <c r="B400" t="s">
        <v>3889</v>
      </c>
      <c r="C400" t="s">
        <v>3890</v>
      </c>
      <c r="D400">
        <v>28.654</v>
      </c>
      <c r="E400">
        <v>28.596</v>
      </c>
      <c r="F400" s="2">
        <v>3.0000000000000001E-3</v>
      </c>
      <c r="G400" t="s">
        <v>2744</v>
      </c>
      <c r="H400" t="s">
        <v>2748</v>
      </c>
      <c r="I400">
        <v>440483.5687</v>
      </c>
      <c r="J400">
        <v>1827778.6757</v>
      </c>
      <c r="K400">
        <v>440502.87310000003</v>
      </c>
      <c r="L400">
        <v>1827778.6757</v>
      </c>
      <c r="M400" t="s">
        <v>56</v>
      </c>
      <c r="N400" t="s">
        <v>57</v>
      </c>
      <c r="O400">
        <v>450</v>
      </c>
      <c r="P400" t="s">
        <v>3891</v>
      </c>
      <c r="Q400" t="s">
        <v>3892</v>
      </c>
      <c r="R400" t="s">
        <v>200</v>
      </c>
      <c r="S400" s="1" t="s">
        <v>2746</v>
      </c>
      <c r="T400" t="s">
        <v>2750</v>
      </c>
      <c r="U400">
        <v>0.1249</v>
      </c>
      <c r="V400">
        <v>0.1183</v>
      </c>
      <c r="W400" t="s">
        <v>52</v>
      </c>
      <c r="X400">
        <v>0.87829999999999997</v>
      </c>
      <c r="Y400">
        <v>0.89410000000000001</v>
      </c>
      <c r="Z400">
        <v>0.89410000000000001</v>
      </c>
      <c r="AA400">
        <v>0.88600000000000001</v>
      </c>
      <c r="AB400">
        <v>19.304400000000001</v>
      </c>
      <c r="AC400">
        <v>19.304500000000001</v>
      </c>
      <c r="AD400">
        <v>18.1065</v>
      </c>
      <c r="AE400">
        <v>18.1066</v>
      </c>
      <c r="AF400" t="s">
        <v>183</v>
      </c>
      <c r="AG400" t="s">
        <v>183</v>
      </c>
      <c r="AH400" t="s">
        <v>3894</v>
      </c>
      <c r="AI400" t="s">
        <v>3894</v>
      </c>
      <c r="AJ400" t="s">
        <v>3895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3896</v>
      </c>
      <c r="AT400" t="s">
        <v>3890</v>
      </c>
      <c r="AU400" t="s">
        <v>3897</v>
      </c>
      <c r="AV400" t="s">
        <v>3898</v>
      </c>
      <c r="AW400">
        <v>2</v>
      </c>
      <c r="AX400">
        <v>0</v>
      </c>
    </row>
    <row r="401" spans="1:50" x14ac:dyDescent="0.25">
      <c r="A401" t="s">
        <v>4347</v>
      </c>
      <c r="B401" t="s">
        <v>3889</v>
      </c>
      <c r="C401" t="s">
        <v>3890</v>
      </c>
      <c r="D401">
        <v>28.739000000000001</v>
      </c>
      <c r="E401">
        <v>28.7</v>
      </c>
      <c r="F401" s="2">
        <v>2.2000000000000001E-3</v>
      </c>
      <c r="G401" t="s">
        <v>2756</v>
      </c>
      <c r="H401" t="s">
        <v>2752</v>
      </c>
      <c r="I401">
        <v>440519.97509999998</v>
      </c>
      <c r="J401">
        <v>1827809.7609000001</v>
      </c>
      <c r="K401">
        <v>440519.97509999998</v>
      </c>
      <c r="L401">
        <v>1827827.1483</v>
      </c>
      <c r="M401" t="s">
        <v>56</v>
      </c>
      <c r="N401" t="s">
        <v>57</v>
      </c>
      <c r="O401">
        <v>450</v>
      </c>
      <c r="P401" t="s">
        <v>3891</v>
      </c>
      <c r="Q401" t="s">
        <v>3892</v>
      </c>
      <c r="R401" t="s">
        <v>2591</v>
      </c>
      <c r="S401" t="s">
        <v>440</v>
      </c>
      <c r="T401" t="s">
        <v>2754</v>
      </c>
      <c r="U401">
        <v>-9.8000000000000004E-2</v>
      </c>
      <c r="V401">
        <v>-9.8000000000000004E-2</v>
      </c>
      <c r="W401" t="s">
        <v>52</v>
      </c>
      <c r="X401">
        <v>1.0692999999999999</v>
      </c>
      <c r="Y401">
        <v>1.2541</v>
      </c>
      <c r="Z401">
        <v>1.0692999999999999</v>
      </c>
      <c r="AA401">
        <v>1.2541</v>
      </c>
      <c r="AB401">
        <v>17.3874</v>
      </c>
      <c r="AC401">
        <v>17.387499999999999</v>
      </c>
      <c r="AD401">
        <v>16.189</v>
      </c>
      <c r="AE401">
        <v>16.189</v>
      </c>
      <c r="AF401" t="s">
        <v>67</v>
      </c>
      <c r="AG401" t="s">
        <v>67</v>
      </c>
      <c r="AH401" t="s">
        <v>3894</v>
      </c>
      <c r="AI401" t="s">
        <v>3894</v>
      </c>
      <c r="AJ401" t="s">
        <v>3895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3896</v>
      </c>
      <c r="AT401" t="s">
        <v>3890</v>
      </c>
      <c r="AU401" t="s">
        <v>3897</v>
      </c>
      <c r="AV401" t="s">
        <v>3898</v>
      </c>
      <c r="AW401">
        <v>2</v>
      </c>
      <c r="AX401">
        <v>0</v>
      </c>
    </row>
    <row r="402" spans="1:50" x14ac:dyDescent="0.25">
      <c r="A402" t="s">
        <v>4348</v>
      </c>
      <c r="B402" t="s">
        <v>3955</v>
      </c>
      <c r="C402" t="s">
        <v>3890</v>
      </c>
      <c r="D402">
        <v>29.106000000000002</v>
      </c>
      <c r="E402">
        <v>29.045999999999999</v>
      </c>
      <c r="F402" s="2">
        <v>3.5000000000000001E-3</v>
      </c>
      <c r="G402" t="s">
        <v>346</v>
      </c>
      <c r="H402" t="s">
        <v>3421</v>
      </c>
      <c r="I402">
        <v>440370.39889999997</v>
      </c>
      <c r="J402">
        <v>1827384.5236</v>
      </c>
      <c r="K402">
        <v>440387.64370000002</v>
      </c>
      <c r="L402">
        <v>1827384.5236</v>
      </c>
      <c r="M402" t="s">
        <v>56</v>
      </c>
      <c r="N402" t="s">
        <v>57</v>
      </c>
      <c r="O402">
        <v>600</v>
      </c>
      <c r="P402" t="s">
        <v>109</v>
      </c>
      <c r="Q402" t="s">
        <v>3892</v>
      </c>
      <c r="R402" t="s">
        <v>54</v>
      </c>
      <c r="S402" t="s">
        <v>348</v>
      </c>
      <c r="T402" t="s">
        <v>3423</v>
      </c>
      <c r="U402">
        <v>0</v>
      </c>
      <c r="V402">
        <v>0</v>
      </c>
      <c r="W402" t="s">
        <v>52</v>
      </c>
      <c r="X402">
        <v>1.26</v>
      </c>
      <c r="Y402">
        <v>1.5542</v>
      </c>
      <c r="Z402">
        <v>1.5542</v>
      </c>
      <c r="AA402">
        <v>1.2794000000000001</v>
      </c>
      <c r="AB402">
        <v>17.244800000000001</v>
      </c>
      <c r="AC402">
        <v>17.244900000000001</v>
      </c>
      <c r="AD402">
        <v>16.047699999999999</v>
      </c>
      <c r="AE402">
        <v>16.047799999999999</v>
      </c>
      <c r="AF402" t="s">
        <v>183</v>
      </c>
      <c r="AG402" t="s">
        <v>183</v>
      </c>
      <c r="AH402" t="s">
        <v>3894</v>
      </c>
      <c r="AI402" t="s">
        <v>3894</v>
      </c>
      <c r="AJ402" t="s">
        <v>3895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3896</v>
      </c>
      <c r="AT402" t="s">
        <v>3890</v>
      </c>
      <c r="AU402" t="s">
        <v>3956</v>
      </c>
      <c r="AV402" t="s">
        <v>3898</v>
      </c>
      <c r="AW402">
        <v>2</v>
      </c>
      <c r="AX402">
        <v>0</v>
      </c>
    </row>
    <row r="403" spans="1:50" x14ac:dyDescent="0.25">
      <c r="A403" t="s">
        <v>4349</v>
      </c>
      <c r="B403" t="s">
        <v>3889</v>
      </c>
      <c r="C403" t="s">
        <v>3890</v>
      </c>
      <c r="D403">
        <v>28.940999999999999</v>
      </c>
      <c r="E403">
        <v>28.920999999999999</v>
      </c>
      <c r="F403" s="2">
        <v>1.1000000000000001E-3</v>
      </c>
      <c r="G403" t="s">
        <v>2679</v>
      </c>
      <c r="H403" t="s">
        <v>2682</v>
      </c>
      <c r="I403">
        <v>440550.42509999999</v>
      </c>
      <c r="J403">
        <v>1827894.6109</v>
      </c>
      <c r="K403">
        <v>440568.08419999998</v>
      </c>
      <c r="L403">
        <v>1827894.6109</v>
      </c>
      <c r="M403" t="s">
        <v>56</v>
      </c>
      <c r="N403" t="s">
        <v>57</v>
      </c>
      <c r="O403">
        <v>450</v>
      </c>
      <c r="P403" t="s">
        <v>3891</v>
      </c>
      <c r="Q403" t="s">
        <v>3892</v>
      </c>
      <c r="R403" t="s">
        <v>260</v>
      </c>
      <c r="S403" t="s">
        <v>448</v>
      </c>
      <c r="T403" t="s">
        <v>2684</v>
      </c>
      <c r="U403">
        <v>5.04E-2</v>
      </c>
      <c r="V403">
        <v>3.9600000000000003E-2</v>
      </c>
      <c r="W403" t="s">
        <v>52</v>
      </c>
      <c r="X403">
        <v>1.0719000000000001</v>
      </c>
      <c r="Y403">
        <v>1.2509999999999999</v>
      </c>
      <c r="Z403">
        <v>1.2509999999999999</v>
      </c>
      <c r="AA403">
        <v>1.0719000000000001</v>
      </c>
      <c r="AB403">
        <v>17.659099999999999</v>
      </c>
      <c r="AC403">
        <v>17.659099999999999</v>
      </c>
      <c r="AD403">
        <v>16.459900000000001</v>
      </c>
      <c r="AE403">
        <v>16.459900000000001</v>
      </c>
      <c r="AF403" t="s">
        <v>3899</v>
      </c>
      <c r="AG403" t="s">
        <v>3899</v>
      </c>
      <c r="AH403" t="s">
        <v>3894</v>
      </c>
      <c r="AI403" t="s">
        <v>3894</v>
      </c>
      <c r="AJ403" t="s">
        <v>3895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3896</v>
      </c>
      <c r="AT403" t="s">
        <v>3890</v>
      </c>
      <c r="AU403" t="s">
        <v>3897</v>
      </c>
      <c r="AV403" t="s">
        <v>3898</v>
      </c>
      <c r="AW403">
        <v>2</v>
      </c>
      <c r="AX403">
        <v>0</v>
      </c>
    </row>
    <row r="404" spans="1:50" x14ac:dyDescent="0.25">
      <c r="A404" t="s">
        <v>4350</v>
      </c>
      <c r="B404" t="s">
        <v>3889</v>
      </c>
      <c r="C404" t="s">
        <v>3890</v>
      </c>
      <c r="D404">
        <v>30.053999999999998</v>
      </c>
      <c r="E404">
        <v>30.027000000000001</v>
      </c>
      <c r="F404" s="2">
        <v>2.8E-3</v>
      </c>
      <c r="G404" t="s">
        <v>933</v>
      </c>
      <c r="H404" t="s">
        <v>937</v>
      </c>
      <c r="I404">
        <v>440314.42489999998</v>
      </c>
      <c r="J404">
        <v>1827415.4986</v>
      </c>
      <c r="K404">
        <v>440314.27490000002</v>
      </c>
      <c r="L404">
        <v>1827425.1986</v>
      </c>
      <c r="M404" t="s">
        <v>56</v>
      </c>
      <c r="N404" t="s">
        <v>57</v>
      </c>
      <c r="O404">
        <v>450</v>
      </c>
      <c r="P404" t="s">
        <v>3891</v>
      </c>
      <c r="Q404" t="s">
        <v>3892</v>
      </c>
      <c r="R404" t="s">
        <v>288</v>
      </c>
      <c r="S404" t="s">
        <v>4056</v>
      </c>
      <c r="T404" t="s">
        <v>4057</v>
      </c>
      <c r="U404">
        <v>-2.5999999999999999E-2</v>
      </c>
      <c r="V404">
        <v>0.124</v>
      </c>
      <c r="W404" t="s">
        <v>52</v>
      </c>
      <c r="X404">
        <v>0.86399999999999999</v>
      </c>
      <c r="Y404">
        <v>1.0638000000000001</v>
      </c>
      <c r="Z404">
        <v>1.0638000000000001</v>
      </c>
      <c r="AA404">
        <v>0.86550000000000005</v>
      </c>
      <c r="AB404">
        <v>9.2571999999999992</v>
      </c>
      <c r="AC404">
        <v>9.2571999999999992</v>
      </c>
      <c r="AD404">
        <v>8.0586000000000002</v>
      </c>
      <c r="AE404">
        <v>8.0586000000000002</v>
      </c>
      <c r="AF404" t="s">
        <v>4351</v>
      </c>
      <c r="AG404" t="s">
        <v>4351</v>
      </c>
      <c r="AH404" t="s">
        <v>3894</v>
      </c>
      <c r="AI404" t="s">
        <v>3894</v>
      </c>
      <c r="AJ404" t="s">
        <v>3895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3896</v>
      </c>
      <c r="AT404" t="s">
        <v>3890</v>
      </c>
      <c r="AU404" t="s">
        <v>3897</v>
      </c>
      <c r="AV404" t="s">
        <v>3898</v>
      </c>
      <c r="AW404">
        <v>2</v>
      </c>
      <c r="AX404">
        <v>0</v>
      </c>
    </row>
    <row r="405" spans="1:50" x14ac:dyDescent="0.25">
      <c r="A405" t="s">
        <v>4352</v>
      </c>
      <c r="B405" t="s">
        <v>3889</v>
      </c>
      <c r="C405" t="s">
        <v>3890</v>
      </c>
      <c r="D405">
        <v>30.210999999999999</v>
      </c>
      <c r="E405">
        <v>30.163</v>
      </c>
      <c r="F405" s="2">
        <v>3.0000000000000001E-3</v>
      </c>
      <c r="G405" t="s">
        <v>2335</v>
      </c>
      <c r="H405" t="s">
        <v>2339</v>
      </c>
      <c r="I405">
        <v>440519.97509999998</v>
      </c>
      <c r="J405">
        <v>1827998.953</v>
      </c>
      <c r="K405">
        <v>440519.97509999998</v>
      </c>
      <c r="L405">
        <v>1827982.6984000001</v>
      </c>
      <c r="M405" t="s">
        <v>56</v>
      </c>
      <c r="N405" t="s">
        <v>57</v>
      </c>
      <c r="O405">
        <v>450</v>
      </c>
      <c r="P405" t="s">
        <v>3891</v>
      </c>
      <c r="Q405" t="s">
        <v>3892</v>
      </c>
      <c r="R405" t="s">
        <v>265</v>
      </c>
      <c r="S405" t="s">
        <v>2337</v>
      </c>
      <c r="T405" t="s">
        <v>444</v>
      </c>
      <c r="U405">
        <v>0</v>
      </c>
      <c r="V405">
        <v>0</v>
      </c>
      <c r="W405" t="s">
        <v>52</v>
      </c>
      <c r="X405">
        <v>0.88160000000000005</v>
      </c>
      <c r="Y405">
        <v>0.94130000000000003</v>
      </c>
      <c r="Z405">
        <v>0.94130000000000003</v>
      </c>
      <c r="AA405">
        <v>0.88160000000000005</v>
      </c>
      <c r="AB405">
        <v>16.2546</v>
      </c>
      <c r="AC405">
        <v>16.2547</v>
      </c>
      <c r="AD405">
        <v>15.056699999999999</v>
      </c>
      <c r="AE405">
        <v>15.056800000000001</v>
      </c>
      <c r="AF405" t="s">
        <v>2233</v>
      </c>
      <c r="AG405" t="s">
        <v>2233</v>
      </c>
      <c r="AH405" t="s">
        <v>3894</v>
      </c>
      <c r="AI405" t="s">
        <v>3894</v>
      </c>
      <c r="AJ405" t="s">
        <v>3895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3896</v>
      </c>
      <c r="AT405" t="s">
        <v>3890</v>
      </c>
      <c r="AU405" t="s">
        <v>3897</v>
      </c>
      <c r="AV405" t="s">
        <v>3898</v>
      </c>
      <c r="AW405">
        <v>2</v>
      </c>
      <c r="AX405">
        <v>0</v>
      </c>
    </row>
    <row r="406" spans="1:50" x14ac:dyDescent="0.25">
      <c r="A406" t="s">
        <v>4353</v>
      </c>
      <c r="B406" t="s">
        <v>3889</v>
      </c>
      <c r="C406" t="s">
        <v>3890</v>
      </c>
      <c r="D406">
        <v>30.5</v>
      </c>
      <c r="E406">
        <v>30.49</v>
      </c>
      <c r="F406" s="2">
        <v>1E-3</v>
      </c>
      <c r="G406" t="s">
        <v>3321</v>
      </c>
      <c r="H406" t="s">
        <v>3340</v>
      </c>
      <c r="I406">
        <v>440183.07490000001</v>
      </c>
      <c r="J406">
        <v>1827374.8986</v>
      </c>
      <c r="K406">
        <v>440192.77490000002</v>
      </c>
      <c r="L406">
        <v>1827374.8986</v>
      </c>
      <c r="M406" t="s">
        <v>56</v>
      </c>
      <c r="N406" t="s">
        <v>57</v>
      </c>
      <c r="O406">
        <v>450</v>
      </c>
      <c r="P406" t="s">
        <v>3891</v>
      </c>
      <c r="Q406" t="s">
        <v>3892</v>
      </c>
      <c r="R406" t="s">
        <v>3089</v>
      </c>
      <c r="S406" t="s">
        <v>3323</v>
      </c>
      <c r="T406" t="s">
        <v>3342</v>
      </c>
      <c r="U406">
        <v>-0.27500000000000002</v>
      </c>
      <c r="V406">
        <v>-0.27500000000000002</v>
      </c>
      <c r="W406" t="s">
        <v>52</v>
      </c>
      <c r="X406">
        <v>1.3791</v>
      </c>
      <c r="Y406">
        <v>1.5101</v>
      </c>
      <c r="Z406">
        <v>1.4571000000000001</v>
      </c>
      <c r="AA406">
        <v>1.3889</v>
      </c>
      <c r="AB406">
        <v>9.6999999999999993</v>
      </c>
      <c r="AC406">
        <v>9.6999999999999993</v>
      </c>
      <c r="AD406">
        <v>8.5007000000000001</v>
      </c>
      <c r="AE406">
        <v>8.5007000000000001</v>
      </c>
      <c r="AF406" t="s">
        <v>183</v>
      </c>
      <c r="AG406" t="s">
        <v>183</v>
      </c>
      <c r="AH406" t="s">
        <v>3894</v>
      </c>
      <c r="AI406" t="s">
        <v>3894</v>
      </c>
      <c r="AJ406" t="s">
        <v>3895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3896</v>
      </c>
      <c r="AT406" t="s">
        <v>3890</v>
      </c>
      <c r="AU406" t="s">
        <v>3897</v>
      </c>
      <c r="AV406" t="s">
        <v>3898</v>
      </c>
      <c r="AW406">
        <v>2</v>
      </c>
      <c r="AX406">
        <v>0</v>
      </c>
    </row>
    <row r="407" spans="1:50" x14ac:dyDescent="0.25">
      <c r="A407" t="s">
        <v>4354</v>
      </c>
      <c r="B407" t="s">
        <v>4355</v>
      </c>
      <c r="C407" t="s">
        <v>3890</v>
      </c>
      <c r="D407">
        <v>30.091000000000001</v>
      </c>
      <c r="E407">
        <v>30.053000000000001</v>
      </c>
      <c r="F407" s="2">
        <v>3.0000000000000001E-3</v>
      </c>
      <c r="G407" t="s">
        <v>2057</v>
      </c>
      <c r="H407" t="s">
        <v>2060</v>
      </c>
      <c r="I407">
        <v>440132.49949999998</v>
      </c>
      <c r="J407">
        <v>1827562.8171999999</v>
      </c>
      <c r="K407">
        <v>440132.49949999998</v>
      </c>
      <c r="L407">
        <v>1827550.3088</v>
      </c>
      <c r="M407" t="s">
        <v>56</v>
      </c>
      <c r="N407" t="s">
        <v>57</v>
      </c>
      <c r="O407">
        <v>900</v>
      </c>
      <c r="P407" t="s">
        <v>3918</v>
      </c>
      <c r="Q407" t="s">
        <v>3930</v>
      </c>
      <c r="R407" t="s">
        <v>1968</v>
      </c>
      <c r="S407" t="s">
        <v>563</v>
      </c>
      <c r="T407" t="s">
        <v>4356</v>
      </c>
      <c r="U407">
        <v>6.0000000000000001E-3</v>
      </c>
      <c r="V407">
        <v>2.9999999999999997E-4</v>
      </c>
      <c r="W407" t="s">
        <v>52</v>
      </c>
      <c r="X407">
        <v>0.82740000000000002</v>
      </c>
      <c r="Y407">
        <v>1.0764</v>
      </c>
      <c r="Z407">
        <v>1.0744</v>
      </c>
      <c r="AA407">
        <v>0.82740000000000002</v>
      </c>
      <c r="AB407">
        <v>12.5085</v>
      </c>
      <c r="AC407">
        <v>12.508599999999999</v>
      </c>
      <c r="AD407">
        <v>11.5372</v>
      </c>
      <c r="AE407">
        <v>11.5373</v>
      </c>
      <c r="AF407" t="s">
        <v>2233</v>
      </c>
      <c r="AG407" t="s">
        <v>2233</v>
      </c>
      <c r="AH407" t="s">
        <v>3894</v>
      </c>
      <c r="AI407" t="s">
        <v>3894</v>
      </c>
      <c r="AJ407" t="s">
        <v>3895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3896</v>
      </c>
      <c r="AT407" t="s">
        <v>3890</v>
      </c>
      <c r="AU407" t="s">
        <v>4357</v>
      </c>
      <c r="AV407" t="s">
        <v>3898</v>
      </c>
      <c r="AW407">
        <v>2</v>
      </c>
      <c r="AX407">
        <v>0</v>
      </c>
    </row>
    <row r="408" spans="1:50" x14ac:dyDescent="0.25">
      <c r="A408" t="s">
        <v>4358</v>
      </c>
      <c r="B408" t="s">
        <v>3889</v>
      </c>
      <c r="C408" t="s">
        <v>3890</v>
      </c>
      <c r="D408">
        <v>32.811</v>
      </c>
      <c r="E408">
        <v>32.762</v>
      </c>
      <c r="F408" s="2">
        <v>3.0999999999999999E-3</v>
      </c>
      <c r="G408" t="s">
        <v>468</v>
      </c>
      <c r="H408" t="s">
        <v>475</v>
      </c>
      <c r="I408">
        <v>439929.1752</v>
      </c>
      <c r="J408">
        <v>1827399.4839000001</v>
      </c>
      <c r="K408">
        <v>439929.1752</v>
      </c>
      <c r="L408">
        <v>1827415.4986</v>
      </c>
      <c r="M408" t="s">
        <v>56</v>
      </c>
      <c r="N408" t="s">
        <v>57</v>
      </c>
      <c r="O408">
        <v>450</v>
      </c>
      <c r="P408" t="s">
        <v>3891</v>
      </c>
      <c r="Q408" t="s">
        <v>3892</v>
      </c>
      <c r="R408" t="s">
        <v>320</v>
      </c>
      <c r="S408" s="1" t="s">
        <v>432</v>
      </c>
      <c r="T408" t="s">
        <v>4056</v>
      </c>
      <c r="U408">
        <v>-5.4800000000000001E-2</v>
      </c>
      <c r="V408">
        <v>-5.4800000000000001E-2</v>
      </c>
      <c r="W408" t="s">
        <v>52</v>
      </c>
      <c r="X408">
        <v>0.83430000000000004</v>
      </c>
      <c r="Y408">
        <v>0.98429999999999995</v>
      </c>
      <c r="Z408">
        <v>0.94810000000000005</v>
      </c>
      <c r="AA408">
        <v>0.86509999999999998</v>
      </c>
      <c r="AB408">
        <v>16.279800000000002</v>
      </c>
      <c r="AC408">
        <v>16.279900000000001</v>
      </c>
      <c r="AD408">
        <v>15.081899999999999</v>
      </c>
      <c r="AE408">
        <v>15.082000000000001</v>
      </c>
      <c r="AF408" t="s">
        <v>67</v>
      </c>
      <c r="AG408" t="s">
        <v>67</v>
      </c>
      <c r="AH408" t="s">
        <v>3894</v>
      </c>
      <c r="AI408" t="s">
        <v>3894</v>
      </c>
      <c r="AJ408" t="s">
        <v>3895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3896</v>
      </c>
      <c r="AT408" t="s">
        <v>3890</v>
      </c>
      <c r="AU408" t="s">
        <v>3897</v>
      </c>
      <c r="AV408" t="s">
        <v>3898</v>
      </c>
      <c r="AW408">
        <v>2</v>
      </c>
      <c r="AX408">
        <v>0</v>
      </c>
    </row>
    <row r="409" spans="1:50" x14ac:dyDescent="0.25">
      <c r="A409" t="s">
        <v>4359</v>
      </c>
      <c r="B409" t="s">
        <v>3889</v>
      </c>
      <c r="C409" t="s">
        <v>3890</v>
      </c>
      <c r="D409">
        <v>29.277000000000001</v>
      </c>
      <c r="E409">
        <v>29.216999999999999</v>
      </c>
      <c r="F409" s="2">
        <v>3.0000000000000001E-3</v>
      </c>
      <c r="G409" t="s">
        <v>2133</v>
      </c>
      <c r="H409" t="s">
        <v>217</v>
      </c>
      <c r="I409">
        <v>440314.27490000002</v>
      </c>
      <c r="J409">
        <v>1827735.5748000001</v>
      </c>
      <c r="K409">
        <v>440314.27490000002</v>
      </c>
      <c r="L409">
        <v>1827715.3953</v>
      </c>
      <c r="M409" t="s">
        <v>56</v>
      </c>
      <c r="N409" t="s">
        <v>57</v>
      </c>
      <c r="O409">
        <v>450</v>
      </c>
      <c r="P409" t="s">
        <v>3891</v>
      </c>
      <c r="Q409" t="s">
        <v>3892</v>
      </c>
      <c r="R409" t="s">
        <v>156</v>
      </c>
      <c r="S409" t="s">
        <v>440</v>
      </c>
      <c r="T409" t="s">
        <v>219</v>
      </c>
      <c r="U409">
        <v>2.7E-2</v>
      </c>
      <c r="V409">
        <v>2.7E-2</v>
      </c>
      <c r="W409" t="s">
        <v>52</v>
      </c>
      <c r="X409">
        <v>1.1316999999999999</v>
      </c>
      <c r="Y409">
        <v>1.1488</v>
      </c>
      <c r="Z409">
        <v>1.1488</v>
      </c>
      <c r="AA409">
        <v>1.1316999999999999</v>
      </c>
      <c r="AB409">
        <v>20.179500000000001</v>
      </c>
      <c r="AC409">
        <v>20.179600000000001</v>
      </c>
      <c r="AD409">
        <v>18.9816</v>
      </c>
      <c r="AE409">
        <v>18.9817</v>
      </c>
      <c r="AF409" t="s">
        <v>2233</v>
      </c>
      <c r="AG409" t="s">
        <v>2233</v>
      </c>
      <c r="AH409" t="s">
        <v>3894</v>
      </c>
      <c r="AI409" t="s">
        <v>3894</v>
      </c>
      <c r="AJ409" t="s">
        <v>3895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3896</v>
      </c>
      <c r="AT409" t="s">
        <v>3890</v>
      </c>
      <c r="AU409" t="s">
        <v>3897</v>
      </c>
      <c r="AV409" t="s">
        <v>3898</v>
      </c>
      <c r="AW409">
        <v>2</v>
      </c>
      <c r="AX409">
        <v>0</v>
      </c>
    </row>
    <row r="410" spans="1:50" x14ac:dyDescent="0.25">
      <c r="A410" t="s">
        <v>4360</v>
      </c>
      <c r="B410" t="s">
        <v>3889</v>
      </c>
      <c r="C410" t="s">
        <v>3890</v>
      </c>
      <c r="D410">
        <v>28.582999999999998</v>
      </c>
      <c r="E410">
        <v>28.523</v>
      </c>
      <c r="F410" s="2">
        <v>3.0000000000000001E-3</v>
      </c>
      <c r="G410" t="s">
        <v>3571</v>
      </c>
      <c r="H410" t="s">
        <v>3574</v>
      </c>
      <c r="I410">
        <v>440529.67509999999</v>
      </c>
      <c r="J410">
        <v>1827439.4838</v>
      </c>
      <c r="K410">
        <v>440529.67509999999</v>
      </c>
      <c r="L410">
        <v>1827459.4919</v>
      </c>
      <c r="M410" t="s">
        <v>56</v>
      </c>
      <c r="N410" t="s">
        <v>57</v>
      </c>
      <c r="O410">
        <v>450</v>
      </c>
      <c r="P410" t="s">
        <v>3891</v>
      </c>
      <c r="Q410" t="s">
        <v>3892</v>
      </c>
      <c r="R410" t="s">
        <v>362</v>
      </c>
      <c r="S410" t="s">
        <v>440</v>
      </c>
      <c r="T410" t="s">
        <v>3576</v>
      </c>
      <c r="U410">
        <v>0</v>
      </c>
      <c r="V410">
        <v>0</v>
      </c>
      <c r="W410" t="s">
        <v>52</v>
      </c>
      <c r="X410">
        <v>0.88229999999999997</v>
      </c>
      <c r="Y410">
        <v>1.0127999999999999</v>
      </c>
      <c r="Z410">
        <v>1.0127999999999999</v>
      </c>
      <c r="AA410">
        <v>0.88229999999999997</v>
      </c>
      <c r="AB410">
        <v>20.008099999999999</v>
      </c>
      <c r="AC410">
        <v>20.008199999999999</v>
      </c>
      <c r="AD410">
        <v>18.810199999999998</v>
      </c>
      <c r="AE410">
        <v>18.810300000000002</v>
      </c>
      <c r="AF410" t="s">
        <v>67</v>
      </c>
      <c r="AG410" t="s">
        <v>67</v>
      </c>
      <c r="AH410" t="s">
        <v>3894</v>
      </c>
      <c r="AI410" t="s">
        <v>3894</v>
      </c>
      <c r="AJ410" t="s">
        <v>3895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3896</v>
      </c>
      <c r="AT410" t="s">
        <v>3890</v>
      </c>
      <c r="AU410" t="s">
        <v>3897</v>
      </c>
      <c r="AV410" t="s">
        <v>3898</v>
      </c>
      <c r="AW410">
        <v>2</v>
      </c>
      <c r="AX410">
        <v>0</v>
      </c>
    </row>
    <row r="411" spans="1:50" x14ac:dyDescent="0.25">
      <c r="A411" t="s">
        <v>742</v>
      </c>
      <c r="B411" t="s">
        <v>3889</v>
      </c>
      <c r="C411" t="s">
        <v>3890</v>
      </c>
      <c r="D411">
        <v>30.847000000000001</v>
      </c>
      <c r="E411">
        <v>30.797000000000001</v>
      </c>
      <c r="F411" s="2">
        <v>3.0000000000000001E-3</v>
      </c>
      <c r="G411" t="s">
        <v>741</v>
      </c>
      <c r="H411" t="s">
        <v>744</v>
      </c>
      <c r="I411">
        <v>440192.77490000002</v>
      </c>
      <c r="J411">
        <v>1827439.4838</v>
      </c>
      <c r="K411">
        <v>440192.77490000002</v>
      </c>
      <c r="L411">
        <v>1827456.0003</v>
      </c>
      <c r="M411" t="s">
        <v>56</v>
      </c>
      <c r="N411" t="s">
        <v>57</v>
      </c>
      <c r="O411">
        <v>450</v>
      </c>
      <c r="P411" t="s">
        <v>3891</v>
      </c>
      <c r="Q411" t="s">
        <v>3892</v>
      </c>
      <c r="R411" t="s">
        <v>298</v>
      </c>
      <c r="S411" s="1" t="s">
        <v>440</v>
      </c>
      <c r="T411" t="s">
        <v>746</v>
      </c>
      <c r="U411">
        <v>-0.15</v>
      </c>
      <c r="V411">
        <v>-0.15</v>
      </c>
      <c r="W411" t="s">
        <v>52</v>
      </c>
      <c r="X411">
        <v>0.88360000000000005</v>
      </c>
      <c r="Y411">
        <v>0.94589999999999996</v>
      </c>
      <c r="Z411">
        <v>0.94589999999999996</v>
      </c>
      <c r="AA411">
        <v>0.88360000000000005</v>
      </c>
      <c r="AB411">
        <v>16.5166</v>
      </c>
      <c r="AC411">
        <v>16.5166</v>
      </c>
      <c r="AD411">
        <v>15.3187</v>
      </c>
      <c r="AE411">
        <v>15.3188</v>
      </c>
      <c r="AF411" t="s">
        <v>67</v>
      </c>
      <c r="AG411" t="s">
        <v>67</v>
      </c>
      <c r="AH411" t="s">
        <v>3894</v>
      </c>
      <c r="AI411" t="s">
        <v>3894</v>
      </c>
      <c r="AJ411" t="s">
        <v>3895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3896</v>
      </c>
      <c r="AT411" t="s">
        <v>3890</v>
      </c>
      <c r="AU411" t="s">
        <v>3897</v>
      </c>
      <c r="AV411" t="s">
        <v>3898</v>
      </c>
      <c r="AW411">
        <v>2</v>
      </c>
      <c r="AX411">
        <v>0</v>
      </c>
    </row>
    <row r="412" spans="1:50" x14ac:dyDescent="0.25">
      <c r="A412" t="s">
        <v>4361</v>
      </c>
      <c r="B412" t="s">
        <v>3924</v>
      </c>
      <c r="C412" t="s">
        <v>3890</v>
      </c>
      <c r="D412">
        <v>29.221</v>
      </c>
      <c r="E412">
        <v>29.19</v>
      </c>
      <c r="F412" s="2">
        <v>1.9E-3</v>
      </c>
      <c r="G412" t="s">
        <v>3112</v>
      </c>
      <c r="H412" t="s">
        <v>3137</v>
      </c>
      <c r="I412">
        <v>440438.20919999998</v>
      </c>
      <c r="J412">
        <v>1827375.0486000001</v>
      </c>
      <c r="K412">
        <v>440454.3751</v>
      </c>
      <c r="L412">
        <v>1827375.0874000001</v>
      </c>
      <c r="M412" t="s">
        <v>56</v>
      </c>
      <c r="N412" t="s">
        <v>57</v>
      </c>
      <c r="O412">
        <v>750</v>
      </c>
      <c r="P412" t="s">
        <v>3891</v>
      </c>
      <c r="Q412" t="s">
        <v>3892</v>
      </c>
      <c r="R412" t="s">
        <v>3089</v>
      </c>
      <c r="S412" t="s">
        <v>3114</v>
      </c>
      <c r="T412" t="s">
        <v>2712</v>
      </c>
      <c r="U412">
        <v>-0.125</v>
      </c>
      <c r="V412">
        <v>-8.6199999999999999E-2</v>
      </c>
      <c r="W412" t="s">
        <v>52</v>
      </c>
      <c r="X412">
        <v>1.0979000000000001</v>
      </c>
      <c r="Y412">
        <v>1.3248</v>
      </c>
      <c r="Z412">
        <v>1.3248</v>
      </c>
      <c r="AA412">
        <v>1.1183000000000001</v>
      </c>
      <c r="AB412">
        <v>16.166</v>
      </c>
      <c r="AC412">
        <v>16.166</v>
      </c>
      <c r="AD412">
        <v>14.9679</v>
      </c>
      <c r="AE412">
        <v>14.9679</v>
      </c>
      <c r="AF412" t="s">
        <v>4362</v>
      </c>
      <c r="AG412" t="s">
        <v>4362</v>
      </c>
      <c r="AH412" t="s">
        <v>3894</v>
      </c>
      <c r="AI412" t="s">
        <v>3894</v>
      </c>
      <c r="AJ412" t="s">
        <v>3895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3896</v>
      </c>
      <c r="AT412" t="s">
        <v>3890</v>
      </c>
      <c r="AU412" t="s">
        <v>3926</v>
      </c>
      <c r="AV412" t="s">
        <v>3898</v>
      </c>
      <c r="AW412">
        <v>2</v>
      </c>
      <c r="AX412">
        <v>0</v>
      </c>
    </row>
    <row r="413" spans="1:50" x14ac:dyDescent="0.25">
      <c r="A413" t="s">
        <v>4363</v>
      </c>
      <c r="B413" t="s">
        <v>3889</v>
      </c>
      <c r="C413" t="s">
        <v>3890</v>
      </c>
      <c r="D413">
        <v>32.417999999999999</v>
      </c>
      <c r="E413">
        <v>32.354999999999997</v>
      </c>
      <c r="F413" s="2">
        <v>3.0000000000000001E-3</v>
      </c>
      <c r="G413" t="s">
        <v>543</v>
      </c>
      <c r="H413" t="s">
        <v>547</v>
      </c>
      <c r="I413">
        <v>440020.77519999997</v>
      </c>
      <c r="J413">
        <v>1827314.3154</v>
      </c>
      <c r="K413">
        <v>440020.77519999997</v>
      </c>
      <c r="L413">
        <v>1827335.4184000001</v>
      </c>
      <c r="M413" t="s">
        <v>56</v>
      </c>
      <c r="N413" t="s">
        <v>57</v>
      </c>
      <c r="O413">
        <v>450</v>
      </c>
      <c r="P413" t="s">
        <v>3891</v>
      </c>
      <c r="Q413" t="s">
        <v>3892</v>
      </c>
      <c r="R413" t="s">
        <v>536</v>
      </c>
      <c r="S413" t="s">
        <v>545</v>
      </c>
      <c r="T413" t="s">
        <v>549</v>
      </c>
      <c r="U413">
        <v>0.15</v>
      </c>
      <c r="V413">
        <v>0.15</v>
      </c>
      <c r="W413" t="s">
        <v>52</v>
      </c>
      <c r="X413">
        <v>0.89929999999999999</v>
      </c>
      <c r="Y413">
        <v>0.91010000000000002</v>
      </c>
      <c r="Z413">
        <v>0.91010000000000002</v>
      </c>
      <c r="AA413">
        <v>0.89929999999999999</v>
      </c>
      <c r="AB413">
        <v>21.103100000000001</v>
      </c>
      <c r="AC413">
        <v>21.103200000000001</v>
      </c>
      <c r="AD413">
        <v>19.905200000000001</v>
      </c>
      <c r="AE413">
        <v>19.9053</v>
      </c>
      <c r="AF413" t="s">
        <v>4102</v>
      </c>
      <c r="AG413" t="s">
        <v>4102</v>
      </c>
      <c r="AH413" t="s">
        <v>3894</v>
      </c>
      <c r="AI413" t="s">
        <v>3894</v>
      </c>
      <c r="AJ413" t="s">
        <v>3895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3896</v>
      </c>
      <c r="AT413" t="s">
        <v>3890</v>
      </c>
      <c r="AU413" t="s">
        <v>3897</v>
      </c>
      <c r="AV413" t="s">
        <v>3898</v>
      </c>
      <c r="AW413">
        <v>2</v>
      </c>
      <c r="AX413">
        <v>0</v>
      </c>
    </row>
    <row r="414" spans="1:50" x14ac:dyDescent="0.25">
      <c r="A414" t="s">
        <v>4364</v>
      </c>
      <c r="B414" t="s">
        <v>3889</v>
      </c>
      <c r="C414" t="s">
        <v>3890</v>
      </c>
      <c r="D414">
        <v>28.587</v>
      </c>
      <c r="E414">
        <v>28.527999999999999</v>
      </c>
      <c r="F414" s="2">
        <v>3.0000000000000001E-3</v>
      </c>
      <c r="G414" t="s">
        <v>3604</v>
      </c>
      <c r="H414" t="s">
        <v>3608</v>
      </c>
      <c r="I414">
        <v>440519.97509999998</v>
      </c>
      <c r="J414">
        <v>1827439.4838</v>
      </c>
      <c r="K414">
        <v>440519.97509999998</v>
      </c>
      <c r="L414">
        <v>1827459.1143</v>
      </c>
      <c r="M414" t="s">
        <v>56</v>
      </c>
      <c r="N414" t="s">
        <v>57</v>
      </c>
      <c r="O414">
        <v>450</v>
      </c>
      <c r="P414" t="s">
        <v>3891</v>
      </c>
      <c r="Q414" t="s">
        <v>3892</v>
      </c>
      <c r="R414" t="s">
        <v>3606</v>
      </c>
      <c r="S414" t="s">
        <v>440</v>
      </c>
      <c r="T414" t="s">
        <v>3610</v>
      </c>
      <c r="U414">
        <v>0.13270000000000001</v>
      </c>
      <c r="V414">
        <v>0.13270000000000001</v>
      </c>
      <c r="W414" t="s">
        <v>52</v>
      </c>
      <c r="X414">
        <v>0.88090000000000002</v>
      </c>
      <c r="Y414">
        <v>1.0087999999999999</v>
      </c>
      <c r="Z414">
        <v>1.0087999999999999</v>
      </c>
      <c r="AA414">
        <v>0.88090000000000002</v>
      </c>
      <c r="AB414">
        <v>19.630500000000001</v>
      </c>
      <c r="AC414">
        <v>19.630600000000001</v>
      </c>
      <c r="AD414">
        <v>18.432600000000001</v>
      </c>
      <c r="AE414">
        <v>18.432700000000001</v>
      </c>
      <c r="AF414" t="s">
        <v>67</v>
      </c>
      <c r="AG414" t="s">
        <v>67</v>
      </c>
      <c r="AH414" t="s">
        <v>3894</v>
      </c>
      <c r="AI414" t="s">
        <v>3894</v>
      </c>
      <c r="AJ414" t="s">
        <v>3895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3896</v>
      </c>
      <c r="AT414" t="s">
        <v>3890</v>
      </c>
      <c r="AU414" t="s">
        <v>3897</v>
      </c>
      <c r="AV414" t="s">
        <v>3898</v>
      </c>
      <c r="AW414">
        <v>2</v>
      </c>
      <c r="AX414">
        <v>0</v>
      </c>
    </row>
    <row r="415" spans="1:50" x14ac:dyDescent="0.25">
      <c r="A415" t="s">
        <v>4365</v>
      </c>
      <c r="B415" t="s">
        <v>3889</v>
      </c>
      <c r="C415" t="s">
        <v>3890</v>
      </c>
      <c r="D415">
        <v>31.384</v>
      </c>
      <c r="E415">
        <v>31.326000000000001</v>
      </c>
      <c r="F415" s="2">
        <v>3.0000000000000001E-3</v>
      </c>
      <c r="G415" t="s">
        <v>3297</v>
      </c>
      <c r="H415" t="s">
        <v>3301</v>
      </c>
      <c r="I415">
        <v>440146.60930000001</v>
      </c>
      <c r="J415">
        <v>1827374.8986</v>
      </c>
      <c r="K415">
        <v>440165.97340000002</v>
      </c>
      <c r="L415">
        <v>1827374.8986</v>
      </c>
      <c r="M415" t="s">
        <v>56</v>
      </c>
      <c r="N415" t="s">
        <v>57</v>
      </c>
      <c r="O415">
        <v>450</v>
      </c>
      <c r="P415" t="s">
        <v>3891</v>
      </c>
      <c r="Q415" t="s">
        <v>3892</v>
      </c>
      <c r="R415" t="s">
        <v>3089</v>
      </c>
      <c r="S415" t="s">
        <v>3299</v>
      </c>
      <c r="T415" t="s">
        <v>3303</v>
      </c>
      <c r="U415">
        <v>-0.27500000000000002</v>
      </c>
      <c r="V415">
        <v>-0.27500000000000002</v>
      </c>
      <c r="W415" t="s">
        <v>52</v>
      </c>
      <c r="X415">
        <v>0.88039999999999996</v>
      </c>
      <c r="Y415">
        <v>0.94030000000000002</v>
      </c>
      <c r="Z415">
        <v>0.94030000000000002</v>
      </c>
      <c r="AA415">
        <v>0.88039999999999996</v>
      </c>
      <c r="AB415">
        <v>19.364000000000001</v>
      </c>
      <c r="AC415">
        <v>19.364100000000001</v>
      </c>
      <c r="AD415">
        <v>18.1661</v>
      </c>
      <c r="AE415">
        <v>18.1662</v>
      </c>
      <c r="AF415" t="s">
        <v>183</v>
      </c>
      <c r="AG415" t="s">
        <v>183</v>
      </c>
      <c r="AH415" t="s">
        <v>3894</v>
      </c>
      <c r="AI415" t="s">
        <v>3894</v>
      </c>
      <c r="AJ415" t="s">
        <v>3895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3896</v>
      </c>
      <c r="AT415" t="s">
        <v>3890</v>
      </c>
      <c r="AU415" t="s">
        <v>3897</v>
      </c>
      <c r="AV415" t="s">
        <v>3898</v>
      </c>
      <c r="AW415">
        <v>2</v>
      </c>
      <c r="AX415">
        <v>0</v>
      </c>
    </row>
    <row r="416" spans="1:50" x14ac:dyDescent="0.25">
      <c r="A416" t="s">
        <v>4366</v>
      </c>
      <c r="B416" t="s">
        <v>3963</v>
      </c>
      <c r="C416" t="s">
        <v>3890</v>
      </c>
      <c r="D416">
        <v>29.818000000000001</v>
      </c>
      <c r="E416">
        <v>29.765999999999998</v>
      </c>
      <c r="F416" s="2">
        <v>2.5999999999999999E-3</v>
      </c>
      <c r="G416" t="s">
        <v>1138</v>
      </c>
      <c r="H416" t="s">
        <v>1142</v>
      </c>
      <c r="I416">
        <v>440258.29989999998</v>
      </c>
      <c r="J416">
        <v>1827672.9</v>
      </c>
      <c r="K416">
        <v>440258.29989999998</v>
      </c>
      <c r="L416">
        <v>1827692.7645</v>
      </c>
      <c r="M416" t="s">
        <v>56</v>
      </c>
      <c r="N416" t="s">
        <v>57</v>
      </c>
      <c r="O416">
        <v>600</v>
      </c>
      <c r="P416" t="s">
        <v>3891</v>
      </c>
      <c r="Q416" t="s">
        <v>3892</v>
      </c>
      <c r="R416" t="s">
        <v>275</v>
      </c>
      <c r="S416" t="s">
        <v>1140</v>
      </c>
      <c r="T416" t="s">
        <v>4367</v>
      </c>
      <c r="U416">
        <v>9.6500000000000002E-2</v>
      </c>
      <c r="V416">
        <v>9.6500000000000002E-2</v>
      </c>
      <c r="W416" t="s">
        <v>52</v>
      </c>
      <c r="X416">
        <v>0.85019999999999996</v>
      </c>
      <c r="Y416">
        <v>1.0470999999999999</v>
      </c>
      <c r="Z416">
        <v>0.99909999999999999</v>
      </c>
      <c r="AA416">
        <v>0.8669</v>
      </c>
      <c r="AB416">
        <v>20.015000000000001</v>
      </c>
      <c r="AC416">
        <v>20.015000000000001</v>
      </c>
      <c r="AD416">
        <v>19.041799999999999</v>
      </c>
      <c r="AE416">
        <v>19.041799999999999</v>
      </c>
      <c r="AF416" t="s">
        <v>67</v>
      </c>
      <c r="AG416" t="s">
        <v>67</v>
      </c>
      <c r="AH416" t="s">
        <v>3894</v>
      </c>
      <c r="AI416" t="s">
        <v>3894</v>
      </c>
      <c r="AJ416" t="s">
        <v>3895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3896</v>
      </c>
      <c r="AT416" t="s">
        <v>3890</v>
      </c>
      <c r="AU416" t="s">
        <v>3964</v>
      </c>
      <c r="AV416" t="s">
        <v>3898</v>
      </c>
      <c r="AW416">
        <v>2</v>
      </c>
      <c r="AX416">
        <v>0</v>
      </c>
    </row>
    <row r="417" spans="1:50" x14ac:dyDescent="0.25">
      <c r="A417" t="s">
        <v>4368</v>
      </c>
      <c r="B417" t="s">
        <v>3917</v>
      </c>
      <c r="C417" t="s">
        <v>3890</v>
      </c>
      <c r="D417">
        <v>29.122</v>
      </c>
      <c r="E417">
        <v>29.062999999999999</v>
      </c>
      <c r="F417" s="2">
        <v>2.8E-3</v>
      </c>
      <c r="G417" t="s">
        <v>730</v>
      </c>
      <c r="H417" t="s">
        <v>734</v>
      </c>
      <c r="I417">
        <v>440127</v>
      </c>
      <c r="J417">
        <v>1827531.6088</v>
      </c>
      <c r="K417">
        <v>440148.22489999997</v>
      </c>
      <c r="L417">
        <v>1827531.6088</v>
      </c>
      <c r="M417" t="s">
        <v>56</v>
      </c>
      <c r="N417" t="s">
        <v>57</v>
      </c>
      <c r="O417">
        <v>750</v>
      </c>
      <c r="P417" t="s">
        <v>3918</v>
      </c>
      <c r="Q417" t="s">
        <v>3919</v>
      </c>
      <c r="R417" t="s">
        <v>127</v>
      </c>
      <c r="S417" t="s">
        <v>732</v>
      </c>
      <c r="T417" t="s">
        <v>444</v>
      </c>
      <c r="U417">
        <v>5.8299999999999998E-2</v>
      </c>
      <c r="V417">
        <v>5.8400000000000001E-2</v>
      </c>
      <c r="W417" t="s">
        <v>52</v>
      </c>
      <c r="X417">
        <v>1.7539</v>
      </c>
      <c r="Y417">
        <v>1.8157000000000001</v>
      </c>
      <c r="Z417">
        <v>1.8157000000000001</v>
      </c>
      <c r="AA417">
        <v>1.7539</v>
      </c>
      <c r="AB417">
        <v>21.224900000000002</v>
      </c>
      <c r="AC417">
        <v>21.224900000000002</v>
      </c>
      <c r="AD417">
        <v>20.027799999999999</v>
      </c>
      <c r="AE417">
        <v>20.027899999999999</v>
      </c>
      <c r="AF417" t="s">
        <v>3920</v>
      </c>
      <c r="AG417" t="s">
        <v>3920</v>
      </c>
      <c r="AH417" t="s">
        <v>3894</v>
      </c>
      <c r="AI417" t="s">
        <v>3894</v>
      </c>
      <c r="AJ417" t="s">
        <v>3895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3896</v>
      </c>
      <c r="AT417" t="s">
        <v>3890</v>
      </c>
      <c r="AU417" t="s">
        <v>3921</v>
      </c>
      <c r="AV417" t="s">
        <v>3898</v>
      </c>
      <c r="AW417">
        <v>2</v>
      </c>
      <c r="AX417">
        <v>0</v>
      </c>
    </row>
    <row r="418" spans="1:50" x14ac:dyDescent="0.25">
      <c r="A418" t="s">
        <v>4369</v>
      </c>
      <c r="B418" t="s">
        <v>4065</v>
      </c>
      <c r="C418" t="s">
        <v>3890</v>
      </c>
      <c r="D418">
        <v>30.885000000000002</v>
      </c>
      <c r="E418">
        <v>30.853999999999999</v>
      </c>
      <c r="F418" s="2">
        <v>2.8999999999999998E-3</v>
      </c>
      <c r="G418" t="s">
        <v>1295</v>
      </c>
      <c r="H418" t="s">
        <v>1298</v>
      </c>
      <c r="I418">
        <v>440198.92479999998</v>
      </c>
      <c r="J418">
        <v>1827864.4741</v>
      </c>
      <c r="K418">
        <v>440198.92479999998</v>
      </c>
      <c r="L418">
        <v>1827853.7742000001</v>
      </c>
      <c r="M418" t="s">
        <v>56</v>
      </c>
      <c r="N418" t="s">
        <v>57</v>
      </c>
      <c r="O418">
        <v>900</v>
      </c>
      <c r="P418" t="s">
        <v>58</v>
      </c>
      <c r="Q418" t="s">
        <v>3919</v>
      </c>
      <c r="R418" t="s">
        <v>146</v>
      </c>
      <c r="S418" t="s">
        <v>4370</v>
      </c>
      <c r="T418" t="s">
        <v>4371</v>
      </c>
      <c r="U418">
        <v>-2.5000000000000001E-2</v>
      </c>
      <c r="V418">
        <v>-2.5000000000000001E-2</v>
      </c>
      <c r="W418" t="s">
        <v>52</v>
      </c>
      <c r="X418">
        <v>0.84230000000000005</v>
      </c>
      <c r="Y418">
        <v>0.94379999999999997</v>
      </c>
      <c r="Z418">
        <v>0.86309999999999998</v>
      </c>
      <c r="AA418">
        <v>0.84230000000000005</v>
      </c>
      <c r="AB418">
        <v>10.6999</v>
      </c>
      <c r="AC418">
        <v>10.7</v>
      </c>
      <c r="AD418">
        <v>9.5033999999999992</v>
      </c>
      <c r="AE418">
        <v>9.5033999999999992</v>
      </c>
      <c r="AF418" t="s">
        <v>2233</v>
      </c>
      <c r="AG418" t="s">
        <v>2233</v>
      </c>
      <c r="AH418" t="s">
        <v>3894</v>
      </c>
      <c r="AI418" t="s">
        <v>3894</v>
      </c>
      <c r="AJ418" t="s">
        <v>3895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3896</v>
      </c>
      <c r="AT418" t="s">
        <v>3890</v>
      </c>
      <c r="AU418" t="s">
        <v>4066</v>
      </c>
      <c r="AV418" t="s">
        <v>3898</v>
      </c>
      <c r="AW418">
        <v>2</v>
      </c>
      <c r="AX418">
        <v>0</v>
      </c>
    </row>
    <row r="419" spans="1:50" x14ac:dyDescent="0.25">
      <c r="A419" t="s">
        <v>4372</v>
      </c>
      <c r="B419" t="s">
        <v>3928</v>
      </c>
      <c r="C419" t="s">
        <v>3890</v>
      </c>
      <c r="D419">
        <v>28.081</v>
      </c>
      <c r="E419">
        <v>28.018999999999998</v>
      </c>
      <c r="F419" s="2">
        <v>2.3999999999999998E-3</v>
      </c>
      <c r="G419" t="s">
        <v>2578</v>
      </c>
      <c r="H419" t="s">
        <v>2070</v>
      </c>
      <c r="I419">
        <v>440594.8175</v>
      </c>
      <c r="J419">
        <v>1827934.9358999999</v>
      </c>
      <c r="K419">
        <v>440620.59129999997</v>
      </c>
      <c r="L419">
        <v>1827934.9358999999</v>
      </c>
      <c r="M419" t="s">
        <v>56</v>
      </c>
      <c r="N419" t="s">
        <v>57</v>
      </c>
      <c r="O419">
        <v>900</v>
      </c>
      <c r="P419" t="s">
        <v>3929</v>
      </c>
      <c r="Q419" t="s">
        <v>3930</v>
      </c>
      <c r="R419" t="s">
        <v>241</v>
      </c>
      <c r="S419" s="1" t="s">
        <v>4373</v>
      </c>
      <c r="T419" s="1" t="s">
        <v>4374</v>
      </c>
      <c r="U419">
        <v>-2.5000000000000001E-2</v>
      </c>
      <c r="V419">
        <v>-2.5000000000000001E-2</v>
      </c>
      <c r="W419" t="s">
        <v>52</v>
      </c>
      <c r="X419">
        <v>1.4216</v>
      </c>
      <c r="Y419">
        <v>1.498</v>
      </c>
      <c r="Z419">
        <v>1.4216</v>
      </c>
      <c r="AA419">
        <v>-0.7</v>
      </c>
      <c r="AB419">
        <v>25.774100000000001</v>
      </c>
      <c r="AC419">
        <v>25.7742</v>
      </c>
      <c r="AD419">
        <v>25.1753</v>
      </c>
      <c r="AE419">
        <v>25.1753</v>
      </c>
      <c r="AF419" t="s">
        <v>183</v>
      </c>
      <c r="AG419" t="s">
        <v>183</v>
      </c>
      <c r="AH419" t="s">
        <v>3894</v>
      </c>
      <c r="AI419" t="s">
        <v>3894</v>
      </c>
      <c r="AJ419" t="s">
        <v>3895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3896</v>
      </c>
      <c r="AT419" t="s">
        <v>3890</v>
      </c>
      <c r="AU419" t="s">
        <v>3931</v>
      </c>
      <c r="AV419" t="s">
        <v>3898</v>
      </c>
      <c r="AW419">
        <v>3</v>
      </c>
      <c r="AX419">
        <v>0</v>
      </c>
    </row>
    <row r="420" spans="1:50" x14ac:dyDescent="0.25">
      <c r="A420" t="s">
        <v>4375</v>
      </c>
      <c r="B420" t="s">
        <v>4010</v>
      </c>
      <c r="C420" t="s">
        <v>3890</v>
      </c>
      <c r="D420">
        <v>28.548999999999999</v>
      </c>
      <c r="E420">
        <v>28.486999999999998</v>
      </c>
      <c r="F420" s="2">
        <v>2.3999999999999998E-3</v>
      </c>
      <c r="G420" t="s">
        <v>2431</v>
      </c>
      <c r="H420" t="s">
        <v>2070</v>
      </c>
      <c r="I420">
        <v>440594.92509999999</v>
      </c>
      <c r="J420">
        <v>1827925.7609000001</v>
      </c>
      <c r="K420">
        <v>440620.59129999997</v>
      </c>
      <c r="L420">
        <v>1827925.7609000001</v>
      </c>
      <c r="M420" t="s">
        <v>56</v>
      </c>
      <c r="N420" t="s">
        <v>57</v>
      </c>
      <c r="O420">
        <v>900</v>
      </c>
      <c r="P420" t="s">
        <v>109</v>
      </c>
      <c r="Q420" t="s">
        <v>3919</v>
      </c>
      <c r="R420" t="s">
        <v>2395</v>
      </c>
      <c r="S420" s="1" t="s">
        <v>4276</v>
      </c>
      <c r="T420" s="1" t="s">
        <v>4374</v>
      </c>
      <c r="U420">
        <v>1.21E-2</v>
      </c>
      <c r="V420">
        <v>1.2999999999999999E-3</v>
      </c>
      <c r="W420" t="s">
        <v>52</v>
      </c>
      <c r="X420">
        <v>1.1954</v>
      </c>
      <c r="Y420">
        <v>1.2694000000000001</v>
      </c>
      <c r="Z420">
        <v>1.1954</v>
      </c>
      <c r="AA420">
        <v>-0.52500000000000002</v>
      </c>
      <c r="AB420">
        <v>25.666399999999999</v>
      </c>
      <c r="AC420">
        <v>25.666399999999999</v>
      </c>
      <c r="AD420">
        <v>25.067599999999999</v>
      </c>
      <c r="AE420">
        <v>25.067699999999999</v>
      </c>
      <c r="AF420" t="s">
        <v>183</v>
      </c>
      <c r="AG420" t="s">
        <v>183</v>
      </c>
      <c r="AH420" t="s">
        <v>3894</v>
      </c>
      <c r="AI420" t="s">
        <v>3894</v>
      </c>
      <c r="AJ420" t="s">
        <v>3895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3896</v>
      </c>
      <c r="AT420" t="s">
        <v>3890</v>
      </c>
      <c r="AU420" t="s">
        <v>4012</v>
      </c>
      <c r="AV420" t="s">
        <v>3898</v>
      </c>
      <c r="AW420">
        <v>3</v>
      </c>
      <c r="AX420">
        <v>0</v>
      </c>
    </row>
    <row r="421" spans="1:50" x14ac:dyDescent="0.25">
      <c r="A421" t="s">
        <v>4376</v>
      </c>
      <c r="B421" t="s">
        <v>4010</v>
      </c>
      <c r="C421" t="s">
        <v>3890</v>
      </c>
      <c r="D421">
        <v>31.135999999999999</v>
      </c>
      <c r="E421">
        <v>31.105</v>
      </c>
      <c r="F421" s="2">
        <v>2.8999999999999998E-3</v>
      </c>
      <c r="G421" t="s">
        <v>1889</v>
      </c>
      <c r="H421" t="s">
        <v>1919</v>
      </c>
      <c r="I421">
        <v>440121.92450000002</v>
      </c>
      <c r="J421">
        <v>1827864.2250000001</v>
      </c>
      <c r="K421">
        <v>440121.92450000002</v>
      </c>
      <c r="L421">
        <v>1827853.6935000001</v>
      </c>
      <c r="M421" t="s">
        <v>56</v>
      </c>
      <c r="N421" t="s">
        <v>57</v>
      </c>
      <c r="O421">
        <v>900</v>
      </c>
      <c r="P421" t="s">
        <v>109</v>
      </c>
      <c r="Q421" t="s">
        <v>3919</v>
      </c>
      <c r="R421" t="s">
        <v>395</v>
      </c>
      <c r="S421" t="s">
        <v>4377</v>
      </c>
      <c r="T421" t="s">
        <v>4378</v>
      </c>
      <c r="U421">
        <v>-0.1721</v>
      </c>
      <c r="V421">
        <v>-0.1721</v>
      </c>
      <c r="W421" t="s">
        <v>52</v>
      </c>
      <c r="X421">
        <v>0.84230000000000005</v>
      </c>
      <c r="Y421">
        <v>0.9234</v>
      </c>
      <c r="Z421">
        <v>0.85270000000000001</v>
      </c>
      <c r="AA421">
        <v>0.84279999999999999</v>
      </c>
      <c r="AB421">
        <v>10.5314</v>
      </c>
      <c r="AC421">
        <v>10.531499999999999</v>
      </c>
      <c r="AD421">
        <v>9.3350000000000009</v>
      </c>
      <c r="AE421">
        <v>9.3350000000000009</v>
      </c>
      <c r="AF421" t="s">
        <v>2233</v>
      </c>
      <c r="AG421" t="s">
        <v>2233</v>
      </c>
      <c r="AH421" t="s">
        <v>3894</v>
      </c>
      <c r="AI421" t="s">
        <v>3894</v>
      </c>
      <c r="AJ421" t="s">
        <v>3895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3896</v>
      </c>
      <c r="AT421" t="s">
        <v>3890</v>
      </c>
      <c r="AU421" t="s">
        <v>4012</v>
      </c>
      <c r="AV421" t="s">
        <v>3898</v>
      </c>
      <c r="AW421">
        <v>2</v>
      </c>
      <c r="AX421">
        <v>0</v>
      </c>
    </row>
    <row r="422" spans="1:50" x14ac:dyDescent="0.25">
      <c r="A422" t="s">
        <v>4379</v>
      </c>
      <c r="B422" t="s">
        <v>4065</v>
      </c>
      <c r="C422" t="s">
        <v>3890</v>
      </c>
      <c r="D422">
        <v>30.957999999999998</v>
      </c>
      <c r="E422">
        <v>30.905000000000001</v>
      </c>
      <c r="F422" s="2">
        <v>3.0999999999999999E-3</v>
      </c>
      <c r="G422" t="s">
        <v>1283</v>
      </c>
      <c r="H422" t="s">
        <v>1295</v>
      </c>
      <c r="I422">
        <v>440198.92479999998</v>
      </c>
      <c r="J422">
        <v>1827881.8171000001</v>
      </c>
      <c r="K422">
        <v>440198.92479999998</v>
      </c>
      <c r="L422">
        <v>1827864.4741</v>
      </c>
      <c r="M422" t="s">
        <v>56</v>
      </c>
      <c r="N422" t="s">
        <v>57</v>
      </c>
      <c r="O422">
        <v>900</v>
      </c>
      <c r="P422" t="s">
        <v>58</v>
      </c>
      <c r="Q422" t="s">
        <v>3919</v>
      </c>
      <c r="R422" t="s">
        <v>146</v>
      </c>
      <c r="S422" t="s">
        <v>1285</v>
      </c>
      <c r="T422" t="s">
        <v>4370</v>
      </c>
      <c r="U422">
        <v>-2.5000000000000001E-2</v>
      </c>
      <c r="V422">
        <v>-2.5000000000000001E-2</v>
      </c>
      <c r="W422" t="s">
        <v>52</v>
      </c>
      <c r="X422">
        <v>0.81989999999999996</v>
      </c>
      <c r="Y422">
        <v>0.97829999999999995</v>
      </c>
      <c r="Z422">
        <v>0.90610000000000002</v>
      </c>
      <c r="AA422">
        <v>0.84309999999999996</v>
      </c>
      <c r="AB422">
        <v>17.343</v>
      </c>
      <c r="AC422">
        <v>17.3431</v>
      </c>
      <c r="AD422">
        <v>16.146699999999999</v>
      </c>
      <c r="AE422">
        <v>16.146799999999999</v>
      </c>
      <c r="AF422" t="s">
        <v>2233</v>
      </c>
      <c r="AG422" t="s">
        <v>2233</v>
      </c>
      <c r="AH422" t="s">
        <v>3894</v>
      </c>
      <c r="AI422" t="s">
        <v>3894</v>
      </c>
      <c r="AJ422" t="s">
        <v>3895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3896</v>
      </c>
      <c r="AT422" t="s">
        <v>3890</v>
      </c>
      <c r="AU422" t="s">
        <v>4066</v>
      </c>
      <c r="AV422" t="s">
        <v>3898</v>
      </c>
      <c r="AW422">
        <v>2</v>
      </c>
      <c r="AX422">
        <v>0</v>
      </c>
    </row>
    <row r="423" spans="1:50" x14ac:dyDescent="0.25">
      <c r="A423" t="s">
        <v>4380</v>
      </c>
      <c r="B423" t="s">
        <v>3889</v>
      </c>
      <c r="C423" t="s">
        <v>3890</v>
      </c>
      <c r="D423">
        <v>30.224</v>
      </c>
      <c r="E423">
        <v>30.164999999999999</v>
      </c>
      <c r="F423" s="2">
        <v>3.0000000000000001E-3</v>
      </c>
      <c r="G423" t="s">
        <v>2475</v>
      </c>
      <c r="H423" t="s">
        <v>2479</v>
      </c>
      <c r="I423">
        <v>440585.57510000002</v>
      </c>
      <c r="J423">
        <v>1828037.8473</v>
      </c>
      <c r="K423">
        <v>440585.57510000002</v>
      </c>
      <c r="L423">
        <v>1828018.3262</v>
      </c>
      <c r="M423" t="s">
        <v>56</v>
      </c>
      <c r="N423" t="s">
        <v>57</v>
      </c>
      <c r="O423">
        <v>450</v>
      </c>
      <c r="P423" t="s">
        <v>3891</v>
      </c>
      <c r="Q423" t="s">
        <v>3892</v>
      </c>
      <c r="R423" t="s">
        <v>2481</v>
      </c>
      <c r="S423" t="s">
        <v>2477</v>
      </c>
      <c r="T423" t="s">
        <v>2302</v>
      </c>
      <c r="U423">
        <v>0</v>
      </c>
      <c r="V423">
        <v>0</v>
      </c>
      <c r="W423" t="s">
        <v>52</v>
      </c>
      <c r="X423">
        <v>0.88360000000000005</v>
      </c>
      <c r="Y423">
        <v>1.1043000000000001</v>
      </c>
      <c r="Z423">
        <v>0.93240000000000001</v>
      </c>
      <c r="AA423">
        <v>0.88360000000000005</v>
      </c>
      <c r="AB423">
        <v>19.671600000000002</v>
      </c>
      <c r="AC423">
        <v>19.671700000000001</v>
      </c>
      <c r="AD423">
        <v>18.773199999999999</v>
      </c>
      <c r="AE423">
        <v>18.773299999999999</v>
      </c>
      <c r="AF423" t="s">
        <v>2233</v>
      </c>
      <c r="AG423" t="s">
        <v>2233</v>
      </c>
      <c r="AH423" t="s">
        <v>3894</v>
      </c>
      <c r="AI423" t="s">
        <v>3894</v>
      </c>
      <c r="AJ423" t="s">
        <v>3895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3896</v>
      </c>
      <c r="AT423" t="s">
        <v>3890</v>
      </c>
      <c r="AU423" t="s">
        <v>3897</v>
      </c>
      <c r="AV423" t="s">
        <v>3898</v>
      </c>
      <c r="AW423">
        <v>2</v>
      </c>
      <c r="AX423">
        <v>0</v>
      </c>
    </row>
    <row r="424" spans="1:50" x14ac:dyDescent="0.25">
      <c r="A424" t="s">
        <v>4381</v>
      </c>
      <c r="B424" t="s">
        <v>3889</v>
      </c>
      <c r="C424" t="s">
        <v>3890</v>
      </c>
      <c r="D424">
        <v>29.413</v>
      </c>
      <c r="E424">
        <v>29.353000000000002</v>
      </c>
      <c r="F424" s="2">
        <v>3.0000000000000001E-3</v>
      </c>
      <c r="G424" t="s">
        <v>2490</v>
      </c>
      <c r="H424" t="s">
        <v>2493</v>
      </c>
      <c r="I424">
        <v>440585.57510000002</v>
      </c>
      <c r="J424">
        <v>1827962.6984000001</v>
      </c>
      <c r="K424">
        <v>440585.57510000002</v>
      </c>
      <c r="L424">
        <v>1827942.6984000001</v>
      </c>
      <c r="M424" t="s">
        <v>56</v>
      </c>
      <c r="N424" t="s">
        <v>57</v>
      </c>
      <c r="O424">
        <v>450</v>
      </c>
      <c r="P424" t="s">
        <v>3891</v>
      </c>
      <c r="Q424" t="s">
        <v>3892</v>
      </c>
      <c r="R424" t="s">
        <v>2481</v>
      </c>
      <c r="S424" t="s">
        <v>440</v>
      </c>
      <c r="T424" t="s">
        <v>597</v>
      </c>
      <c r="U424">
        <v>0</v>
      </c>
      <c r="V424">
        <v>0</v>
      </c>
      <c r="W424" t="s">
        <v>52</v>
      </c>
      <c r="X424">
        <v>0.88190000000000002</v>
      </c>
      <c r="Y424">
        <v>1.0196000000000001</v>
      </c>
      <c r="Z424">
        <v>1.0196000000000001</v>
      </c>
      <c r="AA424">
        <v>0.88190000000000002</v>
      </c>
      <c r="AB424">
        <v>20</v>
      </c>
      <c r="AC424">
        <v>20.0001</v>
      </c>
      <c r="AD424">
        <v>18.802099999999999</v>
      </c>
      <c r="AE424">
        <v>18.802199999999999</v>
      </c>
      <c r="AF424" t="s">
        <v>2233</v>
      </c>
      <c r="AG424" t="s">
        <v>2233</v>
      </c>
      <c r="AH424" t="s">
        <v>3894</v>
      </c>
      <c r="AI424" t="s">
        <v>3894</v>
      </c>
      <c r="AJ424" t="s">
        <v>3895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3896</v>
      </c>
      <c r="AT424" t="s">
        <v>3890</v>
      </c>
      <c r="AU424" t="s">
        <v>3897</v>
      </c>
      <c r="AV424" t="s">
        <v>3898</v>
      </c>
      <c r="AW424">
        <v>2</v>
      </c>
      <c r="AX424">
        <v>0</v>
      </c>
    </row>
    <row r="425" spans="1:50" x14ac:dyDescent="0.25">
      <c r="A425" t="s">
        <v>4382</v>
      </c>
      <c r="B425" t="s">
        <v>3928</v>
      </c>
      <c r="C425" t="s">
        <v>3890</v>
      </c>
      <c r="D425">
        <v>28.363</v>
      </c>
      <c r="E425">
        <v>28.303000000000001</v>
      </c>
      <c r="F425" s="2">
        <v>3.3999999999999998E-3</v>
      </c>
      <c r="G425" t="s">
        <v>2574</v>
      </c>
      <c r="H425" t="s">
        <v>2578</v>
      </c>
      <c r="I425">
        <v>440595.0001</v>
      </c>
      <c r="J425">
        <v>1827952.7723999999</v>
      </c>
      <c r="K425">
        <v>440595.10009999998</v>
      </c>
      <c r="L425">
        <v>1827935.1359000001</v>
      </c>
      <c r="M425" t="s">
        <v>56</v>
      </c>
      <c r="N425" t="s">
        <v>57</v>
      </c>
      <c r="O425">
        <v>900</v>
      </c>
      <c r="P425" t="s">
        <v>3929</v>
      </c>
      <c r="Q425" t="s">
        <v>3930</v>
      </c>
      <c r="R425" t="s">
        <v>251</v>
      </c>
      <c r="S425" t="s">
        <v>2576</v>
      </c>
      <c r="T425" t="s">
        <v>4085</v>
      </c>
      <c r="U425">
        <v>0</v>
      </c>
      <c r="V425">
        <v>-0.1</v>
      </c>
      <c r="W425" t="s">
        <v>52</v>
      </c>
      <c r="X425">
        <v>1.2071000000000001</v>
      </c>
      <c r="Y425">
        <v>1.3144</v>
      </c>
      <c r="Z425">
        <v>1.3144</v>
      </c>
      <c r="AA425">
        <v>1.2071000000000001</v>
      </c>
      <c r="AB425">
        <v>17.7134</v>
      </c>
      <c r="AC425">
        <v>17.7135</v>
      </c>
      <c r="AD425">
        <v>16.815300000000001</v>
      </c>
      <c r="AE425">
        <v>16.8154</v>
      </c>
      <c r="AF425" t="s">
        <v>4383</v>
      </c>
      <c r="AG425" t="s">
        <v>4383</v>
      </c>
      <c r="AH425" t="s">
        <v>3894</v>
      </c>
      <c r="AI425" t="s">
        <v>3894</v>
      </c>
      <c r="AJ425" t="s">
        <v>3895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3896</v>
      </c>
      <c r="AT425" t="s">
        <v>3890</v>
      </c>
      <c r="AU425" t="s">
        <v>3931</v>
      </c>
      <c r="AV425" t="s">
        <v>3898</v>
      </c>
      <c r="AW425">
        <v>2</v>
      </c>
      <c r="AX425">
        <v>0</v>
      </c>
    </row>
    <row r="426" spans="1:50" x14ac:dyDescent="0.25">
      <c r="A426" t="s">
        <v>4384</v>
      </c>
      <c r="B426" t="s">
        <v>3889</v>
      </c>
      <c r="C426" t="s">
        <v>3890</v>
      </c>
      <c r="D426">
        <v>29.957999999999998</v>
      </c>
      <c r="E426">
        <v>29.898</v>
      </c>
      <c r="F426" s="2">
        <v>3.0000000000000001E-3</v>
      </c>
      <c r="G426" t="s">
        <v>2342</v>
      </c>
      <c r="H426" t="s">
        <v>2345</v>
      </c>
      <c r="I426">
        <v>440519.97509999998</v>
      </c>
      <c r="J426">
        <v>1827962.6984000001</v>
      </c>
      <c r="K426">
        <v>440519.97509999998</v>
      </c>
      <c r="L426">
        <v>1827942.6984000001</v>
      </c>
      <c r="M426" t="s">
        <v>56</v>
      </c>
      <c r="N426" t="s">
        <v>57</v>
      </c>
      <c r="O426">
        <v>450</v>
      </c>
      <c r="P426" t="s">
        <v>3891</v>
      </c>
      <c r="Q426" t="s">
        <v>3892</v>
      </c>
      <c r="R426" t="s">
        <v>265</v>
      </c>
      <c r="S426" s="1" t="s">
        <v>440</v>
      </c>
      <c r="T426" s="1" t="s">
        <v>597</v>
      </c>
      <c r="U426">
        <v>0</v>
      </c>
      <c r="V426">
        <v>0</v>
      </c>
      <c r="W426" t="s">
        <v>52</v>
      </c>
      <c r="X426">
        <v>0.88170000000000004</v>
      </c>
      <c r="Y426">
        <v>0.95420000000000005</v>
      </c>
      <c r="Z426">
        <v>0.95420000000000005</v>
      </c>
      <c r="AA426">
        <v>0.88170000000000004</v>
      </c>
      <c r="AB426">
        <v>20</v>
      </c>
      <c r="AC426">
        <v>20.0001</v>
      </c>
      <c r="AD426">
        <v>18.802099999999999</v>
      </c>
      <c r="AE426">
        <v>18.802199999999999</v>
      </c>
      <c r="AF426" t="s">
        <v>2233</v>
      </c>
      <c r="AG426" t="s">
        <v>2233</v>
      </c>
      <c r="AH426" t="s">
        <v>3894</v>
      </c>
      <c r="AI426" t="s">
        <v>3894</v>
      </c>
      <c r="AJ426" t="s">
        <v>3895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3896</v>
      </c>
      <c r="AT426" t="s">
        <v>3890</v>
      </c>
      <c r="AU426" t="s">
        <v>3897</v>
      </c>
      <c r="AV426" t="s">
        <v>3898</v>
      </c>
      <c r="AW426">
        <v>2</v>
      </c>
      <c r="AX426">
        <v>0</v>
      </c>
    </row>
    <row r="427" spans="1:50" x14ac:dyDescent="0.25">
      <c r="A427" t="s">
        <v>4385</v>
      </c>
      <c r="B427" t="s">
        <v>3889</v>
      </c>
      <c r="C427" t="s">
        <v>3890</v>
      </c>
      <c r="D427">
        <v>29.957999999999998</v>
      </c>
      <c r="E427">
        <v>29.898</v>
      </c>
      <c r="F427" s="2">
        <v>3.0000000000000001E-3</v>
      </c>
      <c r="G427" t="s">
        <v>2449</v>
      </c>
      <c r="H427" t="s">
        <v>2451</v>
      </c>
      <c r="I427">
        <v>440529.67509999999</v>
      </c>
      <c r="J427">
        <v>1827962.6984000001</v>
      </c>
      <c r="K427">
        <v>440529.67509999999</v>
      </c>
      <c r="L427">
        <v>1827942.6984000001</v>
      </c>
      <c r="M427" t="s">
        <v>56</v>
      </c>
      <c r="N427" t="s">
        <v>57</v>
      </c>
      <c r="O427">
        <v>450</v>
      </c>
      <c r="P427" t="s">
        <v>3891</v>
      </c>
      <c r="Q427" t="s">
        <v>3892</v>
      </c>
      <c r="R427" t="s">
        <v>2436</v>
      </c>
      <c r="S427" t="s">
        <v>440</v>
      </c>
      <c r="T427" t="s">
        <v>597</v>
      </c>
      <c r="U427">
        <v>-2.3400000000000001E-2</v>
      </c>
      <c r="V427">
        <v>-2.3400000000000001E-2</v>
      </c>
      <c r="W427" t="s">
        <v>52</v>
      </c>
      <c r="X427">
        <v>0.88170000000000004</v>
      </c>
      <c r="Y427">
        <v>0.95420000000000005</v>
      </c>
      <c r="Z427">
        <v>0.95420000000000005</v>
      </c>
      <c r="AA427">
        <v>0.88170000000000004</v>
      </c>
      <c r="AB427">
        <v>20</v>
      </c>
      <c r="AC427">
        <v>20.0001</v>
      </c>
      <c r="AD427">
        <v>18.802099999999999</v>
      </c>
      <c r="AE427">
        <v>18.802199999999999</v>
      </c>
      <c r="AF427" t="s">
        <v>2233</v>
      </c>
      <c r="AG427" t="s">
        <v>2233</v>
      </c>
      <c r="AH427" t="s">
        <v>3894</v>
      </c>
      <c r="AI427" t="s">
        <v>3894</v>
      </c>
      <c r="AJ427" t="s">
        <v>3895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3896</v>
      </c>
      <c r="AT427" t="s">
        <v>3890</v>
      </c>
      <c r="AU427" t="s">
        <v>3897</v>
      </c>
      <c r="AV427" t="s">
        <v>3898</v>
      </c>
      <c r="AW427">
        <v>2</v>
      </c>
      <c r="AX427">
        <v>0</v>
      </c>
    </row>
    <row r="428" spans="1:50" x14ac:dyDescent="0.25">
      <c r="A428" t="s">
        <v>4386</v>
      </c>
      <c r="B428" t="s">
        <v>3889</v>
      </c>
      <c r="C428" t="s">
        <v>3890</v>
      </c>
      <c r="D428">
        <v>30.125</v>
      </c>
      <c r="E428">
        <v>30.065000000000001</v>
      </c>
      <c r="F428" s="2">
        <v>3.0000000000000001E-3</v>
      </c>
      <c r="G428" t="s">
        <v>2286</v>
      </c>
      <c r="H428" t="s">
        <v>2289</v>
      </c>
      <c r="I428">
        <v>440454.3751</v>
      </c>
      <c r="J428">
        <v>1827962.6987000001</v>
      </c>
      <c r="K428">
        <v>440454.3751</v>
      </c>
      <c r="L428">
        <v>1827942.6987000001</v>
      </c>
      <c r="M428" t="s">
        <v>56</v>
      </c>
      <c r="N428" t="s">
        <v>57</v>
      </c>
      <c r="O428">
        <v>450</v>
      </c>
      <c r="P428" t="s">
        <v>3891</v>
      </c>
      <c r="Q428" t="s">
        <v>3892</v>
      </c>
      <c r="R428" t="s">
        <v>232</v>
      </c>
      <c r="S428" t="s">
        <v>440</v>
      </c>
      <c r="T428" t="s">
        <v>597</v>
      </c>
      <c r="U428">
        <v>0.1784</v>
      </c>
      <c r="V428">
        <v>0.1784</v>
      </c>
      <c r="W428" t="s">
        <v>52</v>
      </c>
      <c r="X428">
        <v>0.88170000000000004</v>
      </c>
      <c r="Y428">
        <v>0.98109999999999997</v>
      </c>
      <c r="Z428">
        <v>0.98109999999999997</v>
      </c>
      <c r="AA428">
        <v>0.88170000000000004</v>
      </c>
      <c r="AB428">
        <v>20</v>
      </c>
      <c r="AC428">
        <v>20.0001</v>
      </c>
      <c r="AD428">
        <v>18.802099999999999</v>
      </c>
      <c r="AE428">
        <v>18.802199999999999</v>
      </c>
      <c r="AF428" t="s">
        <v>3905</v>
      </c>
      <c r="AG428" t="s">
        <v>3905</v>
      </c>
      <c r="AH428" t="s">
        <v>3894</v>
      </c>
      <c r="AI428" t="s">
        <v>3894</v>
      </c>
      <c r="AJ428" t="s">
        <v>3895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3896</v>
      </c>
      <c r="AT428" t="s">
        <v>3890</v>
      </c>
      <c r="AU428" t="s">
        <v>3897</v>
      </c>
      <c r="AV428" t="s">
        <v>3898</v>
      </c>
      <c r="AW428">
        <v>2</v>
      </c>
      <c r="AX428">
        <v>0</v>
      </c>
    </row>
    <row r="429" spans="1:50" x14ac:dyDescent="0.25">
      <c r="A429" t="s">
        <v>4387</v>
      </c>
      <c r="B429" t="s">
        <v>3889</v>
      </c>
      <c r="C429" t="s">
        <v>3890</v>
      </c>
      <c r="D429">
        <v>30.125</v>
      </c>
      <c r="E429">
        <v>30.065000000000001</v>
      </c>
      <c r="F429" s="2">
        <v>3.0000000000000001E-3</v>
      </c>
      <c r="G429" t="s">
        <v>2310</v>
      </c>
      <c r="H429" t="s">
        <v>2312</v>
      </c>
      <c r="I429">
        <v>440464.07510000002</v>
      </c>
      <c r="J429">
        <v>1827962.6987000001</v>
      </c>
      <c r="K429">
        <v>440464.07510000002</v>
      </c>
      <c r="L429">
        <v>1827942.6987000001</v>
      </c>
      <c r="M429" t="s">
        <v>56</v>
      </c>
      <c r="N429" t="s">
        <v>57</v>
      </c>
      <c r="O429">
        <v>450</v>
      </c>
      <c r="P429" t="s">
        <v>3891</v>
      </c>
      <c r="Q429" t="s">
        <v>3892</v>
      </c>
      <c r="R429" t="s">
        <v>210</v>
      </c>
      <c r="S429" t="s">
        <v>440</v>
      </c>
      <c r="T429" t="s">
        <v>597</v>
      </c>
      <c r="U429">
        <v>-1E-4</v>
      </c>
      <c r="V429">
        <v>-1E-4</v>
      </c>
      <c r="W429" t="s">
        <v>52</v>
      </c>
      <c r="X429">
        <v>0.88170000000000004</v>
      </c>
      <c r="Y429">
        <v>0.98109999999999997</v>
      </c>
      <c r="Z429">
        <v>0.98109999999999997</v>
      </c>
      <c r="AA429">
        <v>0.88170000000000004</v>
      </c>
      <c r="AB429">
        <v>20</v>
      </c>
      <c r="AC429">
        <v>20.0001</v>
      </c>
      <c r="AD429">
        <v>18.802099999999999</v>
      </c>
      <c r="AE429">
        <v>18.802199999999999</v>
      </c>
      <c r="AF429" t="s">
        <v>3905</v>
      </c>
      <c r="AG429" t="s">
        <v>3905</v>
      </c>
      <c r="AH429" t="s">
        <v>3894</v>
      </c>
      <c r="AI429" t="s">
        <v>3894</v>
      </c>
      <c r="AJ429" t="s">
        <v>3895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3896</v>
      </c>
      <c r="AT429" t="s">
        <v>3890</v>
      </c>
      <c r="AU429" t="s">
        <v>3897</v>
      </c>
      <c r="AV429" t="s">
        <v>3898</v>
      </c>
      <c r="AW429">
        <v>2</v>
      </c>
      <c r="AX429">
        <v>0</v>
      </c>
    </row>
    <row r="430" spans="1:50" x14ac:dyDescent="0.25">
      <c r="A430" t="s">
        <v>4388</v>
      </c>
      <c r="B430" t="s">
        <v>3889</v>
      </c>
      <c r="C430" t="s">
        <v>3890</v>
      </c>
      <c r="D430">
        <v>30.094000000000001</v>
      </c>
      <c r="E430">
        <v>30.033999999999999</v>
      </c>
      <c r="F430" s="2">
        <v>3.0000000000000001E-3</v>
      </c>
      <c r="G430" t="s">
        <v>1093</v>
      </c>
      <c r="H430" t="s">
        <v>1096</v>
      </c>
      <c r="I430">
        <v>440248.67489999998</v>
      </c>
      <c r="J430">
        <v>1827735.5748000001</v>
      </c>
      <c r="K430">
        <v>440248.67489999998</v>
      </c>
      <c r="L430">
        <v>1827715.5748000001</v>
      </c>
      <c r="M430" t="s">
        <v>56</v>
      </c>
      <c r="N430" t="s">
        <v>57</v>
      </c>
      <c r="O430">
        <v>450</v>
      </c>
      <c r="P430" t="s">
        <v>3891</v>
      </c>
      <c r="Q430" t="s">
        <v>3892</v>
      </c>
      <c r="R430" t="s">
        <v>1087</v>
      </c>
      <c r="S430" t="s">
        <v>440</v>
      </c>
      <c r="T430" t="s">
        <v>597</v>
      </c>
      <c r="U430">
        <v>0.15</v>
      </c>
      <c r="V430">
        <v>0.15</v>
      </c>
      <c r="W430" t="s">
        <v>52</v>
      </c>
      <c r="X430">
        <v>0.88180000000000003</v>
      </c>
      <c r="Y430">
        <v>0.92079999999999995</v>
      </c>
      <c r="Z430">
        <v>0.92079999999999995</v>
      </c>
      <c r="AA430">
        <v>0.88180000000000003</v>
      </c>
      <c r="AB430">
        <v>20</v>
      </c>
      <c r="AC430">
        <v>20.0001</v>
      </c>
      <c r="AD430">
        <v>18.802099999999999</v>
      </c>
      <c r="AE430">
        <v>18.802199999999999</v>
      </c>
      <c r="AF430" t="s">
        <v>2233</v>
      </c>
      <c r="AG430" t="s">
        <v>2233</v>
      </c>
      <c r="AH430" t="s">
        <v>3894</v>
      </c>
      <c r="AI430" t="s">
        <v>3894</v>
      </c>
      <c r="AJ430" t="s">
        <v>3895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3896</v>
      </c>
      <c r="AT430" t="s">
        <v>3890</v>
      </c>
      <c r="AU430" t="s">
        <v>3897</v>
      </c>
      <c r="AV430" t="s">
        <v>3898</v>
      </c>
      <c r="AW430">
        <v>2</v>
      </c>
      <c r="AX430">
        <v>0</v>
      </c>
    </row>
    <row r="431" spans="1:50" x14ac:dyDescent="0.25">
      <c r="A431" t="s">
        <v>4389</v>
      </c>
      <c r="B431" t="s">
        <v>3889</v>
      </c>
      <c r="C431" t="s">
        <v>3890</v>
      </c>
      <c r="D431">
        <v>32.585999999999999</v>
      </c>
      <c r="E431">
        <v>32.526000000000003</v>
      </c>
      <c r="F431" s="2">
        <v>3.0000000000000001E-3</v>
      </c>
      <c r="G431" t="s">
        <v>1984</v>
      </c>
      <c r="H431" t="s">
        <v>1987</v>
      </c>
      <c r="I431">
        <v>440132.7745</v>
      </c>
      <c r="J431">
        <v>1828062.8171999999</v>
      </c>
      <c r="K431">
        <v>440132.7745</v>
      </c>
      <c r="L431">
        <v>1828042.8171999999</v>
      </c>
      <c r="M431" t="s">
        <v>56</v>
      </c>
      <c r="N431" t="s">
        <v>57</v>
      </c>
      <c r="O431">
        <v>450</v>
      </c>
      <c r="P431" t="s">
        <v>3891</v>
      </c>
      <c r="Q431" t="s">
        <v>3892</v>
      </c>
      <c r="R431" t="s">
        <v>1968</v>
      </c>
      <c r="S431" t="s">
        <v>428</v>
      </c>
      <c r="T431" t="s">
        <v>424</v>
      </c>
      <c r="U431">
        <v>-4.1399999999999999E-2</v>
      </c>
      <c r="V431">
        <v>-5.0500000000000003E-2</v>
      </c>
      <c r="W431" t="s">
        <v>52</v>
      </c>
      <c r="X431">
        <v>0.88239999999999996</v>
      </c>
      <c r="Y431">
        <v>0.94389999999999996</v>
      </c>
      <c r="Z431">
        <v>0.94389999999999996</v>
      </c>
      <c r="AA431">
        <v>0.88239999999999996</v>
      </c>
      <c r="AB431">
        <v>20</v>
      </c>
      <c r="AC431">
        <v>20.0001</v>
      </c>
      <c r="AD431">
        <v>18.802099999999999</v>
      </c>
      <c r="AE431">
        <v>18.802199999999999</v>
      </c>
      <c r="AF431" t="s">
        <v>2233</v>
      </c>
      <c r="AG431" t="s">
        <v>2233</v>
      </c>
      <c r="AH431" t="s">
        <v>3894</v>
      </c>
      <c r="AI431" t="s">
        <v>3894</v>
      </c>
      <c r="AJ431" t="s">
        <v>3895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3896</v>
      </c>
      <c r="AT431" t="s">
        <v>3890</v>
      </c>
      <c r="AU431" t="s">
        <v>3897</v>
      </c>
      <c r="AV431" t="s">
        <v>3898</v>
      </c>
      <c r="AW431">
        <v>2</v>
      </c>
      <c r="AX431">
        <v>0</v>
      </c>
    </row>
    <row r="432" spans="1:50" x14ac:dyDescent="0.25">
      <c r="A432" t="s">
        <v>4390</v>
      </c>
      <c r="B432" t="s">
        <v>3889</v>
      </c>
      <c r="C432" t="s">
        <v>3890</v>
      </c>
      <c r="D432">
        <v>32.274999999999999</v>
      </c>
      <c r="E432">
        <v>32.215000000000003</v>
      </c>
      <c r="F432" s="2">
        <v>3.0000000000000001E-3</v>
      </c>
      <c r="G432" t="s">
        <v>629</v>
      </c>
      <c r="H432" t="s">
        <v>632</v>
      </c>
      <c r="I432">
        <v>440030.47519999999</v>
      </c>
      <c r="J432">
        <v>1827357.2726</v>
      </c>
      <c r="K432">
        <v>440030.47519999999</v>
      </c>
      <c r="L432">
        <v>1827377.2726</v>
      </c>
      <c r="M432" t="s">
        <v>56</v>
      </c>
      <c r="N432" t="s">
        <v>57</v>
      </c>
      <c r="O432">
        <v>450</v>
      </c>
      <c r="P432" t="s">
        <v>3891</v>
      </c>
      <c r="Q432" t="s">
        <v>3892</v>
      </c>
      <c r="R432" t="s">
        <v>617</v>
      </c>
      <c r="S432" t="s">
        <v>631</v>
      </c>
      <c r="T432" t="s">
        <v>634</v>
      </c>
      <c r="U432">
        <v>-0.15</v>
      </c>
      <c r="V432">
        <v>-0.15</v>
      </c>
      <c r="W432" t="s">
        <v>52</v>
      </c>
      <c r="X432">
        <v>0.89280000000000004</v>
      </c>
      <c r="Y432">
        <v>0.90280000000000005</v>
      </c>
      <c r="Z432">
        <v>0.90280000000000005</v>
      </c>
      <c r="AA432">
        <v>0.89280000000000004</v>
      </c>
      <c r="AB432">
        <v>20</v>
      </c>
      <c r="AC432">
        <v>20.0001</v>
      </c>
      <c r="AD432">
        <v>18.802099999999999</v>
      </c>
      <c r="AE432">
        <v>18.802199999999999</v>
      </c>
      <c r="AF432" t="s">
        <v>4102</v>
      </c>
      <c r="AG432" t="s">
        <v>4102</v>
      </c>
      <c r="AH432" t="s">
        <v>3894</v>
      </c>
      <c r="AI432" t="s">
        <v>3894</v>
      </c>
      <c r="AJ432" t="s">
        <v>3895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3896</v>
      </c>
      <c r="AT432" t="s">
        <v>3890</v>
      </c>
      <c r="AU432" t="s">
        <v>3897</v>
      </c>
      <c r="AV432" t="s">
        <v>3898</v>
      </c>
      <c r="AW432">
        <v>2</v>
      </c>
      <c r="AX432">
        <v>0</v>
      </c>
    </row>
    <row r="433" spans="1:50" x14ac:dyDescent="0.25">
      <c r="A433" t="s">
        <v>4391</v>
      </c>
      <c r="B433" t="s">
        <v>3889</v>
      </c>
      <c r="C433" t="s">
        <v>3890</v>
      </c>
      <c r="D433">
        <v>32.274999999999999</v>
      </c>
      <c r="E433">
        <v>32.215000000000003</v>
      </c>
      <c r="F433" s="2">
        <v>3.0000000000000001E-3</v>
      </c>
      <c r="G433" t="s">
        <v>551</v>
      </c>
      <c r="H433" t="s">
        <v>554</v>
      </c>
      <c r="I433">
        <v>440020.77519999997</v>
      </c>
      <c r="J433">
        <v>1827355.4184000001</v>
      </c>
      <c r="K433">
        <v>440020.77519999997</v>
      </c>
      <c r="L433">
        <v>1827375.4184000001</v>
      </c>
      <c r="M433" t="s">
        <v>56</v>
      </c>
      <c r="N433" t="s">
        <v>57</v>
      </c>
      <c r="O433">
        <v>450</v>
      </c>
      <c r="P433" t="s">
        <v>3891</v>
      </c>
      <c r="Q433" t="s">
        <v>3892</v>
      </c>
      <c r="R433" t="s">
        <v>536</v>
      </c>
      <c r="S433" t="s">
        <v>553</v>
      </c>
      <c r="T433" t="s">
        <v>556</v>
      </c>
      <c r="U433">
        <v>0.15</v>
      </c>
      <c r="V433">
        <v>0.15</v>
      </c>
      <c r="W433" t="s">
        <v>52</v>
      </c>
      <c r="X433">
        <v>0.89929999999999999</v>
      </c>
      <c r="Y433">
        <v>0.9093</v>
      </c>
      <c r="Z433">
        <v>0.9093</v>
      </c>
      <c r="AA433">
        <v>0.89929999999999999</v>
      </c>
      <c r="AB433">
        <v>20</v>
      </c>
      <c r="AC433">
        <v>20.0001</v>
      </c>
      <c r="AD433">
        <v>18.802099999999999</v>
      </c>
      <c r="AE433">
        <v>18.802199999999999</v>
      </c>
      <c r="AF433" t="s">
        <v>4102</v>
      </c>
      <c r="AG433" t="s">
        <v>4102</v>
      </c>
      <c r="AH433" t="s">
        <v>3894</v>
      </c>
      <c r="AI433" t="s">
        <v>3894</v>
      </c>
      <c r="AJ433" t="s">
        <v>3895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3896</v>
      </c>
      <c r="AT433" t="s">
        <v>3890</v>
      </c>
      <c r="AU433" t="s">
        <v>3897</v>
      </c>
      <c r="AV433" t="s">
        <v>3898</v>
      </c>
      <c r="AW433">
        <v>2</v>
      </c>
      <c r="AX433">
        <v>0</v>
      </c>
    </row>
    <row r="434" spans="1:50" x14ac:dyDescent="0.25">
      <c r="A434" t="s">
        <v>4392</v>
      </c>
      <c r="B434" t="s">
        <v>3889</v>
      </c>
      <c r="C434" t="s">
        <v>3890</v>
      </c>
      <c r="D434">
        <v>29.355</v>
      </c>
      <c r="E434">
        <v>29.335000000000001</v>
      </c>
      <c r="F434" s="2">
        <v>1E-3</v>
      </c>
      <c r="G434" t="s">
        <v>2971</v>
      </c>
      <c r="H434" t="s">
        <v>2974</v>
      </c>
      <c r="I434">
        <v>440387.3751</v>
      </c>
      <c r="J434">
        <v>1827869.7609000001</v>
      </c>
      <c r="K434">
        <v>440387.3751</v>
      </c>
      <c r="L434">
        <v>1827849.7609000001</v>
      </c>
      <c r="M434" t="s">
        <v>56</v>
      </c>
      <c r="N434" t="s">
        <v>57</v>
      </c>
      <c r="O434">
        <v>450</v>
      </c>
      <c r="P434" t="s">
        <v>3891</v>
      </c>
      <c r="Q434" t="s">
        <v>3892</v>
      </c>
      <c r="R434" t="s">
        <v>117</v>
      </c>
      <c r="S434" t="s">
        <v>452</v>
      </c>
      <c r="T434" t="s">
        <v>448</v>
      </c>
      <c r="U434">
        <v>3.6400000000000002E-2</v>
      </c>
      <c r="V434">
        <v>3.6400000000000002E-2</v>
      </c>
      <c r="W434" t="s">
        <v>52</v>
      </c>
      <c r="X434">
        <v>1.0874999999999999</v>
      </c>
      <c r="Y434">
        <v>1.3008999999999999</v>
      </c>
      <c r="Z434">
        <v>1.0874999999999999</v>
      </c>
      <c r="AA434">
        <v>1.3008999999999999</v>
      </c>
      <c r="AB434">
        <v>20</v>
      </c>
      <c r="AC434">
        <v>20</v>
      </c>
      <c r="AD434">
        <v>18.800699999999999</v>
      </c>
      <c r="AE434">
        <v>18.800699999999999</v>
      </c>
      <c r="AF434" t="s">
        <v>2233</v>
      </c>
      <c r="AG434" t="s">
        <v>2233</v>
      </c>
      <c r="AH434" t="s">
        <v>3894</v>
      </c>
      <c r="AI434" t="s">
        <v>3894</v>
      </c>
      <c r="AJ434" t="s">
        <v>3895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3896</v>
      </c>
      <c r="AT434" t="s">
        <v>3890</v>
      </c>
      <c r="AU434" t="s">
        <v>3897</v>
      </c>
      <c r="AV434" t="s">
        <v>3898</v>
      </c>
      <c r="AW434">
        <v>2</v>
      </c>
      <c r="AX434">
        <v>0</v>
      </c>
    </row>
    <row r="435" spans="1:50" x14ac:dyDescent="0.25">
      <c r="A435" t="s">
        <v>3518</v>
      </c>
      <c r="B435" t="s">
        <v>3889</v>
      </c>
      <c r="C435" t="s">
        <v>3890</v>
      </c>
      <c r="D435">
        <v>29.181000000000001</v>
      </c>
      <c r="E435">
        <v>29.120999999999999</v>
      </c>
      <c r="F435" s="2">
        <v>3.0000000000000001E-3</v>
      </c>
      <c r="G435" t="s">
        <v>3517</v>
      </c>
      <c r="H435" t="s">
        <v>3520</v>
      </c>
      <c r="I435">
        <v>440464.07510000002</v>
      </c>
      <c r="J435">
        <v>1827439.4838</v>
      </c>
      <c r="K435">
        <v>440464.07510000002</v>
      </c>
      <c r="L435">
        <v>1827459.4838</v>
      </c>
      <c r="M435" t="s">
        <v>56</v>
      </c>
      <c r="N435" t="s">
        <v>57</v>
      </c>
      <c r="O435">
        <v>450</v>
      </c>
      <c r="P435" t="s">
        <v>3891</v>
      </c>
      <c r="Q435" t="s">
        <v>3892</v>
      </c>
      <c r="R435" t="s">
        <v>377</v>
      </c>
      <c r="S435" s="1" t="s">
        <v>440</v>
      </c>
      <c r="T435" t="s">
        <v>444</v>
      </c>
      <c r="U435">
        <v>-0.14940000000000001</v>
      </c>
      <c r="V435">
        <v>-0.1333</v>
      </c>
      <c r="W435" t="s">
        <v>52</v>
      </c>
      <c r="X435">
        <v>0.88229999999999997</v>
      </c>
      <c r="Y435">
        <v>0.92079999999999995</v>
      </c>
      <c r="Z435">
        <v>0.92079999999999995</v>
      </c>
      <c r="AA435">
        <v>0.88229999999999997</v>
      </c>
      <c r="AB435">
        <v>20</v>
      </c>
      <c r="AC435">
        <v>20.0001</v>
      </c>
      <c r="AD435">
        <v>18.802099999999999</v>
      </c>
      <c r="AE435">
        <v>18.802199999999999</v>
      </c>
      <c r="AF435" t="s">
        <v>67</v>
      </c>
      <c r="AG435" t="s">
        <v>67</v>
      </c>
      <c r="AH435" t="s">
        <v>3894</v>
      </c>
      <c r="AI435" t="s">
        <v>3894</v>
      </c>
      <c r="AJ435" t="s">
        <v>3895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3896</v>
      </c>
      <c r="AT435" t="s">
        <v>3890</v>
      </c>
      <c r="AU435" t="s">
        <v>3897</v>
      </c>
      <c r="AV435" t="s">
        <v>3898</v>
      </c>
      <c r="AW435">
        <v>2</v>
      </c>
      <c r="AX435">
        <v>0</v>
      </c>
    </row>
    <row r="436" spans="1:50" x14ac:dyDescent="0.25">
      <c r="A436" t="s">
        <v>4393</v>
      </c>
      <c r="B436" t="s">
        <v>3889</v>
      </c>
      <c r="C436" t="s">
        <v>3890</v>
      </c>
      <c r="D436">
        <v>33.194000000000003</v>
      </c>
      <c r="E436">
        <v>33.134</v>
      </c>
      <c r="F436" s="2">
        <v>3.0000000000000001E-3</v>
      </c>
      <c r="G436" t="s">
        <v>1774</v>
      </c>
      <c r="H436" t="s">
        <v>1777</v>
      </c>
      <c r="I436">
        <v>440121.67450000002</v>
      </c>
      <c r="J436">
        <v>1828162.8171999999</v>
      </c>
      <c r="K436">
        <v>440121.67450000002</v>
      </c>
      <c r="L436">
        <v>1828142.8171999999</v>
      </c>
      <c r="M436" t="s">
        <v>56</v>
      </c>
      <c r="N436" t="s">
        <v>57</v>
      </c>
      <c r="O436">
        <v>450</v>
      </c>
      <c r="P436" t="s">
        <v>3891</v>
      </c>
      <c r="Q436" t="s">
        <v>3892</v>
      </c>
      <c r="R436" t="s">
        <v>395</v>
      </c>
      <c r="S436" t="s">
        <v>448</v>
      </c>
      <c r="T436" t="s">
        <v>444</v>
      </c>
      <c r="U436">
        <v>7.7899999999999997E-2</v>
      </c>
      <c r="V436">
        <v>7.7899999999999997E-2</v>
      </c>
      <c r="W436" t="s">
        <v>52</v>
      </c>
      <c r="X436">
        <v>0.88180000000000003</v>
      </c>
      <c r="Y436">
        <v>0.94330000000000003</v>
      </c>
      <c r="Z436">
        <v>0.94330000000000003</v>
      </c>
      <c r="AA436">
        <v>0.88180000000000003</v>
      </c>
      <c r="AB436">
        <v>20</v>
      </c>
      <c r="AC436">
        <v>20.0001</v>
      </c>
      <c r="AD436">
        <v>18.802099999999999</v>
      </c>
      <c r="AE436">
        <v>18.802199999999999</v>
      </c>
      <c r="AF436" t="s">
        <v>2233</v>
      </c>
      <c r="AG436" t="s">
        <v>2233</v>
      </c>
      <c r="AH436" t="s">
        <v>3894</v>
      </c>
      <c r="AI436" t="s">
        <v>3894</v>
      </c>
      <c r="AJ436" t="s">
        <v>3895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3896</v>
      </c>
      <c r="AT436" t="s">
        <v>3890</v>
      </c>
      <c r="AU436" t="s">
        <v>3897</v>
      </c>
      <c r="AV436" t="s">
        <v>3898</v>
      </c>
      <c r="AW436">
        <v>2</v>
      </c>
      <c r="AX436">
        <v>0</v>
      </c>
    </row>
    <row r="437" spans="1:50" x14ac:dyDescent="0.25">
      <c r="A437" t="s">
        <v>4394</v>
      </c>
      <c r="B437" t="s">
        <v>3889</v>
      </c>
      <c r="C437" t="s">
        <v>3890</v>
      </c>
      <c r="D437">
        <v>33.194000000000003</v>
      </c>
      <c r="E437">
        <v>33.134</v>
      </c>
      <c r="F437" s="2">
        <v>3.0000000000000001E-3</v>
      </c>
      <c r="G437" t="s">
        <v>1971</v>
      </c>
      <c r="H437" t="s">
        <v>1973</v>
      </c>
      <c r="I437">
        <v>440132.7745</v>
      </c>
      <c r="J437">
        <v>1828162.8171999999</v>
      </c>
      <c r="K437">
        <v>440132.7745</v>
      </c>
      <c r="L437">
        <v>1828142.8171999999</v>
      </c>
      <c r="M437" t="s">
        <v>56</v>
      </c>
      <c r="N437" t="s">
        <v>57</v>
      </c>
      <c r="O437">
        <v>450</v>
      </c>
      <c r="P437" t="s">
        <v>3891</v>
      </c>
      <c r="Q437" t="s">
        <v>3892</v>
      </c>
      <c r="R437" t="s">
        <v>1968</v>
      </c>
      <c r="S437" t="s">
        <v>448</v>
      </c>
      <c r="T437" t="s">
        <v>444</v>
      </c>
      <c r="U437">
        <v>4.1000000000000003E-3</v>
      </c>
      <c r="V437">
        <v>-5.0000000000000001E-3</v>
      </c>
      <c r="W437" t="s">
        <v>52</v>
      </c>
      <c r="X437">
        <v>0.88180000000000003</v>
      </c>
      <c r="Y437">
        <v>0.94330000000000003</v>
      </c>
      <c r="Z437">
        <v>0.94330000000000003</v>
      </c>
      <c r="AA437">
        <v>0.88180000000000003</v>
      </c>
      <c r="AB437">
        <v>20</v>
      </c>
      <c r="AC437">
        <v>20.0001</v>
      </c>
      <c r="AD437">
        <v>18.802099999999999</v>
      </c>
      <c r="AE437">
        <v>18.802199999999999</v>
      </c>
      <c r="AF437" t="s">
        <v>2233</v>
      </c>
      <c r="AG437" t="s">
        <v>2233</v>
      </c>
      <c r="AH437" t="s">
        <v>3894</v>
      </c>
      <c r="AI437" t="s">
        <v>3894</v>
      </c>
      <c r="AJ437" t="s">
        <v>3895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3896</v>
      </c>
      <c r="AT437" t="s">
        <v>3890</v>
      </c>
      <c r="AU437" t="s">
        <v>3897</v>
      </c>
      <c r="AV437" t="s">
        <v>3898</v>
      </c>
      <c r="AW437">
        <v>2</v>
      </c>
      <c r="AX437">
        <v>0</v>
      </c>
    </row>
    <row r="438" spans="1:50" x14ac:dyDescent="0.25">
      <c r="A438" t="s">
        <v>4395</v>
      </c>
      <c r="B438" t="s">
        <v>4065</v>
      </c>
      <c r="C438" t="s">
        <v>3890</v>
      </c>
      <c r="D438">
        <v>30.396000000000001</v>
      </c>
      <c r="E438">
        <v>30.335999999999999</v>
      </c>
      <c r="F438" s="2">
        <v>3.0000000000000001E-3</v>
      </c>
      <c r="G438" t="s">
        <v>1318</v>
      </c>
      <c r="H438" t="s">
        <v>1322</v>
      </c>
      <c r="I438">
        <v>440198.92479999998</v>
      </c>
      <c r="J438">
        <v>1827761.8171000001</v>
      </c>
      <c r="K438">
        <v>440198.92479999998</v>
      </c>
      <c r="L438">
        <v>1827741.8171000001</v>
      </c>
      <c r="M438" t="s">
        <v>56</v>
      </c>
      <c r="N438" t="s">
        <v>57</v>
      </c>
      <c r="O438">
        <v>900</v>
      </c>
      <c r="P438" t="s">
        <v>58</v>
      </c>
      <c r="Q438" t="s">
        <v>3919</v>
      </c>
      <c r="R438" t="s">
        <v>146</v>
      </c>
      <c r="S438" s="1" t="s">
        <v>1320</v>
      </c>
      <c r="T438" t="s">
        <v>1324</v>
      </c>
      <c r="U438">
        <v>-2.5000000000000001E-2</v>
      </c>
      <c r="V438">
        <v>-2.5000000000000001E-2</v>
      </c>
      <c r="W438" t="s">
        <v>52</v>
      </c>
      <c r="X438">
        <v>0.85189999999999999</v>
      </c>
      <c r="Y438">
        <v>0.88849999999999996</v>
      </c>
      <c r="Z438">
        <v>0.88849999999999996</v>
      </c>
      <c r="AA438">
        <v>0.85189999999999999</v>
      </c>
      <c r="AB438">
        <v>20</v>
      </c>
      <c r="AC438">
        <v>20.0001</v>
      </c>
      <c r="AD438">
        <v>18.803599999999999</v>
      </c>
      <c r="AE438">
        <v>18.803699999999999</v>
      </c>
      <c r="AF438" t="s">
        <v>2233</v>
      </c>
      <c r="AG438" t="s">
        <v>2233</v>
      </c>
      <c r="AH438" t="s">
        <v>3894</v>
      </c>
      <c r="AI438" t="s">
        <v>3894</v>
      </c>
      <c r="AJ438" t="s">
        <v>3895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3896</v>
      </c>
      <c r="AT438" t="s">
        <v>3890</v>
      </c>
      <c r="AU438" t="s">
        <v>4066</v>
      </c>
      <c r="AV438" t="s">
        <v>3898</v>
      </c>
      <c r="AW438">
        <v>2</v>
      </c>
      <c r="AX438">
        <v>0</v>
      </c>
    </row>
    <row r="439" spans="1:50" x14ac:dyDescent="0.25">
      <c r="A439" t="s">
        <v>4396</v>
      </c>
      <c r="B439" t="s">
        <v>4065</v>
      </c>
      <c r="C439" t="s">
        <v>3890</v>
      </c>
      <c r="D439">
        <v>31.457999999999998</v>
      </c>
      <c r="E439">
        <v>31.398</v>
      </c>
      <c r="F439" s="2">
        <v>3.0000000000000001E-3</v>
      </c>
      <c r="G439" t="s">
        <v>1263</v>
      </c>
      <c r="H439" t="s">
        <v>1267</v>
      </c>
      <c r="I439">
        <v>440198.92479999998</v>
      </c>
      <c r="J439">
        <v>1827981.8171000001</v>
      </c>
      <c r="K439">
        <v>440198.92479999998</v>
      </c>
      <c r="L439">
        <v>1827961.8171000001</v>
      </c>
      <c r="M439" t="s">
        <v>56</v>
      </c>
      <c r="N439" t="s">
        <v>57</v>
      </c>
      <c r="O439">
        <v>900</v>
      </c>
      <c r="P439" t="s">
        <v>58</v>
      </c>
      <c r="Q439" t="s">
        <v>3919</v>
      </c>
      <c r="R439" t="s">
        <v>146</v>
      </c>
      <c r="S439" t="s">
        <v>1265</v>
      </c>
      <c r="T439" t="s">
        <v>1269</v>
      </c>
      <c r="U439">
        <v>-2.5000000000000001E-2</v>
      </c>
      <c r="V439">
        <v>-2.5000000000000001E-2</v>
      </c>
      <c r="W439" t="s">
        <v>52</v>
      </c>
      <c r="X439">
        <v>0.85250000000000004</v>
      </c>
      <c r="Y439">
        <v>0.8891</v>
      </c>
      <c r="Z439">
        <v>0.8891</v>
      </c>
      <c r="AA439">
        <v>0.85250000000000004</v>
      </c>
      <c r="AB439">
        <v>20</v>
      </c>
      <c r="AC439">
        <v>20.0001</v>
      </c>
      <c r="AD439">
        <v>18.803599999999999</v>
      </c>
      <c r="AE439">
        <v>18.803699999999999</v>
      </c>
      <c r="AF439" t="s">
        <v>2233</v>
      </c>
      <c r="AG439" t="s">
        <v>2233</v>
      </c>
      <c r="AH439" t="s">
        <v>3894</v>
      </c>
      <c r="AI439" t="s">
        <v>3894</v>
      </c>
      <c r="AJ439" t="s">
        <v>3895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3896</v>
      </c>
      <c r="AT439" t="s">
        <v>3890</v>
      </c>
      <c r="AU439" t="s">
        <v>4066</v>
      </c>
      <c r="AV439" t="s">
        <v>3898</v>
      </c>
      <c r="AW439">
        <v>2</v>
      </c>
      <c r="AX439">
        <v>0</v>
      </c>
    </row>
    <row r="440" spans="1:50" x14ac:dyDescent="0.25">
      <c r="A440" t="s">
        <v>4397</v>
      </c>
      <c r="B440" t="s">
        <v>4010</v>
      </c>
      <c r="C440" t="s">
        <v>3890</v>
      </c>
      <c r="D440">
        <v>31.454000000000001</v>
      </c>
      <c r="E440">
        <v>31.393999999999998</v>
      </c>
      <c r="F440" s="2">
        <v>3.0000000000000001E-3</v>
      </c>
      <c r="G440" t="s">
        <v>1499</v>
      </c>
      <c r="H440" t="s">
        <v>1502</v>
      </c>
      <c r="I440">
        <v>439962.02480000001</v>
      </c>
      <c r="J440">
        <v>1827605.8171000001</v>
      </c>
      <c r="K440">
        <v>439962.02480000001</v>
      </c>
      <c r="L440">
        <v>1827585.8171000001</v>
      </c>
      <c r="M440" t="s">
        <v>56</v>
      </c>
      <c r="N440" t="s">
        <v>57</v>
      </c>
      <c r="O440">
        <v>900</v>
      </c>
      <c r="P440" t="s">
        <v>109</v>
      </c>
      <c r="Q440" t="s">
        <v>3919</v>
      </c>
      <c r="R440" t="s">
        <v>1404</v>
      </c>
      <c r="S440" t="s">
        <v>571</v>
      </c>
      <c r="T440" t="s">
        <v>567</v>
      </c>
      <c r="U440">
        <v>2.41E-2</v>
      </c>
      <c r="V440">
        <v>1.55E-2</v>
      </c>
      <c r="W440" t="s">
        <v>52</v>
      </c>
      <c r="X440">
        <v>0.85170000000000001</v>
      </c>
      <c r="Y440">
        <v>0.86050000000000004</v>
      </c>
      <c r="Z440">
        <v>0.86050000000000004</v>
      </c>
      <c r="AA440">
        <v>0.85170000000000001</v>
      </c>
      <c r="AB440">
        <v>20</v>
      </c>
      <c r="AC440">
        <v>20.0001</v>
      </c>
      <c r="AD440">
        <v>18.803599999999999</v>
      </c>
      <c r="AE440">
        <v>18.803699999999999</v>
      </c>
      <c r="AF440" t="s">
        <v>4011</v>
      </c>
      <c r="AG440" t="s">
        <v>4011</v>
      </c>
      <c r="AH440" t="s">
        <v>3894</v>
      </c>
      <c r="AI440" t="s">
        <v>3894</v>
      </c>
      <c r="AJ440" t="s">
        <v>3895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3896</v>
      </c>
      <c r="AT440" t="s">
        <v>3890</v>
      </c>
      <c r="AU440" t="s">
        <v>4012</v>
      </c>
      <c r="AV440" t="s">
        <v>3898</v>
      </c>
      <c r="AW440">
        <v>2</v>
      </c>
      <c r="AX440">
        <v>0</v>
      </c>
    </row>
    <row r="441" spans="1:50" x14ac:dyDescent="0.25">
      <c r="A441" t="s">
        <v>4398</v>
      </c>
      <c r="B441" t="s">
        <v>4010</v>
      </c>
      <c r="C441" t="s">
        <v>3890</v>
      </c>
      <c r="D441">
        <v>31.454000000000001</v>
      </c>
      <c r="E441">
        <v>31.393999999999998</v>
      </c>
      <c r="F441" s="2">
        <v>3.0000000000000001E-3</v>
      </c>
      <c r="G441" t="s">
        <v>1588</v>
      </c>
      <c r="H441" t="s">
        <v>1590</v>
      </c>
      <c r="I441">
        <v>439951.42479999998</v>
      </c>
      <c r="J441">
        <v>1827605.8171000001</v>
      </c>
      <c r="K441">
        <v>439951.42479999998</v>
      </c>
      <c r="L441">
        <v>1827585.8171000001</v>
      </c>
      <c r="M441" t="s">
        <v>56</v>
      </c>
      <c r="N441" t="s">
        <v>57</v>
      </c>
      <c r="O441">
        <v>900</v>
      </c>
      <c r="P441" t="s">
        <v>109</v>
      </c>
      <c r="Q441" t="s">
        <v>3919</v>
      </c>
      <c r="R441" t="s">
        <v>1510</v>
      </c>
      <c r="S441" t="s">
        <v>571</v>
      </c>
      <c r="T441" t="s">
        <v>567</v>
      </c>
      <c r="U441">
        <v>-2.5000000000000001E-2</v>
      </c>
      <c r="V441">
        <v>-2.5000000000000001E-2</v>
      </c>
      <c r="W441" t="s">
        <v>52</v>
      </c>
      <c r="X441">
        <v>0.85170000000000001</v>
      </c>
      <c r="Y441">
        <v>0.86050000000000004</v>
      </c>
      <c r="Z441">
        <v>0.86050000000000004</v>
      </c>
      <c r="AA441">
        <v>0.85170000000000001</v>
      </c>
      <c r="AB441">
        <v>20</v>
      </c>
      <c r="AC441">
        <v>20.0001</v>
      </c>
      <c r="AD441">
        <v>18.803599999999999</v>
      </c>
      <c r="AE441">
        <v>18.803699999999999</v>
      </c>
      <c r="AF441" t="s">
        <v>4011</v>
      </c>
      <c r="AG441" t="s">
        <v>4011</v>
      </c>
      <c r="AH441" t="s">
        <v>3894</v>
      </c>
      <c r="AI441" t="s">
        <v>3894</v>
      </c>
      <c r="AJ441" t="s">
        <v>3895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3896</v>
      </c>
      <c r="AT441" t="s">
        <v>3890</v>
      </c>
      <c r="AU441" t="s">
        <v>4012</v>
      </c>
      <c r="AV441" t="s">
        <v>3898</v>
      </c>
      <c r="AW441">
        <v>2</v>
      </c>
      <c r="AX441">
        <v>0</v>
      </c>
    </row>
    <row r="442" spans="1:50" x14ac:dyDescent="0.25">
      <c r="A442" t="s">
        <v>4399</v>
      </c>
      <c r="B442" t="s">
        <v>3933</v>
      </c>
      <c r="C442" t="s">
        <v>3890</v>
      </c>
      <c r="D442">
        <v>29.896000000000001</v>
      </c>
      <c r="E442">
        <v>29.835999999999999</v>
      </c>
      <c r="F442" s="2">
        <v>3.0000000000000001E-3</v>
      </c>
      <c r="G442" t="s">
        <v>1042</v>
      </c>
      <c r="H442" t="s">
        <v>1046</v>
      </c>
      <c r="I442">
        <v>440217.59980000003</v>
      </c>
      <c r="J442">
        <v>1827761.8171000001</v>
      </c>
      <c r="K442">
        <v>440217.59980000003</v>
      </c>
      <c r="L442">
        <v>1827741.8171000001</v>
      </c>
      <c r="M442" t="s">
        <v>56</v>
      </c>
      <c r="N442" t="s">
        <v>57</v>
      </c>
      <c r="O442">
        <v>750</v>
      </c>
      <c r="P442" t="s">
        <v>58</v>
      </c>
      <c r="Q442" t="s">
        <v>3919</v>
      </c>
      <c r="R442" t="s">
        <v>151</v>
      </c>
      <c r="S442" t="s">
        <v>1044</v>
      </c>
      <c r="T442" t="s">
        <v>1048</v>
      </c>
      <c r="U442">
        <v>-2.0000000000000001E-4</v>
      </c>
      <c r="V442">
        <v>-1.11E-2</v>
      </c>
      <c r="W442" t="s">
        <v>52</v>
      </c>
      <c r="X442">
        <v>1.3533999999999999</v>
      </c>
      <c r="Y442">
        <v>1.39</v>
      </c>
      <c r="Z442">
        <v>1.39</v>
      </c>
      <c r="AA442">
        <v>1.3533999999999999</v>
      </c>
      <c r="AB442">
        <v>20</v>
      </c>
      <c r="AC442">
        <v>20.0001</v>
      </c>
      <c r="AD442">
        <v>18.803100000000001</v>
      </c>
      <c r="AE442">
        <v>18.8032</v>
      </c>
      <c r="AF442" t="s">
        <v>2233</v>
      </c>
      <c r="AG442" t="s">
        <v>2233</v>
      </c>
      <c r="AH442" t="s">
        <v>3894</v>
      </c>
      <c r="AI442" t="s">
        <v>3894</v>
      </c>
      <c r="AJ442" t="s">
        <v>3895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3896</v>
      </c>
      <c r="AT442" t="s">
        <v>3890</v>
      </c>
      <c r="AU442" t="s">
        <v>3935</v>
      </c>
      <c r="AV442" t="s">
        <v>3898</v>
      </c>
      <c r="AW442">
        <v>2</v>
      </c>
      <c r="AX442">
        <v>0</v>
      </c>
    </row>
    <row r="443" spans="1:50" x14ac:dyDescent="0.25">
      <c r="A443" t="s">
        <v>4400</v>
      </c>
      <c r="B443" t="s">
        <v>3933</v>
      </c>
      <c r="C443" t="s">
        <v>3890</v>
      </c>
      <c r="D443">
        <v>31.257999999999999</v>
      </c>
      <c r="E443">
        <v>31.198</v>
      </c>
      <c r="F443" s="2">
        <v>3.0000000000000001E-3</v>
      </c>
      <c r="G443" t="s">
        <v>993</v>
      </c>
      <c r="H443" t="s">
        <v>997</v>
      </c>
      <c r="I443">
        <v>440217.59980000003</v>
      </c>
      <c r="J443">
        <v>1827981.8171000001</v>
      </c>
      <c r="K443">
        <v>440217.59980000003</v>
      </c>
      <c r="L443">
        <v>1827961.8171000001</v>
      </c>
      <c r="M443" t="s">
        <v>56</v>
      </c>
      <c r="N443" t="s">
        <v>57</v>
      </c>
      <c r="O443">
        <v>750</v>
      </c>
      <c r="P443" t="s">
        <v>58</v>
      </c>
      <c r="Q443" t="s">
        <v>3919</v>
      </c>
      <c r="R443" t="s">
        <v>151</v>
      </c>
      <c r="S443" t="s">
        <v>995</v>
      </c>
      <c r="T443" t="s">
        <v>999</v>
      </c>
      <c r="U443">
        <v>0.11940000000000001</v>
      </c>
      <c r="V443">
        <v>0.1085</v>
      </c>
      <c r="W443" t="s">
        <v>52</v>
      </c>
      <c r="X443">
        <v>1.054</v>
      </c>
      <c r="Y443">
        <v>1.0906</v>
      </c>
      <c r="Z443">
        <v>1.0906</v>
      </c>
      <c r="AA443">
        <v>1.054</v>
      </c>
      <c r="AB443">
        <v>20</v>
      </c>
      <c r="AC443">
        <v>20.0001</v>
      </c>
      <c r="AD443">
        <v>18.803100000000001</v>
      </c>
      <c r="AE443">
        <v>18.8032</v>
      </c>
      <c r="AF443" t="s">
        <v>2233</v>
      </c>
      <c r="AG443" t="s">
        <v>2233</v>
      </c>
      <c r="AH443" t="s">
        <v>3894</v>
      </c>
      <c r="AI443" t="s">
        <v>3894</v>
      </c>
      <c r="AJ443" t="s">
        <v>3895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3896</v>
      </c>
      <c r="AT443" t="s">
        <v>3890</v>
      </c>
      <c r="AU443" t="s">
        <v>3935</v>
      </c>
      <c r="AV443" t="s">
        <v>3898</v>
      </c>
      <c r="AW443">
        <v>2</v>
      </c>
      <c r="AX443">
        <v>0</v>
      </c>
    </row>
    <row r="444" spans="1:50" x14ac:dyDescent="0.25">
      <c r="A444" t="s">
        <v>4401</v>
      </c>
      <c r="B444" t="s">
        <v>3889</v>
      </c>
      <c r="C444" t="s">
        <v>3890</v>
      </c>
      <c r="D444">
        <v>28.629000000000001</v>
      </c>
      <c r="E444">
        <v>28.581</v>
      </c>
      <c r="F444" s="2">
        <v>2.3999999999999998E-3</v>
      </c>
      <c r="G444" t="s">
        <v>3707</v>
      </c>
      <c r="H444" t="s">
        <v>3704</v>
      </c>
      <c r="I444">
        <v>440529.67509999999</v>
      </c>
      <c r="J444">
        <v>1827578.2394999999</v>
      </c>
      <c r="K444">
        <v>440529.67509999999</v>
      </c>
      <c r="L444">
        <v>1827598.2394999999</v>
      </c>
      <c r="M444" t="s">
        <v>56</v>
      </c>
      <c r="N444" t="s">
        <v>57</v>
      </c>
      <c r="O444">
        <v>450</v>
      </c>
      <c r="P444" t="s">
        <v>3891</v>
      </c>
      <c r="Q444" t="s">
        <v>3892</v>
      </c>
      <c r="R444" t="s">
        <v>186</v>
      </c>
      <c r="S444" t="s">
        <v>432</v>
      </c>
      <c r="T444" t="s">
        <v>597</v>
      </c>
      <c r="U444">
        <v>0</v>
      </c>
      <c r="V444">
        <v>0</v>
      </c>
      <c r="W444" t="s">
        <v>52</v>
      </c>
      <c r="X444">
        <v>0.88200000000000001</v>
      </c>
      <c r="Y444">
        <v>0.89</v>
      </c>
      <c r="Z444">
        <v>0.88200000000000001</v>
      </c>
      <c r="AA444">
        <v>0.89</v>
      </c>
      <c r="AB444">
        <v>20</v>
      </c>
      <c r="AC444">
        <v>20.0001</v>
      </c>
      <c r="AD444">
        <v>18.8017</v>
      </c>
      <c r="AE444">
        <v>18.8017</v>
      </c>
      <c r="AF444" t="s">
        <v>67</v>
      </c>
      <c r="AG444" t="s">
        <v>67</v>
      </c>
      <c r="AH444" t="s">
        <v>3894</v>
      </c>
      <c r="AI444" t="s">
        <v>3894</v>
      </c>
      <c r="AJ444" t="s">
        <v>3895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3896</v>
      </c>
      <c r="AT444" t="s">
        <v>3890</v>
      </c>
      <c r="AU444" t="s">
        <v>3897</v>
      </c>
      <c r="AV444" t="s">
        <v>3898</v>
      </c>
      <c r="AW444">
        <v>2</v>
      </c>
      <c r="AX444">
        <v>0</v>
      </c>
    </row>
    <row r="445" spans="1:50" x14ac:dyDescent="0.25">
      <c r="A445" t="s">
        <v>4402</v>
      </c>
      <c r="B445" t="s">
        <v>3889</v>
      </c>
      <c r="C445" t="s">
        <v>3890</v>
      </c>
      <c r="D445">
        <v>28.629000000000001</v>
      </c>
      <c r="E445">
        <v>28.581</v>
      </c>
      <c r="F445" s="2">
        <v>2.3999999999999998E-3</v>
      </c>
      <c r="G445" t="s">
        <v>3778</v>
      </c>
      <c r="H445" t="s">
        <v>3776</v>
      </c>
      <c r="I445">
        <v>440519.97509999998</v>
      </c>
      <c r="J445">
        <v>1827578.2394999999</v>
      </c>
      <c r="K445">
        <v>440519.97509999998</v>
      </c>
      <c r="L445">
        <v>1827598.2394999999</v>
      </c>
      <c r="M445" t="s">
        <v>56</v>
      </c>
      <c r="N445" t="s">
        <v>57</v>
      </c>
      <c r="O445">
        <v>450</v>
      </c>
      <c r="P445" t="s">
        <v>3891</v>
      </c>
      <c r="Q445" t="s">
        <v>3892</v>
      </c>
      <c r="R445" t="s">
        <v>191</v>
      </c>
      <c r="S445" t="s">
        <v>432</v>
      </c>
      <c r="T445" t="s">
        <v>597</v>
      </c>
      <c r="U445">
        <v>-7.5999999999999998E-2</v>
      </c>
      <c r="V445">
        <v>-7.5999999999999998E-2</v>
      </c>
      <c r="W445" t="s">
        <v>52</v>
      </c>
      <c r="X445">
        <v>0.88200000000000001</v>
      </c>
      <c r="Y445">
        <v>0.89</v>
      </c>
      <c r="Z445">
        <v>0.88200000000000001</v>
      </c>
      <c r="AA445">
        <v>0.89</v>
      </c>
      <c r="AB445">
        <v>20</v>
      </c>
      <c r="AC445">
        <v>20.0001</v>
      </c>
      <c r="AD445">
        <v>18.8017</v>
      </c>
      <c r="AE445">
        <v>18.8017</v>
      </c>
      <c r="AF445" t="s">
        <v>67</v>
      </c>
      <c r="AG445" t="s">
        <v>67</v>
      </c>
      <c r="AH445" t="s">
        <v>3894</v>
      </c>
      <c r="AI445" t="s">
        <v>3894</v>
      </c>
      <c r="AJ445" t="s">
        <v>3895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3896</v>
      </c>
      <c r="AT445" t="s">
        <v>3890</v>
      </c>
      <c r="AU445" t="s">
        <v>3897</v>
      </c>
      <c r="AV445" t="s">
        <v>3898</v>
      </c>
      <c r="AW445">
        <v>2</v>
      </c>
      <c r="AX445">
        <v>0</v>
      </c>
    </row>
    <row r="446" spans="1:50" x14ac:dyDescent="0.25">
      <c r="A446" t="s">
        <v>4403</v>
      </c>
      <c r="B446" t="s">
        <v>3889</v>
      </c>
      <c r="C446" t="s">
        <v>3890</v>
      </c>
      <c r="D446">
        <v>27.823</v>
      </c>
      <c r="E446">
        <v>27.763999999999999</v>
      </c>
      <c r="F446" s="2">
        <v>2.8999999999999998E-3</v>
      </c>
      <c r="G446" t="s">
        <v>3689</v>
      </c>
      <c r="H446" t="s">
        <v>3692</v>
      </c>
      <c r="I446">
        <v>440595.27510000003</v>
      </c>
      <c r="J446">
        <v>1827478.2394999999</v>
      </c>
      <c r="K446">
        <v>440595.27510000003</v>
      </c>
      <c r="L446">
        <v>1827498.2394999999</v>
      </c>
      <c r="M446" t="s">
        <v>56</v>
      </c>
      <c r="N446" t="s">
        <v>57</v>
      </c>
      <c r="O446">
        <v>450</v>
      </c>
      <c r="P446" t="s">
        <v>3891</v>
      </c>
      <c r="Q446" t="s">
        <v>3892</v>
      </c>
      <c r="R446" t="s">
        <v>797</v>
      </c>
      <c r="S446" t="s">
        <v>529</v>
      </c>
      <c r="T446" t="s">
        <v>416</v>
      </c>
      <c r="U446">
        <v>3.3099999999999997E-2</v>
      </c>
      <c r="V446">
        <v>3.3099999999999997E-2</v>
      </c>
      <c r="W446" t="s">
        <v>52</v>
      </c>
      <c r="X446">
        <v>0.88160000000000005</v>
      </c>
      <c r="Y446">
        <v>0.96730000000000005</v>
      </c>
      <c r="Z446">
        <v>0.96730000000000005</v>
      </c>
      <c r="AA446">
        <v>0.88160000000000005</v>
      </c>
      <c r="AB446">
        <v>20</v>
      </c>
      <c r="AC446">
        <v>20.0001</v>
      </c>
      <c r="AD446">
        <v>18.802099999999999</v>
      </c>
      <c r="AE446">
        <v>18.802099999999999</v>
      </c>
      <c r="AF446" t="s">
        <v>3973</v>
      </c>
      <c r="AG446" t="s">
        <v>3973</v>
      </c>
      <c r="AH446" t="s">
        <v>3894</v>
      </c>
      <c r="AI446" t="s">
        <v>3894</v>
      </c>
      <c r="AJ446" t="s">
        <v>3895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3896</v>
      </c>
      <c r="AT446" t="s">
        <v>3890</v>
      </c>
      <c r="AU446" t="s">
        <v>3897</v>
      </c>
      <c r="AV446" t="s">
        <v>3898</v>
      </c>
      <c r="AW446">
        <v>2</v>
      </c>
      <c r="AX446">
        <v>0</v>
      </c>
    </row>
    <row r="447" spans="1:50" x14ac:dyDescent="0.25">
      <c r="A447" t="s">
        <v>4404</v>
      </c>
      <c r="B447" t="s">
        <v>3889</v>
      </c>
      <c r="C447" t="s">
        <v>3890</v>
      </c>
      <c r="D447">
        <v>27.823</v>
      </c>
      <c r="E447">
        <v>27.763999999999999</v>
      </c>
      <c r="F447" s="2">
        <v>2.8999999999999998E-3</v>
      </c>
      <c r="G447" t="s">
        <v>3669</v>
      </c>
      <c r="H447" t="s">
        <v>3673</v>
      </c>
      <c r="I447">
        <v>440585.57510000002</v>
      </c>
      <c r="J447">
        <v>1827478.2318</v>
      </c>
      <c r="K447">
        <v>440585.57510000002</v>
      </c>
      <c r="L447">
        <v>1827498.2394999999</v>
      </c>
      <c r="M447" t="s">
        <v>56</v>
      </c>
      <c r="N447" t="s">
        <v>57</v>
      </c>
      <c r="O447">
        <v>450</v>
      </c>
      <c r="P447" t="s">
        <v>3891</v>
      </c>
      <c r="Q447" t="s">
        <v>3892</v>
      </c>
      <c r="R447" t="s">
        <v>357</v>
      </c>
      <c r="S447" t="s">
        <v>3671</v>
      </c>
      <c r="T447" t="s">
        <v>416</v>
      </c>
      <c r="U447">
        <v>3.7400000000000003E-2</v>
      </c>
      <c r="V447">
        <v>2.63E-2</v>
      </c>
      <c r="W447" t="s">
        <v>52</v>
      </c>
      <c r="X447">
        <v>0.88160000000000005</v>
      </c>
      <c r="Y447">
        <v>0.96740000000000004</v>
      </c>
      <c r="Z447">
        <v>0.96740000000000004</v>
      </c>
      <c r="AA447">
        <v>0.88160000000000005</v>
      </c>
      <c r="AB447">
        <v>20.0077</v>
      </c>
      <c r="AC447">
        <v>20.0078</v>
      </c>
      <c r="AD447">
        <v>18.809799999999999</v>
      </c>
      <c r="AE447">
        <v>18.809799999999999</v>
      </c>
      <c r="AF447" t="s">
        <v>3973</v>
      </c>
      <c r="AG447" t="s">
        <v>3973</v>
      </c>
      <c r="AH447" t="s">
        <v>3894</v>
      </c>
      <c r="AI447" t="s">
        <v>3894</v>
      </c>
      <c r="AJ447" t="s">
        <v>3895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3896</v>
      </c>
      <c r="AT447" t="s">
        <v>3890</v>
      </c>
      <c r="AU447" t="s">
        <v>3897</v>
      </c>
      <c r="AV447" t="s">
        <v>3898</v>
      </c>
      <c r="AW447">
        <v>2</v>
      </c>
      <c r="AX447">
        <v>0</v>
      </c>
    </row>
    <row r="448" spans="1:50" x14ac:dyDescent="0.25">
      <c r="A448" t="s">
        <v>4405</v>
      </c>
      <c r="B448" t="s">
        <v>3889</v>
      </c>
      <c r="C448" t="s">
        <v>3890</v>
      </c>
      <c r="D448">
        <v>32.182000000000002</v>
      </c>
      <c r="E448">
        <v>32.122</v>
      </c>
      <c r="F448" s="2">
        <v>3.0000000000000001E-3</v>
      </c>
      <c r="G448" t="s">
        <v>3223</v>
      </c>
      <c r="H448" t="s">
        <v>3227</v>
      </c>
      <c r="I448">
        <v>440117.47489999997</v>
      </c>
      <c r="J448">
        <v>1827287.8488</v>
      </c>
      <c r="K448">
        <v>440117.47489999997</v>
      </c>
      <c r="L448">
        <v>1827307.8488</v>
      </c>
      <c r="M448" t="s">
        <v>56</v>
      </c>
      <c r="N448" t="s">
        <v>57</v>
      </c>
      <c r="O448">
        <v>450</v>
      </c>
      <c r="P448" t="s">
        <v>3891</v>
      </c>
      <c r="Q448" t="s">
        <v>3892</v>
      </c>
      <c r="R448" t="s">
        <v>3220</v>
      </c>
      <c r="S448" t="s">
        <v>3225</v>
      </c>
      <c r="T448" t="s">
        <v>3229</v>
      </c>
      <c r="U448">
        <v>-1E-3</v>
      </c>
      <c r="V448">
        <v>-1E-3</v>
      </c>
      <c r="W448" t="s">
        <v>52</v>
      </c>
      <c r="X448">
        <v>0.88200000000000001</v>
      </c>
      <c r="Y448">
        <v>1.0375000000000001</v>
      </c>
      <c r="Z448">
        <v>1.0375000000000001</v>
      </c>
      <c r="AA448">
        <v>0.88200000000000001</v>
      </c>
      <c r="AB448">
        <v>20</v>
      </c>
      <c r="AC448">
        <v>20.0001</v>
      </c>
      <c r="AD448">
        <v>18.802099999999999</v>
      </c>
      <c r="AE448">
        <v>18.802199999999999</v>
      </c>
      <c r="AF448" t="s">
        <v>67</v>
      </c>
      <c r="AG448" t="s">
        <v>67</v>
      </c>
      <c r="AH448" t="s">
        <v>3894</v>
      </c>
      <c r="AI448" t="s">
        <v>3894</v>
      </c>
      <c r="AJ448" t="s">
        <v>3895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3896</v>
      </c>
      <c r="AT448" t="s">
        <v>3890</v>
      </c>
      <c r="AU448" t="s">
        <v>3897</v>
      </c>
      <c r="AV448" t="s">
        <v>3898</v>
      </c>
      <c r="AW448">
        <v>2</v>
      </c>
      <c r="AX448">
        <v>0</v>
      </c>
    </row>
    <row r="449" spans="1:50" x14ac:dyDescent="0.25">
      <c r="A449" t="s">
        <v>3375</v>
      </c>
      <c r="B449" t="s">
        <v>3889</v>
      </c>
      <c r="C449" t="s">
        <v>3890</v>
      </c>
      <c r="D449">
        <v>31.215</v>
      </c>
      <c r="E449">
        <v>31.155000000000001</v>
      </c>
      <c r="F449" s="2">
        <v>3.0000000000000001E-3</v>
      </c>
      <c r="G449" t="s">
        <v>3374</v>
      </c>
      <c r="H449" t="s">
        <v>3376</v>
      </c>
      <c r="I449">
        <v>440258.3749</v>
      </c>
      <c r="J449">
        <v>1827275.1909</v>
      </c>
      <c r="K449">
        <v>440258.3749</v>
      </c>
      <c r="L449">
        <v>1827295.1909</v>
      </c>
      <c r="M449" t="s">
        <v>56</v>
      </c>
      <c r="N449" t="s">
        <v>57</v>
      </c>
      <c r="O449">
        <v>450</v>
      </c>
      <c r="P449" t="s">
        <v>3891</v>
      </c>
      <c r="Q449" t="s">
        <v>3892</v>
      </c>
      <c r="R449" t="s">
        <v>338</v>
      </c>
      <c r="S449" s="1" t="s">
        <v>3353</v>
      </c>
      <c r="T449" t="s">
        <v>3357</v>
      </c>
      <c r="U449">
        <v>0</v>
      </c>
      <c r="V449">
        <v>0</v>
      </c>
      <c r="W449" t="s">
        <v>52</v>
      </c>
      <c r="X449">
        <v>0.90310000000000001</v>
      </c>
      <c r="Y449">
        <v>0.93420000000000003</v>
      </c>
      <c r="Z449">
        <v>0.93420000000000003</v>
      </c>
      <c r="AA449">
        <v>0.90310000000000001</v>
      </c>
      <c r="AB449">
        <v>20</v>
      </c>
      <c r="AC449">
        <v>20.0001</v>
      </c>
      <c r="AD449">
        <v>18.802099999999999</v>
      </c>
      <c r="AE449">
        <v>18.802199999999999</v>
      </c>
      <c r="AF449" t="s">
        <v>67</v>
      </c>
      <c r="AG449" t="s">
        <v>67</v>
      </c>
      <c r="AH449" t="s">
        <v>3894</v>
      </c>
      <c r="AI449" t="s">
        <v>3894</v>
      </c>
      <c r="AJ449" t="s">
        <v>3895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3896</v>
      </c>
      <c r="AT449" t="s">
        <v>3890</v>
      </c>
      <c r="AU449" t="s">
        <v>3897</v>
      </c>
      <c r="AV449" t="s">
        <v>3898</v>
      </c>
      <c r="AW449">
        <v>2</v>
      </c>
      <c r="AX449">
        <v>0</v>
      </c>
    </row>
    <row r="450" spans="1:50" x14ac:dyDescent="0.25">
      <c r="A450" t="s">
        <v>3351</v>
      </c>
      <c r="B450" t="s">
        <v>3889</v>
      </c>
      <c r="C450" t="s">
        <v>3890</v>
      </c>
      <c r="D450">
        <v>31.215</v>
      </c>
      <c r="E450">
        <v>31.155000000000001</v>
      </c>
      <c r="F450" s="2">
        <v>3.0000000000000001E-3</v>
      </c>
      <c r="G450" t="s">
        <v>3350</v>
      </c>
      <c r="H450" t="s">
        <v>3355</v>
      </c>
      <c r="I450">
        <v>440248.67489999998</v>
      </c>
      <c r="J450">
        <v>1827275.1909</v>
      </c>
      <c r="K450">
        <v>440248.67489999998</v>
      </c>
      <c r="L450">
        <v>1827295.1909</v>
      </c>
      <c r="M450" t="s">
        <v>56</v>
      </c>
      <c r="N450" t="s">
        <v>57</v>
      </c>
      <c r="O450">
        <v>450</v>
      </c>
      <c r="P450" t="s">
        <v>3891</v>
      </c>
      <c r="Q450" t="s">
        <v>3892</v>
      </c>
      <c r="R450" t="s">
        <v>3352</v>
      </c>
      <c r="S450" t="s">
        <v>3353</v>
      </c>
      <c r="T450" t="s">
        <v>3357</v>
      </c>
      <c r="U450">
        <v>-0.17960000000000001</v>
      </c>
      <c r="V450">
        <v>-0.17960000000000001</v>
      </c>
      <c r="W450" t="s">
        <v>52</v>
      </c>
      <c r="X450">
        <v>0.90310000000000001</v>
      </c>
      <c r="Y450">
        <v>0.93420000000000003</v>
      </c>
      <c r="Z450">
        <v>0.93420000000000003</v>
      </c>
      <c r="AA450">
        <v>0.90310000000000001</v>
      </c>
      <c r="AB450">
        <v>20</v>
      </c>
      <c r="AC450">
        <v>20.0001</v>
      </c>
      <c r="AD450">
        <v>18.802099999999999</v>
      </c>
      <c r="AE450">
        <v>18.802199999999999</v>
      </c>
      <c r="AF450" t="s">
        <v>67</v>
      </c>
      <c r="AG450" t="s">
        <v>67</v>
      </c>
      <c r="AH450" t="s">
        <v>3894</v>
      </c>
      <c r="AI450" t="s">
        <v>3894</v>
      </c>
      <c r="AJ450" t="s">
        <v>3895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3896</v>
      </c>
      <c r="AT450" t="s">
        <v>3890</v>
      </c>
      <c r="AU450" t="s">
        <v>3897</v>
      </c>
      <c r="AV450" t="s">
        <v>3898</v>
      </c>
      <c r="AW450">
        <v>2</v>
      </c>
      <c r="AX450">
        <v>0</v>
      </c>
    </row>
    <row r="451" spans="1:50" x14ac:dyDescent="0.25">
      <c r="A451" t="s">
        <v>3326</v>
      </c>
      <c r="B451" t="s">
        <v>3889</v>
      </c>
      <c r="C451" t="s">
        <v>3890</v>
      </c>
      <c r="D451">
        <v>31.503</v>
      </c>
      <c r="E451">
        <v>31.443000000000001</v>
      </c>
      <c r="F451" s="2">
        <v>3.0000000000000001E-3</v>
      </c>
      <c r="G451" t="s">
        <v>3325</v>
      </c>
      <c r="H451" t="s">
        <v>3328</v>
      </c>
      <c r="I451">
        <v>440192.77490000002</v>
      </c>
      <c r="J451">
        <v>1827274.4693</v>
      </c>
      <c r="K451">
        <v>440192.77490000002</v>
      </c>
      <c r="L451">
        <v>1827294.4693</v>
      </c>
      <c r="M451" t="s">
        <v>56</v>
      </c>
      <c r="N451" t="s">
        <v>57</v>
      </c>
      <c r="O451">
        <v>450</v>
      </c>
      <c r="P451" t="s">
        <v>3891</v>
      </c>
      <c r="Q451" t="s">
        <v>3892</v>
      </c>
      <c r="R451" t="s">
        <v>3327</v>
      </c>
      <c r="S451" t="s">
        <v>3307</v>
      </c>
      <c r="T451" t="s">
        <v>3311</v>
      </c>
      <c r="U451">
        <v>0</v>
      </c>
      <c r="V451">
        <v>0</v>
      </c>
      <c r="W451" t="s">
        <v>52</v>
      </c>
      <c r="X451">
        <v>0.89859999999999995</v>
      </c>
      <c r="Y451">
        <v>0.90159999999999996</v>
      </c>
      <c r="Z451">
        <v>0.90159999999999996</v>
      </c>
      <c r="AA451">
        <v>0.89859999999999995</v>
      </c>
      <c r="AB451">
        <v>20</v>
      </c>
      <c r="AC451">
        <v>20.0001</v>
      </c>
      <c r="AD451">
        <v>18.802099999999999</v>
      </c>
      <c r="AE451">
        <v>18.802199999999999</v>
      </c>
      <c r="AF451" t="s">
        <v>3973</v>
      </c>
      <c r="AG451" t="s">
        <v>3973</v>
      </c>
      <c r="AH451" t="s">
        <v>3894</v>
      </c>
      <c r="AI451" t="s">
        <v>3894</v>
      </c>
      <c r="AJ451" t="s">
        <v>3895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3896</v>
      </c>
      <c r="AT451" t="s">
        <v>3890</v>
      </c>
      <c r="AU451" t="s">
        <v>3897</v>
      </c>
      <c r="AV451" t="s">
        <v>3898</v>
      </c>
      <c r="AW451">
        <v>2</v>
      </c>
      <c r="AX451">
        <v>0</v>
      </c>
    </row>
    <row r="452" spans="1:50" x14ac:dyDescent="0.25">
      <c r="A452" t="s">
        <v>3306</v>
      </c>
      <c r="B452" t="s">
        <v>3889</v>
      </c>
      <c r="C452" t="s">
        <v>3890</v>
      </c>
      <c r="D452">
        <v>31.503</v>
      </c>
      <c r="E452">
        <v>31.443000000000001</v>
      </c>
      <c r="F452" s="2">
        <v>3.0000000000000001E-3</v>
      </c>
      <c r="G452" t="s">
        <v>3305</v>
      </c>
      <c r="H452" t="s">
        <v>3309</v>
      </c>
      <c r="I452">
        <v>440183.07490000001</v>
      </c>
      <c r="J452">
        <v>1827274.4693</v>
      </c>
      <c r="K452">
        <v>440183.07490000001</v>
      </c>
      <c r="L452">
        <v>1827294.4693</v>
      </c>
      <c r="M452" t="s">
        <v>56</v>
      </c>
      <c r="N452" t="s">
        <v>57</v>
      </c>
      <c r="O452">
        <v>450</v>
      </c>
      <c r="P452" t="s">
        <v>3891</v>
      </c>
      <c r="Q452" t="s">
        <v>3892</v>
      </c>
      <c r="R452" t="s">
        <v>333</v>
      </c>
      <c r="S452" t="s">
        <v>3307</v>
      </c>
      <c r="T452" t="s">
        <v>3311</v>
      </c>
      <c r="U452">
        <v>-2.4199999999999999E-2</v>
      </c>
      <c r="V452">
        <v>-2.4199999999999999E-2</v>
      </c>
      <c r="W452" t="s">
        <v>52</v>
      </c>
      <c r="X452">
        <v>0.89859999999999995</v>
      </c>
      <c r="Y452">
        <v>0.90159999999999996</v>
      </c>
      <c r="Z452">
        <v>0.90159999999999996</v>
      </c>
      <c r="AA452">
        <v>0.89859999999999995</v>
      </c>
      <c r="AB452">
        <v>20</v>
      </c>
      <c r="AC452">
        <v>20.0001</v>
      </c>
      <c r="AD452">
        <v>18.802099999999999</v>
      </c>
      <c r="AE452">
        <v>18.802199999999999</v>
      </c>
      <c r="AF452" t="s">
        <v>3973</v>
      </c>
      <c r="AG452" t="s">
        <v>3973</v>
      </c>
      <c r="AH452" t="s">
        <v>3894</v>
      </c>
      <c r="AI452" t="s">
        <v>3894</v>
      </c>
      <c r="AJ452" t="s">
        <v>3895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3896</v>
      </c>
      <c r="AT452" t="s">
        <v>3890</v>
      </c>
      <c r="AU452" t="s">
        <v>3897</v>
      </c>
      <c r="AV452" t="s">
        <v>3898</v>
      </c>
      <c r="AW452">
        <v>2</v>
      </c>
      <c r="AX452">
        <v>0</v>
      </c>
    </row>
    <row r="453" spans="1:50" x14ac:dyDescent="0.25">
      <c r="A453" t="s">
        <v>4406</v>
      </c>
      <c r="B453" t="s">
        <v>3889</v>
      </c>
      <c r="C453" t="s">
        <v>3890</v>
      </c>
      <c r="D453">
        <v>28.716000000000001</v>
      </c>
      <c r="E453">
        <v>28.696000000000002</v>
      </c>
      <c r="F453" s="2">
        <v>1E-3</v>
      </c>
      <c r="G453" t="s">
        <v>2870</v>
      </c>
      <c r="H453" t="s">
        <v>2873</v>
      </c>
      <c r="I453">
        <v>440398.47509999998</v>
      </c>
      <c r="J453">
        <v>1827629.7609000001</v>
      </c>
      <c r="K453">
        <v>440398.47509999998</v>
      </c>
      <c r="L453">
        <v>1827649.7609000001</v>
      </c>
      <c r="M453" t="s">
        <v>56</v>
      </c>
      <c r="N453" t="s">
        <v>57</v>
      </c>
      <c r="O453">
        <v>450</v>
      </c>
      <c r="P453" t="s">
        <v>3891</v>
      </c>
      <c r="Q453" t="s">
        <v>3892</v>
      </c>
      <c r="R453" t="s">
        <v>107</v>
      </c>
      <c r="S453" t="s">
        <v>1444</v>
      </c>
      <c r="T453" s="1" t="s">
        <v>525</v>
      </c>
      <c r="U453">
        <v>-2.0000000000000001E-4</v>
      </c>
      <c r="V453">
        <v>-2.0000000000000001E-4</v>
      </c>
      <c r="W453" t="s">
        <v>52</v>
      </c>
      <c r="X453">
        <v>0.9405</v>
      </c>
      <c r="Y453">
        <v>0.99180000000000001</v>
      </c>
      <c r="Z453">
        <v>0.99180000000000001</v>
      </c>
      <c r="AA453">
        <v>0.9405</v>
      </c>
      <c r="AB453">
        <v>20</v>
      </c>
      <c r="AC453">
        <v>20</v>
      </c>
      <c r="AD453">
        <v>18.800699999999999</v>
      </c>
      <c r="AE453">
        <v>18.800699999999999</v>
      </c>
      <c r="AF453" t="s">
        <v>3973</v>
      </c>
      <c r="AG453" t="s">
        <v>3973</v>
      </c>
      <c r="AH453" t="s">
        <v>3894</v>
      </c>
      <c r="AI453" t="s">
        <v>3894</v>
      </c>
      <c r="AJ453" t="s">
        <v>3895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3896</v>
      </c>
      <c r="AT453" t="s">
        <v>3890</v>
      </c>
      <c r="AU453" t="s">
        <v>3897</v>
      </c>
      <c r="AV453" t="s">
        <v>3898</v>
      </c>
      <c r="AW453">
        <v>2</v>
      </c>
      <c r="AX453">
        <v>0</v>
      </c>
    </row>
    <row r="454" spans="1:50" x14ac:dyDescent="0.25">
      <c r="A454" t="s">
        <v>4407</v>
      </c>
      <c r="B454" t="s">
        <v>3889</v>
      </c>
      <c r="C454" t="s">
        <v>3890</v>
      </c>
      <c r="D454">
        <v>28.716000000000001</v>
      </c>
      <c r="E454">
        <v>28.686</v>
      </c>
      <c r="F454" s="2">
        <v>1.5E-3</v>
      </c>
      <c r="G454" t="s">
        <v>2888</v>
      </c>
      <c r="H454" t="s">
        <v>2890</v>
      </c>
      <c r="I454">
        <v>440387.3751</v>
      </c>
      <c r="J454">
        <v>1827629.7609000001</v>
      </c>
      <c r="K454">
        <v>440387.3751</v>
      </c>
      <c r="L454">
        <v>1827649.7609000001</v>
      </c>
      <c r="M454" t="s">
        <v>56</v>
      </c>
      <c r="N454" t="s">
        <v>57</v>
      </c>
      <c r="O454">
        <v>450</v>
      </c>
      <c r="P454" t="s">
        <v>3891</v>
      </c>
      <c r="Q454" t="s">
        <v>3892</v>
      </c>
      <c r="R454" t="s">
        <v>117</v>
      </c>
      <c r="S454" s="1" t="s">
        <v>1444</v>
      </c>
      <c r="T454" t="s">
        <v>525</v>
      </c>
      <c r="U454">
        <v>3.6400000000000002E-2</v>
      </c>
      <c r="V454">
        <v>3.6400000000000002E-2</v>
      </c>
      <c r="W454" t="s">
        <v>52</v>
      </c>
      <c r="X454">
        <v>0.95050000000000001</v>
      </c>
      <c r="Y454">
        <v>0.99180000000000001</v>
      </c>
      <c r="Z454">
        <v>0.99180000000000001</v>
      </c>
      <c r="AA454">
        <v>0.95050000000000001</v>
      </c>
      <c r="AB454">
        <v>20</v>
      </c>
      <c r="AC454">
        <v>20</v>
      </c>
      <c r="AD454">
        <v>18.800999999999998</v>
      </c>
      <c r="AE454">
        <v>18.801100000000002</v>
      </c>
      <c r="AF454" t="s">
        <v>3973</v>
      </c>
      <c r="AG454" t="s">
        <v>3973</v>
      </c>
      <c r="AH454" t="s">
        <v>3894</v>
      </c>
      <c r="AI454" t="s">
        <v>3894</v>
      </c>
      <c r="AJ454" t="s">
        <v>3895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3896</v>
      </c>
      <c r="AT454" t="s">
        <v>3890</v>
      </c>
      <c r="AU454" t="s">
        <v>3897</v>
      </c>
      <c r="AV454" t="s">
        <v>3898</v>
      </c>
      <c r="AW454">
        <v>2</v>
      </c>
      <c r="AX454">
        <v>0</v>
      </c>
    </row>
    <row r="455" spans="1:50" x14ac:dyDescent="0.25">
      <c r="A455" t="s">
        <v>4408</v>
      </c>
      <c r="B455" t="s">
        <v>4065</v>
      </c>
      <c r="C455" t="s">
        <v>3890</v>
      </c>
      <c r="D455">
        <v>29.913</v>
      </c>
      <c r="E455">
        <v>29.853000000000002</v>
      </c>
      <c r="F455" s="2">
        <v>3.0000000000000001E-3</v>
      </c>
      <c r="G455" t="s">
        <v>1338</v>
      </c>
      <c r="H455" t="s">
        <v>1342</v>
      </c>
      <c r="I455">
        <v>440198.92479999998</v>
      </c>
      <c r="J455">
        <v>1827661.8171000001</v>
      </c>
      <c r="K455">
        <v>440198.92479999998</v>
      </c>
      <c r="L455">
        <v>1827641.8171000001</v>
      </c>
      <c r="M455" t="s">
        <v>56</v>
      </c>
      <c r="N455" t="s">
        <v>57</v>
      </c>
      <c r="O455">
        <v>900</v>
      </c>
      <c r="P455" t="s">
        <v>58</v>
      </c>
      <c r="Q455" t="s">
        <v>3919</v>
      </c>
      <c r="R455" t="s">
        <v>146</v>
      </c>
      <c r="S455" t="s">
        <v>1340</v>
      </c>
      <c r="T455" t="s">
        <v>1344</v>
      </c>
      <c r="U455">
        <v>-2.5000000000000001E-2</v>
      </c>
      <c r="V455">
        <v>-2.5000000000000001E-2</v>
      </c>
      <c r="W455" t="s">
        <v>52</v>
      </c>
      <c r="X455">
        <v>0.85199999999999998</v>
      </c>
      <c r="Y455">
        <v>0.88859999999999995</v>
      </c>
      <c r="Z455">
        <v>0.88859999999999995</v>
      </c>
      <c r="AA455">
        <v>0.85199999999999998</v>
      </c>
      <c r="AB455">
        <v>20</v>
      </c>
      <c r="AC455">
        <v>20.0001</v>
      </c>
      <c r="AD455">
        <v>18.803599999999999</v>
      </c>
      <c r="AE455">
        <v>18.803699999999999</v>
      </c>
      <c r="AF455" t="s">
        <v>2233</v>
      </c>
      <c r="AG455" t="s">
        <v>2233</v>
      </c>
      <c r="AH455" t="s">
        <v>3894</v>
      </c>
      <c r="AI455" t="s">
        <v>3894</v>
      </c>
      <c r="AJ455" t="s">
        <v>3895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3896</v>
      </c>
      <c r="AT455" t="s">
        <v>3890</v>
      </c>
      <c r="AU455" t="s">
        <v>4066</v>
      </c>
      <c r="AV455" t="s">
        <v>3898</v>
      </c>
      <c r="AW455">
        <v>2</v>
      </c>
      <c r="AX455">
        <v>0</v>
      </c>
    </row>
    <row r="456" spans="1:50" x14ac:dyDescent="0.25">
      <c r="A456" t="s">
        <v>4409</v>
      </c>
      <c r="B456" t="s">
        <v>4010</v>
      </c>
      <c r="C456" t="s">
        <v>3890</v>
      </c>
      <c r="D456">
        <v>31.867000000000001</v>
      </c>
      <c r="E456">
        <v>31.806999999999999</v>
      </c>
      <c r="F456" s="2">
        <v>3.0000000000000001E-3</v>
      </c>
      <c r="G456" t="s">
        <v>1477</v>
      </c>
      <c r="H456" t="s">
        <v>1481</v>
      </c>
      <c r="I456">
        <v>439962.02480000001</v>
      </c>
      <c r="J456">
        <v>1827725.8171000001</v>
      </c>
      <c r="K456">
        <v>439962.02480000001</v>
      </c>
      <c r="L456">
        <v>1827705.8171000001</v>
      </c>
      <c r="M456" t="s">
        <v>56</v>
      </c>
      <c r="N456" t="s">
        <v>57</v>
      </c>
      <c r="O456">
        <v>900</v>
      </c>
      <c r="P456" t="s">
        <v>109</v>
      </c>
      <c r="Q456" t="s">
        <v>3919</v>
      </c>
      <c r="R456" t="s">
        <v>1404</v>
      </c>
      <c r="S456" t="s">
        <v>1479</v>
      </c>
      <c r="T456" t="s">
        <v>1483</v>
      </c>
      <c r="U456">
        <v>7.5600000000000001E-2</v>
      </c>
      <c r="V456">
        <v>6.7000000000000004E-2</v>
      </c>
      <c r="W456" t="s">
        <v>52</v>
      </c>
      <c r="X456">
        <v>0.85219999999999996</v>
      </c>
      <c r="Y456">
        <v>0.86599999999999999</v>
      </c>
      <c r="Z456">
        <v>0.86599999999999999</v>
      </c>
      <c r="AA456">
        <v>0.85219999999999996</v>
      </c>
      <c r="AB456">
        <v>20</v>
      </c>
      <c r="AC456">
        <v>20.0001</v>
      </c>
      <c r="AD456">
        <v>18.803599999999999</v>
      </c>
      <c r="AE456">
        <v>18.803699999999999</v>
      </c>
      <c r="AF456" t="s">
        <v>4011</v>
      </c>
      <c r="AG456" t="s">
        <v>4011</v>
      </c>
      <c r="AH456" t="s">
        <v>3894</v>
      </c>
      <c r="AI456" t="s">
        <v>3894</v>
      </c>
      <c r="AJ456" t="s">
        <v>3895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3896</v>
      </c>
      <c r="AT456" t="s">
        <v>3890</v>
      </c>
      <c r="AU456" t="s">
        <v>4012</v>
      </c>
      <c r="AV456" t="s">
        <v>3898</v>
      </c>
      <c r="AW456">
        <v>2</v>
      </c>
      <c r="AX456">
        <v>0</v>
      </c>
    </row>
    <row r="457" spans="1:50" x14ac:dyDescent="0.25">
      <c r="A457" t="s">
        <v>4410</v>
      </c>
      <c r="B457" t="s">
        <v>4010</v>
      </c>
      <c r="C457" t="s">
        <v>3890</v>
      </c>
      <c r="D457">
        <v>32.29</v>
      </c>
      <c r="E457">
        <v>32.229999999999997</v>
      </c>
      <c r="F457" s="2">
        <v>3.0000000000000001E-3</v>
      </c>
      <c r="G457" t="s">
        <v>1462</v>
      </c>
      <c r="H457" t="s">
        <v>1465</v>
      </c>
      <c r="I457">
        <v>439962.02480000001</v>
      </c>
      <c r="J457">
        <v>1827825.8171000001</v>
      </c>
      <c r="K457">
        <v>439962.02480000001</v>
      </c>
      <c r="L457">
        <v>1827805.8171000001</v>
      </c>
      <c r="M457" t="s">
        <v>56</v>
      </c>
      <c r="N457" t="s">
        <v>57</v>
      </c>
      <c r="O457">
        <v>900</v>
      </c>
      <c r="P457" t="s">
        <v>109</v>
      </c>
      <c r="Q457" t="s">
        <v>3919</v>
      </c>
      <c r="R457" t="s">
        <v>1404</v>
      </c>
      <c r="S457" t="s">
        <v>849</v>
      </c>
      <c r="T457" t="s">
        <v>865</v>
      </c>
      <c r="U457">
        <v>0.1186</v>
      </c>
      <c r="V457">
        <v>0.11</v>
      </c>
      <c r="W457" t="s">
        <v>52</v>
      </c>
      <c r="X457">
        <v>0.85160000000000002</v>
      </c>
      <c r="Y457">
        <v>0.88739999999999997</v>
      </c>
      <c r="Z457">
        <v>0.88739999999999997</v>
      </c>
      <c r="AA457">
        <v>0.85160000000000002</v>
      </c>
      <c r="AB457">
        <v>20</v>
      </c>
      <c r="AC457">
        <v>20.0001</v>
      </c>
      <c r="AD457">
        <v>18.803599999999999</v>
      </c>
      <c r="AE457">
        <v>18.803699999999999</v>
      </c>
      <c r="AF457" t="s">
        <v>4011</v>
      </c>
      <c r="AG457" t="s">
        <v>4011</v>
      </c>
      <c r="AH457" t="s">
        <v>3894</v>
      </c>
      <c r="AI457" t="s">
        <v>3894</v>
      </c>
      <c r="AJ457" t="s">
        <v>3895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3896</v>
      </c>
      <c r="AT457" t="s">
        <v>3890</v>
      </c>
      <c r="AU457" t="s">
        <v>4012</v>
      </c>
      <c r="AV457" t="s">
        <v>3898</v>
      </c>
      <c r="AW457">
        <v>2</v>
      </c>
      <c r="AX457">
        <v>0</v>
      </c>
    </row>
    <row r="458" spans="1:50" x14ac:dyDescent="0.25">
      <c r="A458" t="s">
        <v>4411</v>
      </c>
      <c r="B458" t="s">
        <v>4010</v>
      </c>
      <c r="C458" t="s">
        <v>3890</v>
      </c>
      <c r="D458">
        <v>31.867000000000001</v>
      </c>
      <c r="E458">
        <v>31.806999999999999</v>
      </c>
      <c r="F458" s="2">
        <v>3.0000000000000001E-3</v>
      </c>
      <c r="G458" t="s">
        <v>1575</v>
      </c>
      <c r="H458" t="s">
        <v>1577</v>
      </c>
      <c r="I458">
        <v>439951.42479999998</v>
      </c>
      <c r="J458">
        <v>1827725.8171000001</v>
      </c>
      <c r="K458">
        <v>439951.42479999998</v>
      </c>
      <c r="L458">
        <v>1827705.8171000001</v>
      </c>
      <c r="M458" t="s">
        <v>56</v>
      </c>
      <c r="N458" t="s">
        <v>57</v>
      </c>
      <c r="O458">
        <v>900</v>
      </c>
      <c r="P458" t="s">
        <v>109</v>
      </c>
      <c r="Q458" t="s">
        <v>3919</v>
      </c>
      <c r="R458" t="s">
        <v>1510</v>
      </c>
      <c r="S458" t="s">
        <v>1479</v>
      </c>
      <c r="T458" t="s">
        <v>1483</v>
      </c>
      <c r="U458">
        <v>-2.5000000000000001E-2</v>
      </c>
      <c r="V458">
        <v>-2.5000000000000001E-2</v>
      </c>
      <c r="W458" t="s">
        <v>52</v>
      </c>
      <c r="X458">
        <v>0.85219999999999996</v>
      </c>
      <c r="Y458">
        <v>0.86599999999999999</v>
      </c>
      <c r="Z458">
        <v>0.86599999999999999</v>
      </c>
      <c r="AA458">
        <v>0.85219999999999996</v>
      </c>
      <c r="AB458">
        <v>20</v>
      </c>
      <c r="AC458">
        <v>20.0001</v>
      </c>
      <c r="AD458">
        <v>18.803599999999999</v>
      </c>
      <c r="AE458">
        <v>18.803699999999999</v>
      </c>
      <c r="AF458" t="s">
        <v>4011</v>
      </c>
      <c r="AG458" t="s">
        <v>4011</v>
      </c>
      <c r="AH458" t="s">
        <v>3894</v>
      </c>
      <c r="AI458" t="s">
        <v>3894</v>
      </c>
      <c r="AJ458" t="s">
        <v>3895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3896</v>
      </c>
      <c r="AT458" t="s">
        <v>3890</v>
      </c>
      <c r="AU458" t="s">
        <v>4012</v>
      </c>
      <c r="AV458" t="s">
        <v>3898</v>
      </c>
      <c r="AW458">
        <v>2</v>
      </c>
      <c r="AX458">
        <v>0</v>
      </c>
    </row>
    <row r="459" spans="1:50" x14ac:dyDescent="0.25">
      <c r="A459" t="s">
        <v>4412</v>
      </c>
      <c r="B459" t="s">
        <v>4010</v>
      </c>
      <c r="C459" t="s">
        <v>3890</v>
      </c>
      <c r="D459">
        <v>32.29</v>
      </c>
      <c r="E459">
        <v>32.229999999999997</v>
      </c>
      <c r="F459" s="2">
        <v>3.0000000000000001E-3</v>
      </c>
      <c r="G459" t="s">
        <v>1565</v>
      </c>
      <c r="H459" t="s">
        <v>1567</v>
      </c>
      <c r="I459">
        <v>439951.42479999998</v>
      </c>
      <c r="J459">
        <v>1827825.8171000001</v>
      </c>
      <c r="K459">
        <v>439951.42479999998</v>
      </c>
      <c r="L459">
        <v>1827805.8171000001</v>
      </c>
      <c r="M459" t="s">
        <v>56</v>
      </c>
      <c r="N459" t="s">
        <v>57</v>
      </c>
      <c r="O459">
        <v>900</v>
      </c>
      <c r="P459" t="s">
        <v>109</v>
      </c>
      <c r="Q459" t="s">
        <v>3919</v>
      </c>
      <c r="R459" t="s">
        <v>1510</v>
      </c>
      <c r="S459" t="s">
        <v>849</v>
      </c>
      <c r="T459" t="s">
        <v>865</v>
      </c>
      <c r="U459">
        <v>-2.5000000000000001E-2</v>
      </c>
      <c r="V459">
        <v>-2.5000000000000001E-2</v>
      </c>
      <c r="W459" t="s">
        <v>52</v>
      </c>
      <c r="X459">
        <v>0.85160000000000002</v>
      </c>
      <c r="Y459">
        <v>0.88739999999999997</v>
      </c>
      <c r="Z459">
        <v>0.88739999999999997</v>
      </c>
      <c r="AA459">
        <v>0.85160000000000002</v>
      </c>
      <c r="AB459">
        <v>20</v>
      </c>
      <c r="AC459">
        <v>20.0001</v>
      </c>
      <c r="AD459">
        <v>18.803599999999999</v>
      </c>
      <c r="AE459">
        <v>18.803699999999999</v>
      </c>
      <c r="AF459" t="s">
        <v>4011</v>
      </c>
      <c r="AG459" t="s">
        <v>4011</v>
      </c>
      <c r="AH459" t="s">
        <v>3894</v>
      </c>
      <c r="AI459" t="s">
        <v>3894</v>
      </c>
      <c r="AJ459" t="s">
        <v>3895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3896</v>
      </c>
      <c r="AT459" t="s">
        <v>3890</v>
      </c>
      <c r="AU459" t="s">
        <v>4012</v>
      </c>
      <c r="AV459" t="s">
        <v>3898</v>
      </c>
      <c r="AW459">
        <v>2</v>
      </c>
      <c r="AX459">
        <v>0</v>
      </c>
    </row>
    <row r="460" spans="1:50" x14ac:dyDescent="0.25">
      <c r="A460" t="s">
        <v>4413</v>
      </c>
      <c r="B460" t="s">
        <v>3963</v>
      </c>
      <c r="C460" t="s">
        <v>3890</v>
      </c>
      <c r="D460">
        <v>31.407</v>
      </c>
      <c r="E460">
        <v>31.347000000000001</v>
      </c>
      <c r="F460" s="2">
        <v>3.0000000000000001E-3</v>
      </c>
      <c r="G460" t="s">
        <v>1667</v>
      </c>
      <c r="H460" t="s">
        <v>1671</v>
      </c>
      <c r="I460">
        <v>440044.1495</v>
      </c>
      <c r="J460">
        <v>1827621.0604999999</v>
      </c>
      <c r="K460">
        <v>440044.1495</v>
      </c>
      <c r="L460">
        <v>1827601.0604999999</v>
      </c>
      <c r="M460" t="s">
        <v>56</v>
      </c>
      <c r="N460" t="s">
        <v>57</v>
      </c>
      <c r="O460">
        <v>600</v>
      </c>
      <c r="P460" t="s">
        <v>3891</v>
      </c>
      <c r="Q460" t="s">
        <v>3892</v>
      </c>
      <c r="R460" t="s">
        <v>390</v>
      </c>
      <c r="S460" t="s">
        <v>1669</v>
      </c>
      <c r="T460" t="s">
        <v>1673</v>
      </c>
      <c r="U460">
        <v>7.4999999999999997E-2</v>
      </c>
      <c r="V460">
        <v>7.4999999999999997E-2</v>
      </c>
      <c r="W460" t="s">
        <v>52</v>
      </c>
      <c r="X460">
        <v>0.89170000000000005</v>
      </c>
      <c r="Y460">
        <v>0.94</v>
      </c>
      <c r="Z460">
        <v>0.94</v>
      </c>
      <c r="AA460">
        <v>0.89170000000000005</v>
      </c>
      <c r="AB460">
        <v>20</v>
      </c>
      <c r="AC460">
        <v>20.0001</v>
      </c>
      <c r="AD460">
        <v>18.802499999999998</v>
      </c>
      <c r="AE460">
        <v>18.802600000000002</v>
      </c>
      <c r="AF460" t="s">
        <v>2233</v>
      </c>
      <c r="AG460" t="s">
        <v>2233</v>
      </c>
      <c r="AH460" t="s">
        <v>3894</v>
      </c>
      <c r="AI460" t="s">
        <v>3894</v>
      </c>
      <c r="AJ460" t="s">
        <v>3895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3896</v>
      </c>
      <c r="AT460" t="s">
        <v>3890</v>
      </c>
      <c r="AU460" t="s">
        <v>3964</v>
      </c>
      <c r="AV460" t="s">
        <v>3898</v>
      </c>
      <c r="AW460">
        <v>2</v>
      </c>
      <c r="AX460">
        <v>0</v>
      </c>
    </row>
    <row r="461" spans="1:50" x14ac:dyDescent="0.25">
      <c r="A461" t="s">
        <v>4414</v>
      </c>
      <c r="B461" t="s">
        <v>3963</v>
      </c>
      <c r="C461" t="s">
        <v>3890</v>
      </c>
      <c r="D461">
        <v>31.881</v>
      </c>
      <c r="E461">
        <v>31.821999999999999</v>
      </c>
      <c r="F461" s="2">
        <v>2.8999999999999998E-3</v>
      </c>
      <c r="G461" t="s">
        <v>2002</v>
      </c>
      <c r="H461" t="s">
        <v>2005</v>
      </c>
      <c r="I461">
        <v>440132.69949999999</v>
      </c>
      <c r="J461">
        <v>1827942.8171999999</v>
      </c>
      <c r="K461">
        <v>440132.69949999999</v>
      </c>
      <c r="L461">
        <v>1827922.8171999999</v>
      </c>
      <c r="M461" t="s">
        <v>56</v>
      </c>
      <c r="N461" t="s">
        <v>57</v>
      </c>
      <c r="O461">
        <v>600</v>
      </c>
      <c r="P461" t="s">
        <v>3891</v>
      </c>
      <c r="Q461" t="s">
        <v>3892</v>
      </c>
      <c r="R461" t="s">
        <v>1968</v>
      </c>
      <c r="S461" t="s">
        <v>1444</v>
      </c>
      <c r="T461" t="s">
        <v>1057</v>
      </c>
      <c r="U461">
        <v>-2.1000000000000001E-2</v>
      </c>
      <c r="V461">
        <v>-3.0099999999999998E-2</v>
      </c>
      <c r="W461" t="s">
        <v>52</v>
      </c>
      <c r="X461">
        <v>0.88</v>
      </c>
      <c r="Y461">
        <v>0.92320000000000002</v>
      </c>
      <c r="Z461">
        <v>0.92320000000000002</v>
      </c>
      <c r="AA461">
        <v>0.88</v>
      </c>
      <c r="AB461">
        <v>20</v>
      </c>
      <c r="AC461">
        <v>20.0001</v>
      </c>
      <c r="AD461">
        <v>18.802499999999998</v>
      </c>
      <c r="AE461">
        <v>18.802600000000002</v>
      </c>
      <c r="AF461" t="s">
        <v>2233</v>
      </c>
      <c r="AG461" t="s">
        <v>2233</v>
      </c>
      <c r="AH461" t="s">
        <v>3894</v>
      </c>
      <c r="AI461" t="s">
        <v>3894</v>
      </c>
      <c r="AJ461" t="s">
        <v>3895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3896</v>
      </c>
      <c r="AT461" t="s">
        <v>3890</v>
      </c>
      <c r="AU461" t="s">
        <v>3964</v>
      </c>
      <c r="AV461" t="s">
        <v>3898</v>
      </c>
      <c r="AW461">
        <v>2</v>
      </c>
      <c r="AX461">
        <v>0</v>
      </c>
    </row>
    <row r="462" spans="1:50" x14ac:dyDescent="0.25">
      <c r="A462" t="s">
        <v>4415</v>
      </c>
      <c r="B462" t="s">
        <v>3889</v>
      </c>
      <c r="C462" t="s">
        <v>3890</v>
      </c>
      <c r="D462">
        <v>31.545000000000002</v>
      </c>
      <c r="E462">
        <v>31.484999999999999</v>
      </c>
      <c r="F462" s="2">
        <v>3.0000000000000001E-3</v>
      </c>
      <c r="G462" t="s">
        <v>652</v>
      </c>
      <c r="H462" t="s">
        <v>654</v>
      </c>
      <c r="I462">
        <v>440031.87520000001</v>
      </c>
      <c r="J462">
        <v>1827480.9838</v>
      </c>
      <c r="K462">
        <v>440031.87520000001</v>
      </c>
      <c r="L462">
        <v>1827500.9838</v>
      </c>
      <c r="M462" t="s">
        <v>56</v>
      </c>
      <c r="N462" t="s">
        <v>57</v>
      </c>
      <c r="O462">
        <v>450</v>
      </c>
      <c r="P462" t="s">
        <v>3891</v>
      </c>
      <c r="Q462" t="s">
        <v>3892</v>
      </c>
      <c r="R462" t="s">
        <v>645</v>
      </c>
      <c r="S462" s="1" t="s">
        <v>444</v>
      </c>
      <c r="T462" t="s">
        <v>448</v>
      </c>
      <c r="U462">
        <v>2.8500000000000001E-2</v>
      </c>
      <c r="V462">
        <v>2.8500000000000001E-2</v>
      </c>
      <c r="W462" t="s">
        <v>52</v>
      </c>
      <c r="X462">
        <v>0.88239999999999996</v>
      </c>
      <c r="Y462">
        <v>0.97360000000000002</v>
      </c>
      <c r="Z462">
        <v>0.97360000000000002</v>
      </c>
      <c r="AA462">
        <v>0.88239999999999996</v>
      </c>
      <c r="AB462">
        <v>20</v>
      </c>
      <c r="AC462">
        <v>20.0001</v>
      </c>
      <c r="AD462">
        <v>18.802099999999999</v>
      </c>
      <c r="AE462">
        <v>18.802199999999999</v>
      </c>
      <c r="AF462" t="s">
        <v>67</v>
      </c>
      <c r="AG462" t="s">
        <v>67</v>
      </c>
      <c r="AH462" t="s">
        <v>3894</v>
      </c>
      <c r="AI462" t="s">
        <v>3894</v>
      </c>
      <c r="AJ462" t="s">
        <v>3895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3896</v>
      </c>
      <c r="AT462" t="s">
        <v>3890</v>
      </c>
      <c r="AU462" t="s">
        <v>3897</v>
      </c>
      <c r="AV462" t="s">
        <v>3898</v>
      </c>
      <c r="AW462">
        <v>2</v>
      </c>
      <c r="AX462">
        <v>0</v>
      </c>
    </row>
    <row r="463" spans="1:50" x14ac:dyDescent="0.25">
      <c r="A463" t="s">
        <v>4416</v>
      </c>
      <c r="B463" t="s">
        <v>3924</v>
      </c>
      <c r="C463" t="s">
        <v>3890</v>
      </c>
      <c r="D463">
        <v>31.545000000000002</v>
      </c>
      <c r="E463">
        <v>31.484999999999999</v>
      </c>
      <c r="F463" s="2">
        <v>3.0000000000000001E-3</v>
      </c>
      <c r="G463" t="s">
        <v>602</v>
      </c>
      <c r="H463" t="s">
        <v>605</v>
      </c>
      <c r="I463">
        <v>440020.9252</v>
      </c>
      <c r="J463">
        <v>1827480.9838</v>
      </c>
      <c r="K463">
        <v>440020.9252</v>
      </c>
      <c r="L463">
        <v>1827500.9838</v>
      </c>
      <c r="M463" t="s">
        <v>56</v>
      </c>
      <c r="N463" t="s">
        <v>57</v>
      </c>
      <c r="O463">
        <v>750</v>
      </c>
      <c r="P463" t="s">
        <v>3891</v>
      </c>
      <c r="Q463" t="s">
        <v>3892</v>
      </c>
      <c r="R463" t="s">
        <v>596</v>
      </c>
      <c r="S463" t="s">
        <v>444</v>
      </c>
      <c r="T463" t="s">
        <v>448</v>
      </c>
      <c r="U463">
        <v>0</v>
      </c>
      <c r="V463">
        <v>0</v>
      </c>
      <c r="W463" t="s">
        <v>52</v>
      </c>
      <c r="X463">
        <v>0.87939999999999996</v>
      </c>
      <c r="Y463">
        <v>0.97060000000000002</v>
      </c>
      <c r="Z463">
        <v>0.97060000000000002</v>
      </c>
      <c r="AA463">
        <v>0.87939999999999996</v>
      </c>
      <c r="AB463">
        <v>20</v>
      </c>
      <c r="AC463">
        <v>20.0001</v>
      </c>
      <c r="AD463">
        <v>18.803000000000001</v>
      </c>
      <c r="AE463">
        <v>18.803100000000001</v>
      </c>
      <c r="AF463" t="s">
        <v>67</v>
      </c>
      <c r="AG463" t="s">
        <v>67</v>
      </c>
      <c r="AH463" t="s">
        <v>3894</v>
      </c>
      <c r="AI463" t="s">
        <v>3894</v>
      </c>
      <c r="AJ463" t="s">
        <v>3895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3896</v>
      </c>
      <c r="AT463" t="s">
        <v>3890</v>
      </c>
      <c r="AU463" t="s">
        <v>3926</v>
      </c>
      <c r="AV463" t="s">
        <v>3898</v>
      </c>
      <c r="AW463">
        <v>2</v>
      </c>
      <c r="AX463">
        <v>0</v>
      </c>
    </row>
    <row r="464" spans="1:50" x14ac:dyDescent="0.25">
      <c r="A464" t="s">
        <v>4417</v>
      </c>
      <c r="B464" t="s">
        <v>3963</v>
      </c>
      <c r="C464" t="s">
        <v>3890</v>
      </c>
      <c r="D464">
        <v>32.116999999999997</v>
      </c>
      <c r="E464">
        <v>32.057000000000002</v>
      </c>
      <c r="F464" s="2">
        <v>3.3E-3</v>
      </c>
      <c r="G464" t="s">
        <v>450</v>
      </c>
      <c r="H464" t="s">
        <v>314</v>
      </c>
      <c r="I464">
        <v>439938.8002</v>
      </c>
      <c r="J464">
        <v>1827499.4839000001</v>
      </c>
      <c r="K464">
        <v>439938.8002</v>
      </c>
      <c r="L464">
        <v>1827517.8998</v>
      </c>
      <c r="M464" t="s">
        <v>56</v>
      </c>
      <c r="N464" t="s">
        <v>57</v>
      </c>
      <c r="O464">
        <v>600</v>
      </c>
      <c r="P464" t="s">
        <v>3891</v>
      </c>
      <c r="Q464" t="s">
        <v>3892</v>
      </c>
      <c r="R464" t="s">
        <v>75</v>
      </c>
      <c r="S464" t="s">
        <v>452</v>
      </c>
      <c r="T464" t="s">
        <v>316</v>
      </c>
      <c r="U464">
        <v>-7.6300000000000007E-2</v>
      </c>
      <c r="V464">
        <v>-7.6300000000000007E-2</v>
      </c>
      <c r="W464" t="s">
        <v>52</v>
      </c>
      <c r="X464">
        <v>0.89470000000000005</v>
      </c>
      <c r="Y464">
        <v>0.99960000000000004</v>
      </c>
      <c r="Z464">
        <v>0.99960000000000004</v>
      </c>
      <c r="AA464">
        <v>0.89470000000000005</v>
      </c>
      <c r="AB464">
        <v>18.415900000000001</v>
      </c>
      <c r="AC464">
        <v>18.416</v>
      </c>
      <c r="AD464">
        <v>17.218699999999998</v>
      </c>
      <c r="AE464">
        <v>17.218800000000002</v>
      </c>
      <c r="AF464" t="s">
        <v>67</v>
      </c>
      <c r="AG464" t="s">
        <v>67</v>
      </c>
      <c r="AH464" t="s">
        <v>3894</v>
      </c>
      <c r="AI464" t="s">
        <v>3894</v>
      </c>
      <c r="AJ464" t="s">
        <v>3895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3896</v>
      </c>
      <c r="AT464" t="s">
        <v>3890</v>
      </c>
      <c r="AU464" t="s">
        <v>3964</v>
      </c>
      <c r="AV464" t="s">
        <v>3898</v>
      </c>
      <c r="AW464">
        <v>2</v>
      </c>
      <c r="AX464">
        <v>0</v>
      </c>
    </row>
    <row r="465" spans="1:50" x14ac:dyDescent="0.25">
      <c r="A465" t="s">
        <v>4418</v>
      </c>
      <c r="B465" t="s">
        <v>3924</v>
      </c>
      <c r="C465" t="s">
        <v>3890</v>
      </c>
      <c r="D465">
        <v>32.116999999999997</v>
      </c>
      <c r="E465">
        <v>32.057000000000002</v>
      </c>
      <c r="F465" s="2">
        <v>3.3E-3</v>
      </c>
      <c r="G465" t="s">
        <v>505</v>
      </c>
      <c r="H465" t="s">
        <v>511</v>
      </c>
      <c r="I465">
        <v>439929.32520000002</v>
      </c>
      <c r="J465">
        <v>1827499.4839000001</v>
      </c>
      <c r="K465">
        <v>439929.32520000002</v>
      </c>
      <c r="L465">
        <v>1827517.7452</v>
      </c>
      <c r="M465" t="s">
        <v>56</v>
      </c>
      <c r="N465" t="s">
        <v>57</v>
      </c>
      <c r="O465">
        <v>750</v>
      </c>
      <c r="P465" t="s">
        <v>3891</v>
      </c>
      <c r="Q465" t="s">
        <v>3892</v>
      </c>
      <c r="R465" t="s">
        <v>320</v>
      </c>
      <c r="S465" t="s">
        <v>452</v>
      </c>
      <c r="T465" t="s">
        <v>513</v>
      </c>
      <c r="U465">
        <v>-0.20480000000000001</v>
      </c>
      <c r="V465">
        <v>-0.20480000000000001</v>
      </c>
      <c r="W465" t="s">
        <v>52</v>
      </c>
      <c r="X465">
        <v>0.89459999999999995</v>
      </c>
      <c r="Y465">
        <v>0.99809999999999999</v>
      </c>
      <c r="Z465">
        <v>0.99809999999999999</v>
      </c>
      <c r="AA465">
        <v>0.89459999999999995</v>
      </c>
      <c r="AB465">
        <v>18.261399999999998</v>
      </c>
      <c r="AC465">
        <v>18.261500000000002</v>
      </c>
      <c r="AD465">
        <v>17.064699999999998</v>
      </c>
      <c r="AE465">
        <v>17.064800000000002</v>
      </c>
      <c r="AF465" t="s">
        <v>67</v>
      </c>
      <c r="AG465" t="s">
        <v>67</v>
      </c>
      <c r="AH465" t="s">
        <v>3894</v>
      </c>
      <c r="AI465" t="s">
        <v>3894</v>
      </c>
      <c r="AJ465" t="s">
        <v>3895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3896</v>
      </c>
      <c r="AT465" t="s">
        <v>3890</v>
      </c>
      <c r="AU465" t="s">
        <v>3926</v>
      </c>
      <c r="AV465" t="s">
        <v>3898</v>
      </c>
      <c r="AW465">
        <v>2</v>
      </c>
      <c r="AX465">
        <v>0</v>
      </c>
    </row>
    <row r="466" spans="1:50" x14ac:dyDescent="0.25">
      <c r="A466" t="s">
        <v>4419</v>
      </c>
      <c r="B466" t="s">
        <v>3889</v>
      </c>
      <c r="C466" t="s">
        <v>3890</v>
      </c>
      <c r="D466">
        <v>30.562999999999999</v>
      </c>
      <c r="E466">
        <v>30.503</v>
      </c>
      <c r="F466" s="2">
        <v>3.0000000000000001E-3</v>
      </c>
      <c r="G466" t="s">
        <v>748</v>
      </c>
      <c r="H466" t="s">
        <v>751</v>
      </c>
      <c r="I466">
        <v>440192.77490000002</v>
      </c>
      <c r="J466">
        <v>1827479.4838</v>
      </c>
      <c r="K466">
        <v>440192.77490000002</v>
      </c>
      <c r="L466">
        <v>1827499.4838</v>
      </c>
      <c r="M466" t="s">
        <v>56</v>
      </c>
      <c r="N466" t="s">
        <v>57</v>
      </c>
      <c r="O466">
        <v>450</v>
      </c>
      <c r="P466" t="s">
        <v>3891</v>
      </c>
      <c r="Q466" t="s">
        <v>3892</v>
      </c>
      <c r="R466" t="s">
        <v>298</v>
      </c>
      <c r="S466" t="s">
        <v>448</v>
      </c>
      <c r="T466" s="1" t="s">
        <v>452</v>
      </c>
      <c r="U466">
        <v>-0.15</v>
      </c>
      <c r="V466">
        <v>-0.15</v>
      </c>
      <c r="W466" t="s">
        <v>52</v>
      </c>
      <c r="X466">
        <v>0.88190000000000002</v>
      </c>
      <c r="Y466">
        <v>0.95789999999999997</v>
      </c>
      <c r="Z466">
        <v>0.95789999999999997</v>
      </c>
      <c r="AA466">
        <v>0.88190000000000002</v>
      </c>
      <c r="AB466">
        <v>20</v>
      </c>
      <c r="AC466">
        <v>20.0001</v>
      </c>
      <c r="AD466">
        <v>18.802099999999999</v>
      </c>
      <c r="AE466">
        <v>18.802199999999999</v>
      </c>
      <c r="AF466" t="s">
        <v>67</v>
      </c>
      <c r="AG466" t="s">
        <v>67</v>
      </c>
      <c r="AH466" t="s">
        <v>3894</v>
      </c>
      <c r="AI466" t="s">
        <v>3894</v>
      </c>
      <c r="AJ466" t="s">
        <v>3895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3896</v>
      </c>
      <c r="AT466" t="s">
        <v>3890</v>
      </c>
      <c r="AU466" t="s">
        <v>3897</v>
      </c>
      <c r="AV466" t="s">
        <v>3898</v>
      </c>
      <c r="AW466">
        <v>2</v>
      </c>
      <c r="AX466">
        <v>0</v>
      </c>
    </row>
    <row r="467" spans="1:50" x14ac:dyDescent="0.25">
      <c r="A467" t="s">
        <v>4420</v>
      </c>
      <c r="B467" t="s">
        <v>3889</v>
      </c>
      <c r="C467" t="s">
        <v>3890</v>
      </c>
      <c r="D467">
        <v>30.562999999999999</v>
      </c>
      <c r="E467">
        <v>30.503</v>
      </c>
      <c r="F467" s="2">
        <v>3.0000000000000001E-3</v>
      </c>
      <c r="G467" t="s">
        <v>760</v>
      </c>
      <c r="H467" t="s">
        <v>762</v>
      </c>
      <c r="I467">
        <v>440183.07490000001</v>
      </c>
      <c r="J467">
        <v>1827479.4838</v>
      </c>
      <c r="K467">
        <v>440183.07490000001</v>
      </c>
      <c r="L467">
        <v>1827499.4838</v>
      </c>
      <c r="M467" t="s">
        <v>56</v>
      </c>
      <c r="N467" t="s">
        <v>57</v>
      </c>
      <c r="O467">
        <v>450</v>
      </c>
      <c r="P467" t="s">
        <v>3891</v>
      </c>
      <c r="Q467" t="s">
        <v>3892</v>
      </c>
      <c r="R467" t="s">
        <v>293</v>
      </c>
      <c r="S467" t="s">
        <v>448</v>
      </c>
      <c r="T467" t="s">
        <v>452</v>
      </c>
      <c r="U467">
        <v>-4.53E-2</v>
      </c>
      <c r="V467">
        <v>-4.53E-2</v>
      </c>
      <c r="W467" t="s">
        <v>52</v>
      </c>
      <c r="X467">
        <v>0.88190000000000002</v>
      </c>
      <c r="Y467">
        <v>0.95789999999999997</v>
      </c>
      <c r="Z467">
        <v>0.95789999999999997</v>
      </c>
      <c r="AA467">
        <v>0.88190000000000002</v>
      </c>
      <c r="AB467">
        <v>20</v>
      </c>
      <c r="AC467">
        <v>20.0001</v>
      </c>
      <c r="AD467">
        <v>18.802099999999999</v>
      </c>
      <c r="AE467">
        <v>18.802199999999999</v>
      </c>
      <c r="AF467" t="s">
        <v>67</v>
      </c>
      <c r="AG467" t="s">
        <v>67</v>
      </c>
      <c r="AH467" t="s">
        <v>3894</v>
      </c>
      <c r="AI467" t="s">
        <v>3894</v>
      </c>
      <c r="AJ467" t="s">
        <v>3895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3896</v>
      </c>
      <c r="AT467" t="s">
        <v>3890</v>
      </c>
      <c r="AU467" t="s">
        <v>3897</v>
      </c>
      <c r="AV467" t="s">
        <v>3898</v>
      </c>
      <c r="AW467">
        <v>2</v>
      </c>
      <c r="AX467">
        <v>0</v>
      </c>
    </row>
    <row r="468" spans="1:50" x14ac:dyDescent="0.25">
      <c r="A468" t="s">
        <v>4421</v>
      </c>
      <c r="B468" t="s">
        <v>3889</v>
      </c>
      <c r="C468" t="s">
        <v>3890</v>
      </c>
      <c r="D468">
        <v>30.404</v>
      </c>
      <c r="E468">
        <v>30.344000000000001</v>
      </c>
      <c r="F468" s="2">
        <v>3.0000000000000001E-3</v>
      </c>
      <c r="G468" t="s">
        <v>800</v>
      </c>
      <c r="H468" t="s">
        <v>807</v>
      </c>
      <c r="I468">
        <v>440258.3749</v>
      </c>
      <c r="J468">
        <v>1827479.4838</v>
      </c>
      <c r="K468">
        <v>440258.3749</v>
      </c>
      <c r="L468">
        <v>1827499.4838</v>
      </c>
      <c r="M468" t="s">
        <v>56</v>
      </c>
      <c r="N468" t="s">
        <v>57</v>
      </c>
      <c r="O468">
        <v>450</v>
      </c>
      <c r="P468" t="s">
        <v>3891</v>
      </c>
      <c r="Q468" t="s">
        <v>3892</v>
      </c>
      <c r="R468" t="s">
        <v>367</v>
      </c>
      <c r="S468" t="s">
        <v>448</v>
      </c>
      <c r="T468" t="s">
        <v>452</v>
      </c>
      <c r="U468">
        <v>-0.17499999999999999</v>
      </c>
      <c r="V468">
        <v>-0.17499999999999999</v>
      </c>
      <c r="W468" t="s">
        <v>52</v>
      </c>
      <c r="X468">
        <v>0.8821</v>
      </c>
      <c r="Y468">
        <v>0.89280000000000004</v>
      </c>
      <c r="Z468">
        <v>0.89280000000000004</v>
      </c>
      <c r="AA468">
        <v>0.8821</v>
      </c>
      <c r="AB468">
        <v>20</v>
      </c>
      <c r="AC468">
        <v>20.0001</v>
      </c>
      <c r="AD468">
        <v>18.802099999999999</v>
      </c>
      <c r="AE468">
        <v>18.802199999999999</v>
      </c>
      <c r="AF468" t="s">
        <v>67</v>
      </c>
      <c r="AG468" t="s">
        <v>67</v>
      </c>
      <c r="AH468" t="s">
        <v>3894</v>
      </c>
      <c r="AI468" t="s">
        <v>3894</v>
      </c>
      <c r="AJ468" t="s">
        <v>3895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3896</v>
      </c>
      <c r="AT468" t="s">
        <v>3890</v>
      </c>
      <c r="AU468" t="s">
        <v>3897</v>
      </c>
      <c r="AV468" t="s">
        <v>3898</v>
      </c>
      <c r="AW468">
        <v>2</v>
      </c>
      <c r="AX468">
        <v>0</v>
      </c>
    </row>
    <row r="469" spans="1:50" x14ac:dyDescent="0.25">
      <c r="A469" t="s">
        <v>4422</v>
      </c>
      <c r="B469" t="s">
        <v>3889</v>
      </c>
      <c r="C469" t="s">
        <v>3890</v>
      </c>
      <c r="D469">
        <v>31.122</v>
      </c>
      <c r="E469">
        <v>31.06</v>
      </c>
      <c r="F469" s="2">
        <v>3.0000000000000001E-3</v>
      </c>
      <c r="G469" t="s">
        <v>3355</v>
      </c>
      <c r="H469" t="s">
        <v>3359</v>
      </c>
      <c r="I469">
        <v>440248.67489999998</v>
      </c>
      <c r="J469">
        <v>1827295.1909</v>
      </c>
      <c r="K469">
        <v>440248.67489999998</v>
      </c>
      <c r="L469">
        <v>1827315.9166000001</v>
      </c>
      <c r="M469" t="s">
        <v>56</v>
      </c>
      <c r="N469" t="s">
        <v>57</v>
      </c>
      <c r="O469">
        <v>450</v>
      </c>
      <c r="P469" t="s">
        <v>3891</v>
      </c>
      <c r="Q469" t="s">
        <v>3892</v>
      </c>
      <c r="R469" t="s">
        <v>3352</v>
      </c>
      <c r="S469" t="s">
        <v>3357</v>
      </c>
      <c r="T469" t="s">
        <v>3361</v>
      </c>
      <c r="U469">
        <v>-0.17960000000000001</v>
      </c>
      <c r="V469">
        <v>-0.17960000000000001</v>
      </c>
      <c r="W469" t="s">
        <v>52</v>
      </c>
      <c r="X469">
        <v>0.90369999999999995</v>
      </c>
      <c r="Y469">
        <v>0.93610000000000004</v>
      </c>
      <c r="Z469">
        <v>0.93610000000000004</v>
      </c>
      <c r="AA469">
        <v>0.90369999999999995</v>
      </c>
      <c r="AB469">
        <v>20.7257</v>
      </c>
      <c r="AC469">
        <v>20.7258</v>
      </c>
      <c r="AD469">
        <v>19.527799999999999</v>
      </c>
      <c r="AE469">
        <v>19.527899999999999</v>
      </c>
      <c r="AF469" t="s">
        <v>67</v>
      </c>
      <c r="AG469" t="s">
        <v>67</v>
      </c>
      <c r="AH469" t="s">
        <v>3894</v>
      </c>
      <c r="AI469" t="s">
        <v>3894</v>
      </c>
      <c r="AJ469" t="s">
        <v>3895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3896</v>
      </c>
      <c r="AT469" t="s">
        <v>3890</v>
      </c>
      <c r="AU469" t="s">
        <v>3897</v>
      </c>
      <c r="AV469" t="s">
        <v>3898</v>
      </c>
      <c r="AW469">
        <v>2</v>
      </c>
      <c r="AX469">
        <v>0</v>
      </c>
    </row>
    <row r="470" spans="1:50" x14ac:dyDescent="0.25">
      <c r="A470" t="s">
        <v>4423</v>
      </c>
      <c r="B470" t="s">
        <v>3889</v>
      </c>
      <c r="C470" t="s">
        <v>3890</v>
      </c>
      <c r="D470">
        <v>31.994</v>
      </c>
      <c r="E470">
        <v>31.962</v>
      </c>
      <c r="F470" s="2">
        <v>3.0999999999999999E-3</v>
      </c>
      <c r="G470" t="s">
        <v>573</v>
      </c>
      <c r="H470" t="s">
        <v>577</v>
      </c>
      <c r="I470">
        <v>440010.42509999999</v>
      </c>
      <c r="J470">
        <v>1827415.4986</v>
      </c>
      <c r="K470">
        <v>440020.77519999997</v>
      </c>
      <c r="L470">
        <v>1827415.4986</v>
      </c>
      <c r="M470" t="s">
        <v>56</v>
      </c>
      <c r="N470" t="s">
        <v>57</v>
      </c>
      <c r="O470">
        <v>450</v>
      </c>
      <c r="P470" t="s">
        <v>3891</v>
      </c>
      <c r="Q470" t="s">
        <v>3892</v>
      </c>
      <c r="R470" t="s">
        <v>85</v>
      </c>
      <c r="S470" t="s">
        <v>575</v>
      </c>
      <c r="T470" t="s">
        <v>4424</v>
      </c>
      <c r="U470">
        <v>-0.1389</v>
      </c>
      <c r="V470">
        <v>-0.13769999999999999</v>
      </c>
      <c r="W470" t="s">
        <v>52</v>
      </c>
      <c r="X470">
        <v>0.86260000000000003</v>
      </c>
      <c r="Y470">
        <v>1.0626</v>
      </c>
      <c r="Z470">
        <v>1.0626</v>
      </c>
      <c r="AA470">
        <v>0.87060000000000004</v>
      </c>
      <c r="AB470">
        <v>10.5007</v>
      </c>
      <c r="AC470">
        <v>10.5008</v>
      </c>
      <c r="AD470">
        <v>9.6021999999999998</v>
      </c>
      <c r="AE470">
        <v>9.6022999999999996</v>
      </c>
      <c r="AF470" t="s">
        <v>183</v>
      </c>
      <c r="AG470" t="s">
        <v>183</v>
      </c>
      <c r="AH470" t="s">
        <v>3894</v>
      </c>
      <c r="AI470" t="s">
        <v>3894</v>
      </c>
      <c r="AJ470" t="s">
        <v>3895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3896</v>
      </c>
      <c r="AT470" t="s">
        <v>3890</v>
      </c>
      <c r="AU470" t="s">
        <v>3897</v>
      </c>
      <c r="AV470" t="s">
        <v>3898</v>
      </c>
      <c r="AW470">
        <v>2</v>
      </c>
      <c r="AX470">
        <v>0</v>
      </c>
    </row>
    <row r="471" spans="1:50" x14ac:dyDescent="0.25">
      <c r="A471" t="s">
        <v>4425</v>
      </c>
      <c r="B471" t="s">
        <v>3889</v>
      </c>
      <c r="C471" t="s">
        <v>3890</v>
      </c>
      <c r="D471">
        <v>31.917000000000002</v>
      </c>
      <c r="E471">
        <v>31.885000000000002</v>
      </c>
      <c r="F471" s="2">
        <v>3.0000000000000001E-3</v>
      </c>
      <c r="G471" t="s">
        <v>587</v>
      </c>
      <c r="H471" t="s">
        <v>590</v>
      </c>
      <c r="I471">
        <v>440010.42509999999</v>
      </c>
      <c r="J471">
        <v>1827425.1986</v>
      </c>
      <c r="K471">
        <v>440020.9252</v>
      </c>
      <c r="L471">
        <v>1827425.1986</v>
      </c>
      <c r="M471" t="s">
        <v>56</v>
      </c>
      <c r="N471" t="s">
        <v>57</v>
      </c>
      <c r="O471">
        <v>450</v>
      </c>
      <c r="P471" t="s">
        <v>3891</v>
      </c>
      <c r="Q471" t="s">
        <v>3892</v>
      </c>
      <c r="R471" t="s">
        <v>80</v>
      </c>
      <c r="S471" t="s">
        <v>575</v>
      </c>
      <c r="T471" t="s">
        <v>579</v>
      </c>
      <c r="U471">
        <v>0.11650000000000001</v>
      </c>
      <c r="V471">
        <v>0.113</v>
      </c>
      <c r="W471" t="s">
        <v>52</v>
      </c>
      <c r="X471">
        <v>0.83389999999999997</v>
      </c>
      <c r="Y471">
        <v>1.1395999999999999</v>
      </c>
      <c r="Z471">
        <v>1.1395999999999999</v>
      </c>
      <c r="AA471">
        <v>0.86519999999999997</v>
      </c>
      <c r="AB471">
        <v>10.575699999999999</v>
      </c>
      <c r="AC471">
        <v>10.575799999999999</v>
      </c>
      <c r="AD471">
        <v>9.6021999999999998</v>
      </c>
      <c r="AE471">
        <v>9.6021999999999998</v>
      </c>
      <c r="AF471" t="s">
        <v>2299</v>
      </c>
      <c r="AG471" t="s">
        <v>2299</v>
      </c>
      <c r="AH471" t="s">
        <v>3894</v>
      </c>
      <c r="AI471" t="s">
        <v>3894</v>
      </c>
      <c r="AJ471" t="s">
        <v>3895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3896</v>
      </c>
      <c r="AT471" t="s">
        <v>3890</v>
      </c>
      <c r="AU471" t="s">
        <v>3897</v>
      </c>
      <c r="AV471" t="s">
        <v>3898</v>
      </c>
      <c r="AW471">
        <v>2</v>
      </c>
      <c r="AX471">
        <v>0</v>
      </c>
    </row>
    <row r="472" spans="1:50" x14ac:dyDescent="0.25">
      <c r="A472" t="s">
        <v>4426</v>
      </c>
      <c r="B472" t="s">
        <v>3889</v>
      </c>
      <c r="C472" t="s">
        <v>3890</v>
      </c>
      <c r="D472">
        <v>29.161999999999999</v>
      </c>
      <c r="E472">
        <v>29.135000000000002</v>
      </c>
      <c r="F472" s="2">
        <v>2.8E-3</v>
      </c>
      <c r="G472" t="s">
        <v>3540</v>
      </c>
      <c r="H472" t="s">
        <v>3544</v>
      </c>
      <c r="I472">
        <v>440454.3751</v>
      </c>
      <c r="J472">
        <v>1827415.4986</v>
      </c>
      <c r="K472">
        <v>440454.3751</v>
      </c>
      <c r="L472">
        <v>1827425.1986</v>
      </c>
      <c r="M472" t="s">
        <v>56</v>
      </c>
      <c r="N472" t="s">
        <v>57</v>
      </c>
      <c r="O472">
        <v>450</v>
      </c>
      <c r="P472" t="s">
        <v>3891</v>
      </c>
      <c r="Q472" t="s">
        <v>3892</v>
      </c>
      <c r="R472" t="s">
        <v>3549</v>
      </c>
      <c r="S472" t="s">
        <v>4056</v>
      </c>
      <c r="T472" t="s">
        <v>4057</v>
      </c>
      <c r="U472">
        <v>0.15</v>
      </c>
      <c r="V472">
        <v>0.15</v>
      </c>
      <c r="W472" t="s">
        <v>52</v>
      </c>
      <c r="X472">
        <v>0.86360000000000003</v>
      </c>
      <c r="Y472">
        <v>1.0645</v>
      </c>
      <c r="Z472">
        <v>1.0645</v>
      </c>
      <c r="AA472">
        <v>0.86470000000000002</v>
      </c>
      <c r="AB472">
        <v>9.0150000000000006</v>
      </c>
      <c r="AC472">
        <v>9.0150000000000006</v>
      </c>
      <c r="AD472">
        <v>7.8169000000000004</v>
      </c>
      <c r="AE472">
        <v>7.8170000000000002</v>
      </c>
      <c r="AF472" t="s">
        <v>67</v>
      </c>
      <c r="AG472" t="s">
        <v>67</v>
      </c>
      <c r="AH472" t="s">
        <v>3894</v>
      </c>
      <c r="AI472" t="s">
        <v>3894</v>
      </c>
      <c r="AJ472" t="s">
        <v>3895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3896</v>
      </c>
      <c r="AT472" t="s">
        <v>3890</v>
      </c>
      <c r="AU472" t="s">
        <v>3897</v>
      </c>
      <c r="AV472" t="s">
        <v>3898</v>
      </c>
      <c r="AW472">
        <v>2</v>
      </c>
      <c r="AX472">
        <v>0</v>
      </c>
    </row>
    <row r="473" spans="1:50" x14ac:dyDescent="0.25">
      <c r="A473" t="s">
        <v>4427</v>
      </c>
      <c r="B473" t="s">
        <v>3947</v>
      </c>
      <c r="C473" t="s">
        <v>3890</v>
      </c>
      <c r="D473">
        <v>26.658000000000001</v>
      </c>
      <c r="E473">
        <v>26.64</v>
      </c>
      <c r="F473" s="2">
        <v>1.1999999999999999E-3</v>
      </c>
      <c r="G473" t="s">
        <v>3634</v>
      </c>
      <c r="H473" t="s">
        <v>3678</v>
      </c>
      <c r="I473">
        <v>440570.14370000002</v>
      </c>
      <c r="J473">
        <v>1827531.7837</v>
      </c>
      <c r="K473">
        <v>440585.57510000002</v>
      </c>
      <c r="L473">
        <v>1827531.7849000001</v>
      </c>
      <c r="M473" t="s">
        <v>56</v>
      </c>
      <c r="N473" t="s">
        <v>57</v>
      </c>
      <c r="O473">
        <v>1050</v>
      </c>
      <c r="P473" t="s">
        <v>3918</v>
      </c>
      <c r="Q473" t="s">
        <v>3930</v>
      </c>
      <c r="R473" t="s">
        <v>141</v>
      </c>
      <c r="S473" t="s">
        <v>3636</v>
      </c>
      <c r="T473" t="s">
        <v>3680</v>
      </c>
      <c r="U473">
        <v>0.23330000000000001</v>
      </c>
      <c r="V473">
        <v>0.23449999999999999</v>
      </c>
      <c r="W473" t="s">
        <v>52</v>
      </c>
      <c r="X473">
        <v>1.339</v>
      </c>
      <c r="Y473">
        <v>1.5336000000000001</v>
      </c>
      <c r="Z473">
        <v>1.5141</v>
      </c>
      <c r="AA473">
        <v>1.3555999999999999</v>
      </c>
      <c r="AB473">
        <v>15.4314</v>
      </c>
      <c r="AC473">
        <v>15.4314</v>
      </c>
      <c r="AD473">
        <v>14.233000000000001</v>
      </c>
      <c r="AE473">
        <v>14.233000000000001</v>
      </c>
      <c r="AF473" t="s">
        <v>4428</v>
      </c>
      <c r="AG473" t="s">
        <v>4428</v>
      </c>
      <c r="AH473" t="s">
        <v>3894</v>
      </c>
      <c r="AI473" t="s">
        <v>3894</v>
      </c>
      <c r="AJ473" t="s">
        <v>3895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3896</v>
      </c>
      <c r="AT473" t="s">
        <v>3890</v>
      </c>
      <c r="AU473" t="s">
        <v>3950</v>
      </c>
      <c r="AV473" t="s">
        <v>3898</v>
      </c>
      <c r="AW473">
        <v>2</v>
      </c>
      <c r="AX473">
        <v>0</v>
      </c>
    </row>
    <row r="474" spans="1:50" x14ac:dyDescent="0.25">
      <c r="A474" t="s">
        <v>4429</v>
      </c>
      <c r="B474" t="s">
        <v>4010</v>
      </c>
      <c r="C474" t="s">
        <v>3890</v>
      </c>
      <c r="D474">
        <v>27.975999999999999</v>
      </c>
      <c r="E474">
        <v>27.957000000000001</v>
      </c>
      <c r="F474" s="2">
        <v>1E-3</v>
      </c>
      <c r="G474" t="s">
        <v>3203</v>
      </c>
      <c r="H474" t="s">
        <v>3207</v>
      </c>
      <c r="I474">
        <v>440548.08069999999</v>
      </c>
      <c r="J474">
        <v>1827375.1486</v>
      </c>
      <c r="K474">
        <v>440567.77140000003</v>
      </c>
      <c r="L474">
        <v>1827375.1486</v>
      </c>
      <c r="M474" t="s">
        <v>56</v>
      </c>
      <c r="N474" t="s">
        <v>57</v>
      </c>
      <c r="O474">
        <v>900</v>
      </c>
      <c r="P474" t="s">
        <v>109</v>
      </c>
      <c r="Q474" t="s">
        <v>3919</v>
      </c>
      <c r="R474" t="s">
        <v>3089</v>
      </c>
      <c r="S474" t="s">
        <v>3205</v>
      </c>
      <c r="T474" t="s">
        <v>3209</v>
      </c>
      <c r="U474">
        <v>-2.5000000000000001E-2</v>
      </c>
      <c r="V474">
        <v>-2.5000000000000001E-2</v>
      </c>
      <c r="W474" t="s">
        <v>52</v>
      </c>
      <c r="X474">
        <v>1.4729000000000001</v>
      </c>
      <c r="Y474">
        <v>1.5738000000000001</v>
      </c>
      <c r="Z474">
        <v>1.5738000000000001</v>
      </c>
      <c r="AA474">
        <v>1.4729000000000001</v>
      </c>
      <c r="AB474">
        <v>19.6907</v>
      </c>
      <c r="AC474">
        <v>19.6907</v>
      </c>
      <c r="AD474">
        <v>18.491800000000001</v>
      </c>
      <c r="AE474">
        <v>18.491800000000001</v>
      </c>
      <c r="AF474" t="s">
        <v>183</v>
      </c>
      <c r="AG474" t="s">
        <v>183</v>
      </c>
      <c r="AH474" t="s">
        <v>3894</v>
      </c>
      <c r="AI474" t="s">
        <v>3894</v>
      </c>
      <c r="AJ474" t="s">
        <v>3895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3896</v>
      </c>
      <c r="AT474" t="s">
        <v>3890</v>
      </c>
      <c r="AU474" t="s">
        <v>4012</v>
      </c>
      <c r="AV474" t="s">
        <v>3898</v>
      </c>
      <c r="AW474">
        <v>2</v>
      </c>
      <c r="AX474">
        <v>0</v>
      </c>
    </row>
    <row r="475" spans="1:50" x14ac:dyDescent="0.25">
      <c r="A475" t="s">
        <v>4430</v>
      </c>
      <c r="B475" t="s">
        <v>3889</v>
      </c>
      <c r="C475" t="s">
        <v>3890</v>
      </c>
      <c r="D475">
        <v>32.18</v>
      </c>
      <c r="E475">
        <v>32.122</v>
      </c>
      <c r="F475" s="2">
        <v>3.0000000000000001E-3</v>
      </c>
      <c r="G475" t="s">
        <v>3280</v>
      </c>
      <c r="H475" t="s">
        <v>3284</v>
      </c>
      <c r="I475">
        <v>440127.17489999998</v>
      </c>
      <c r="J475">
        <v>1827288.5919000001</v>
      </c>
      <c r="K475">
        <v>440127.17489999998</v>
      </c>
      <c r="L475">
        <v>1827307.8488</v>
      </c>
      <c r="M475" t="s">
        <v>56</v>
      </c>
      <c r="N475" t="s">
        <v>57</v>
      </c>
      <c r="O475">
        <v>450</v>
      </c>
      <c r="P475" t="s">
        <v>3891</v>
      </c>
      <c r="Q475" t="s">
        <v>3892</v>
      </c>
      <c r="R475" t="s">
        <v>3278</v>
      </c>
      <c r="S475" t="s">
        <v>3282</v>
      </c>
      <c r="T475" s="1" t="s">
        <v>3229</v>
      </c>
      <c r="U475">
        <v>-6.9999999999999999E-4</v>
      </c>
      <c r="V475">
        <v>-6.9999999999999999E-4</v>
      </c>
      <c r="W475" t="s">
        <v>52</v>
      </c>
      <c r="X475">
        <v>0.88200000000000001</v>
      </c>
      <c r="Y475">
        <v>1.0315000000000001</v>
      </c>
      <c r="Z475">
        <v>1.0315000000000001</v>
      </c>
      <c r="AA475">
        <v>0.88200000000000001</v>
      </c>
      <c r="AB475">
        <v>19.256900000000002</v>
      </c>
      <c r="AC475">
        <v>19.257000000000001</v>
      </c>
      <c r="AD475">
        <v>18.059000000000001</v>
      </c>
      <c r="AE475">
        <v>18.059100000000001</v>
      </c>
      <c r="AF475" t="s">
        <v>67</v>
      </c>
      <c r="AG475" t="s">
        <v>67</v>
      </c>
      <c r="AH475" t="s">
        <v>3894</v>
      </c>
      <c r="AI475" t="s">
        <v>3894</v>
      </c>
      <c r="AJ475" t="s">
        <v>3895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3896</v>
      </c>
      <c r="AT475" t="s">
        <v>3890</v>
      </c>
      <c r="AU475" t="s">
        <v>3897</v>
      </c>
      <c r="AV475" t="s">
        <v>3898</v>
      </c>
      <c r="AW475">
        <v>2</v>
      </c>
      <c r="AX475">
        <v>0</v>
      </c>
    </row>
    <row r="476" spans="1:50" x14ac:dyDescent="0.25">
      <c r="A476" t="s">
        <v>4431</v>
      </c>
      <c r="B476" t="s">
        <v>3947</v>
      </c>
      <c r="C476" t="s">
        <v>3890</v>
      </c>
      <c r="D476">
        <v>28.048999999999999</v>
      </c>
      <c r="E476">
        <v>28.027000000000001</v>
      </c>
      <c r="F476" s="2">
        <v>1E-3</v>
      </c>
      <c r="G476" t="s">
        <v>3509</v>
      </c>
      <c r="H476" t="s">
        <v>3513</v>
      </c>
      <c r="I476">
        <v>440420.81079999998</v>
      </c>
      <c r="J476">
        <v>1827531.7847</v>
      </c>
      <c r="K476">
        <v>440442.48080000002</v>
      </c>
      <c r="L476">
        <v>1827531.7830000001</v>
      </c>
      <c r="M476" t="s">
        <v>56</v>
      </c>
      <c r="N476" t="s">
        <v>57</v>
      </c>
      <c r="O476">
        <v>1050</v>
      </c>
      <c r="P476" t="s">
        <v>3918</v>
      </c>
      <c r="Q476" t="s">
        <v>3930</v>
      </c>
      <c r="R476" t="s">
        <v>141</v>
      </c>
      <c r="S476" t="s">
        <v>3511</v>
      </c>
      <c r="T476" t="s">
        <v>3515</v>
      </c>
      <c r="U476">
        <v>0.23419999999999999</v>
      </c>
      <c r="V476">
        <v>0.2326</v>
      </c>
      <c r="W476" t="s">
        <v>52</v>
      </c>
      <c r="X476">
        <v>1.1214</v>
      </c>
      <c r="Y476">
        <v>1.2195</v>
      </c>
      <c r="Z476">
        <v>1.2195</v>
      </c>
      <c r="AA476">
        <v>1.1214</v>
      </c>
      <c r="AB476">
        <v>21.67</v>
      </c>
      <c r="AC476">
        <v>21.67</v>
      </c>
      <c r="AD476">
        <v>20.471399999999999</v>
      </c>
      <c r="AE476">
        <v>20.471399999999999</v>
      </c>
      <c r="AF476" t="s">
        <v>4432</v>
      </c>
      <c r="AG476" t="s">
        <v>4432</v>
      </c>
      <c r="AH476" t="s">
        <v>3894</v>
      </c>
      <c r="AI476" t="s">
        <v>3894</v>
      </c>
      <c r="AJ476" t="s">
        <v>3895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3896</v>
      </c>
      <c r="AT476" t="s">
        <v>3890</v>
      </c>
      <c r="AU476" t="s">
        <v>3950</v>
      </c>
      <c r="AV476" t="s">
        <v>3898</v>
      </c>
      <c r="AW476">
        <v>2</v>
      </c>
      <c r="AX476">
        <v>0</v>
      </c>
    </row>
    <row r="477" spans="1:50" x14ac:dyDescent="0.25">
      <c r="A477" t="s">
        <v>4433</v>
      </c>
      <c r="B477" t="s">
        <v>3889</v>
      </c>
      <c r="C477" t="s">
        <v>3890</v>
      </c>
      <c r="D477">
        <v>28.318999999999999</v>
      </c>
      <c r="E477">
        <v>28.273</v>
      </c>
      <c r="F477" s="2">
        <v>3.0000000000000001E-3</v>
      </c>
      <c r="G477" t="s">
        <v>3657</v>
      </c>
      <c r="H477" t="s">
        <v>3660</v>
      </c>
      <c r="I477">
        <v>440570.42509999999</v>
      </c>
      <c r="J477">
        <v>1827425.1986</v>
      </c>
      <c r="K477">
        <v>440585.57510000002</v>
      </c>
      <c r="L477">
        <v>1827425.1986</v>
      </c>
      <c r="M477" t="s">
        <v>56</v>
      </c>
      <c r="N477" t="s">
        <v>57</v>
      </c>
      <c r="O477">
        <v>450</v>
      </c>
      <c r="P477" t="s">
        <v>3891</v>
      </c>
      <c r="Q477" t="s">
        <v>3892</v>
      </c>
      <c r="R477" t="s">
        <v>80</v>
      </c>
      <c r="S477" t="s">
        <v>452</v>
      </c>
      <c r="T477" t="s">
        <v>2477</v>
      </c>
      <c r="U477">
        <v>-6.6799999999999998E-2</v>
      </c>
      <c r="V477">
        <v>-7.17E-2</v>
      </c>
      <c r="W477" t="s">
        <v>52</v>
      </c>
      <c r="X477">
        <v>0.8468</v>
      </c>
      <c r="Y477">
        <v>1.1684000000000001</v>
      </c>
      <c r="Z477">
        <v>1.1684000000000001</v>
      </c>
      <c r="AA477">
        <v>0.86470000000000002</v>
      </c>
      <c r="AB477">
        <v>15.300700000000001</v>
      </c>
      <c r="AC477">
        <v>15.300800000000001</v>
      </c>
      <c r="AD477">
        <v>14.402100000000001</v>
      </c>
      <c r="AE477">
        <v>14.402200000000001</v>
      </c>
      <c r="AF477" t="s">
        <v>183</v>
      </c>
      <c r="AG477" t="s">
        <v>183</v>
      </c>
      <c r="AH477" t="s">
        <v>3894</v>
      </c>
      <c r="AI477" t="s">
        <v>3894</v>
      </c>
      <c r="AJ477" t="s">
        <v>3895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3896</v>
      </c>
      <c r="AT477" t="s">
        <v>3890</v>
      </c>
      <c r="AU477" t="s">
        <v>3897</v>
      </c>
      <c r="AV477" t="s">
        <v>3898</v>
      </c>
      <c r="AW477">
        <v>2</v>
      </c>
      <c r="AX477">
        <v>0</v>
      </c>
    </row>
    <row r="478" spans="1:50" x14ac:dyDescent="0.25">
      <c r="A478" t="s">
        <v>4434</v>
      </c>
      <c r="B478" t="s">
        <v>3889</v>
      </c>
      <c r="C478" t="s">
        <v>3890</v>
      </c>
      <c r="D478">
        <v>28.414999999999999</v>
      </c>
      <c r="E478">
        <v>28.367999999999999</v>
      </c>
      <c r="F478" s="2">
        <v>3.0999999999999999E-3</v>
      </c>
      <c r="G478" t="s">
        <v>3645</v>
      </c>
      <c r="H478" t="s">
        <v>3648</v>
      </c>
      <c r="I478">
        <v>440570.42509999999</v>
      </c>
      <c r="J478">
        <v>1827415.4986</v>
      </c>
      <c r="K478">
        <v>440585.57510000002</v>
      </c>
      <c r="L478">
        <v>1827415.4986</v>
      </c>
      <c r="M478" t="s">
        <v>56</v>
      </c>
      <c r="N478" t="s">
        <v>57</v>
      </c>
      <c r="O478">
        <v>450</v>
      </c>
      <c r="P478" t="s">
        <v>3891</v>
      </c>
      <c r="Q478" t="s">
        <v>3892</v>
      </c>
      <c r="R478" t="s">
        <v>85</v>
      </c>
      <c r="S478" t="s">
        <v>452</v>
      </c>
      <c r="T478" t="s">
        <v>2477</v>
      </c>
      <c r="U478">
        <v>-7.8E-2</v>
      </c>
      <c r="V478">
        <v>-7.6399999999999996E-2</v>
      </c>
      <c r="W478" t="s">
        <v>52</v>
      </c>
      <c r="X478">
        <v>0.85850000000000004</v>
      </c>
      <c r="Y478">
        <v>1.0724</v>
      </c>
      <c r="Z478">
        <v>1.0724</v>
      </c>
      <c r="AA478">
        <v>0.87270000000000003</v>
      </c>
      <c r="AB478">
        <v>15.302899999999999</v>
      </c>
      <c r="AC478">
        <v>15.303000000000001</v>
      </c>
      <c r="AD478">
        <v>14.402200000000001</v>
      </c>
      <c r="AE478">
        <v>14.402200000000001</v>
      </c>
      <c r="AF478" t="s">
        <v>183</v>
      </c>
      <c r="AG478" t="s">
        <v>183</v>
      </c>
      <c r="AH478" t="s">
        <v>3894</v>
      </c>
      <c r="AI478" t="s">
        <v>3894</v>
      </c>
      <c r="AJ478" t="s">
        <v>3895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3896</v>
      </c>
      <c r="AT478" t="s">
        <v>3890</v>
      </c>
      <c r="AU478" t="s">
        <v>3897</v>
      </c>
      <c r="AV478" t="s">
        <v>3898</v>
      </c>
      <c r="AW478">
        <v>2</v>
      </c>
      <c r="AX478">
        <v>0</v>
      </c>
    </row>
    <row r="479" spans="1:50" x14ac:dyDescent="0.25">
      <c r="A479" t="s">
        <v>4435</v>
      </c>
      <c r="B479" t="s">
        <v>4010</v>
      </c>
      <c r="C479" t="s">
        <v>3890</v>
      </c>
      <c r="D479">
        <v>32.576000000000001</v>
      </c>
      <c r="E479">
        <v>32.515999999999998</v>
      </c>
      <c r="F479" s="2">
        <v>3.0000000000000001E-3</v>
      </c>
      <c r="G479" t="s">
        <v>1555</v>
      </c>
      <c r="H479" t="s">
        <v>1558</v>
      </c>
      <c r="I479">
        <v>439951.42479999998</v>
      </c>
      <c r="J479">
        <v>1827885.8171000001</v>
      </c>
      <c r="K479">
        <v>439951.42479999998</v>
      </c>
      <c r="L479">
        <v>1827865.6044999999</v>
      </c>
      <c r="M479" t="s">
        <v>56</v>
      </c>
      <c r="N479" t="s">
        <v>57</v>
      </c>
      <c r="O479">
        <v>900</v>
      </c>
      <c r="P479" t="s">
        <v>109</v>
      </c>
      <c r="Q479" t="s">
        <v>3919</v>
      </c>
      <c r="R479" t="s">
        <v>1510</v>
      </c>
      <c r="S479" t="s">
        <v>1065</v>
      </c>
      <c r="T479" t="s">
        <v>1560</v>
      </c>
      <c r="U479">
        <v>-2.5000000000000001E-2</v>
      </c>
      <c r="V479">
        <v>-2.5000000000000001E-2</v>
      </c>
      <c r="W479" t="s">
        <v>52</v>
      </c>
      <c r="X479">
        <v>0.85170000000000001</v>
      </c>
      <c r="Y479">
        <v>0.88849999999999996</v>
      </c>
      <c r="Z479">
        <v>0.88849999999999996</v>
      </c>
      <c r="AA479">
        <v>0.85170000000000001</v>
      </c>
      <c r="AB479">
        <v>20.212599999999998</v>
      </c>
      <c r="AC479">
        <v>20.212700000000002</v>
      </c>
      <c r="AD479">
        <v>19.016200000000001</v>
      </c>
      <c r="AE479">
        <v>19.016300000000001</v>
      </c>
      <c r="AF479" t="s">
        <v>4011</v>
      </c>
      <c r="AG479" t="s">
        <v>4011</v>
      </c>
      <c r="AH479" t="s">
        <v>3894</v>
      </c>
      <c r="AI479" t="s">
        <v>3894</v>
      </c>
      <c r="AJ479" t="s">
        <v>3895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3896</v>
      </c>
      <c r="AT479" t="s">
        <v>3890</v>
      </c>
      <c r="AU479" t="s">
        <v>4012</v>
      </c>
      <c r="AV479" t="s">
        <v>3898</v>
      </c>
      <c r="AW479">
        <v>2</v>
      </c>
      <c r="AX479">
        <v>0</v>
      </c>
    </row>
    <row r="480" spans="1:50" x14ac:dyDescent="0.25">
      <c r="A480" t="s">
        <v>4436</v>
      </c>
      <c r="B480" t="s">
        <v>3889</v>
      </c>
      <c r="C480" t="s">
        <v>3890</v>
      </c>
      <c r="D480">
        <v>28.449000000000002</v>
      </c>
      <c r="E480">
        <v>28.405000000000001</v>
      </c>
      <c r="F480" s="2">
        <v>3.0000000000000001E-3</v>
      </c>
      <c r="G480" t="s">
        <v>2867</v>
      </c>
      <c r="H480" t="s">
        <v>2920</v>
      </c>
      <c r="I480">
        <v>440454.3751</v>
      </c>
      <c r="J480">
        <v>1827678.2394999999</v>
      </c>
      <c r="K480">
        <v>440454.3751</v>
      </c>
      <c r="L480">
        <v>1827692.9145</v>
      </c>
      <c r="M480" t="s">
        <v>56</v>
      </c>
      <c r="N480" t="s">
        <v>57</v>
      </c>
      <c r="O480">
        <v>450</v>
      </c>
      <c r="P480" t="s">
        <v>3891</v>
      </c>
      <c r="Q480" t="s">
        <v>3892</v>
      </c>
      <c r="R480" t="s">
        <v>166</v>
      </c>
      <c r="S480" t="s">
        <v>452</v>
      </c>
      <c r="T480" t="s">
        <v>4437</v>
      </c>
      <c r="U480">
        <v>-0.13489999999999999</v>
      </c>
      <c r="V480">
        <v>-0.13489999999999999</v>
      </c>
      <c r="W480" t="s">
        <v>52</v>
      </c>
      <c r="X480">
        <v>0.8417</v>
      </c>
      <c r="Y480">
        <v>1.0115000000000001</v>
      </c>
      <c r="Z480">
        <v>1.0054000000000001</v>
      </c>
      <c r="AA480">
        <v>0.86560000000000004</v>
      </c>
      <c r="AB480">
        <v>14.675800000000001</v>
      </c>
      <c r="AC480">
        <v>14.675800000000001</v>
      </c>
      <c r="AD480">
        <v>13.7021</v>
      </c>
      <c r="AE480">
        <v>13.702199999999999</v>
      </c>
      <c r="AF480" t="s">
        <v>67</v>
      </c>
      <c r="AG480" t="s">
        <v>67</v>
      </c>
      <c r="AH480" t="s">
        <v>3894</v>
      </c>
      <c r="AI480" t="s">
        <v>3894</v>
      </c>
      <c r="AJ480" t="s">
        <v>3895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3896</v>
      </c>
      <c r="AT480" t="s">
        <v>3890</v>
      </c>
      <c r="AU480" t="s">
        <v>3897</v>
      </c>
      <c r="AV480" t="s">
        <v>3898</v>
      </c>
      <c r="AW480">
        <v>2</v>
      </c>
      <c r="AX480">
        <v>0</v>
      </c>
    </row>
    <row r="481" spans="1:50" x14ac:dyDescent="0.25">
      <c r="A481" t="s">
        <v>4438</v>
      </c>
      <c r="B481" t="s">
        <v>4439</v>
      </c>
      <c r="C481" t="s">
        <v>3890</v>
      </c>
      <c r="D481">
        <v>29.004000000000001</v>
      </c>
      <c r="E481">
        <v>28.943999999999999</v>
      </c>
      <c r="F481" s="2">
        <v>3.0000000000000001E-3</v>
      </c>
      <c r="G481" t="s">
        <v>2069</v>
      </c>
      <c r="H481" t="s">
        <v>2075</v>
      </c>
      <c r="I481">
        <v>440184.61300000001</v>
      </c>
      <c r="J481">
        <v>1827564.8114</v>
      </c>
      <c r="K481">
        <v>440198.94750000001</v>
      </c>
      <c r="L481">
        <v>1827579.1458000001</v>
      </c>
      <c r="M481" t="s">
        <v>56</v>
      </c>
      <c r="N481" t="s">
        <v>57</v>
      </c>
      <c r="O481">
        <v>900</v>
      </c>
      <c r="P481" t="s">
        <v>59</v>
      </c>
      <c r="Q481" t="s">
        <v>3930</v>
      </c>
      <c r="R481" t="s">
        <v>2072</v>
      </c>
      <c r="S481" t="s">
        <v>4440</v>
      </c>
      <c r="T481" t="s">
        <v>4441</v>
      </c>
      <c r="U481">
        <v>14.602399999999999</v>
      </c>
      <c r="V481">
        <v>28.913900000000002</v>
      </c>
      <c r="W481" t="s">
        <v>52</v>
      </c>
      <c r="X481">
        <v>1.1244000000000001</v>
      </c>
      <c r="Y481">
        <v>1.2732000000000001</v>
      </c>
      <c r="Z481">
        <v>1.2732000000000001</v>
      </c>
      <c r="AA481">
        <v>1.1244000000000001</v>
      </c>
      <c r="AB481">
        <v>20.271899999999999</v>
      </c>
      <c r="AC481">
        <v>20.271999999999998</v>
      </c>
      <c r="AD481">
        <v>19.075600000000001</v>
      </c>
      <c r="AE481">
        <v>19.075700000000001</v>
      </c>
      <c r="AF481" t="s">
        <v>4442</v>
      </c>
      <c r="AG481" t="s">
        <v>4442</v>
      </c>
      <c r="AH481" t="s">
        <v>3894</v>
      </c>
      <c r="AI481" t="s">
        <v>3894</v>
      </c>
      <c r="AJ481" t="s">
        <v>3895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3896</v>
      </c>
      <c r="AT481" t="s">
        <v>3890</v>
      </c>
      <c r="AU481" t="s">
        <v>4443</v>
      </c>
      <c r="AV481" t="s">
        <v>3898</v>
      </c>
      <c r="AW481">
        <v>2</v>
      </c>
      <c r="AX481">
        <v>0</v>
      </c>
    </row>
    <row r="482" spans="1:50" x14ac:dyDescent="0.25">
      <c r="A482" t="s">
        <v>4444</v>
      </c>
      <c r="B482" t="s">
        <v>3917</v>
      </c>
      <c r="C482" t="s">
        <v>3890</v>
      </c>
      <c r="D482">
        <v>28.492999999999999</v>
      </c>
      <c r="E482">
        <v>28.433</v>
      </c>
      <c r="F482" s="2">
        <v>3.3E-3</v>
      </c>
      <c r="G482" t="s">
        <v>780</v>
      </c>
      <c r="H482" t="s">
        <v>896</v>
      </c>
      <c r="I482">
        <v>440240.25550000003</v>
      </c>
      <c r="J482">
        <v>1827531.6088</v>
      </c>
      <c r="K482">
        <v>440258.19990000001</v>
      </c>
      <c r="L482">
        <v>1827531.6088</v>
      </c>
      <c r="M482" t="s">
        <v>56</v>
      </c>
      <c r="N482" t="s">
        <v>57</v>
      </c>
      <c r="O482">
        <v>750</v>
      </c>
      <c r="P482" t="s">
        <v>3918</v>
      </c>
      <c r="Q482" t="s">
        <v>3919</v>
      </c>
      <c r="R482" t="s">
        <v>141</v>
      </c>
      <c r="S482" t="s">
        <v>782</v>
      </c>
      <c r="T482" t="s">
        <v>898</v>
      </c>
      <c r="U482">
        <v>5.8400000000000001E-2</v>
      </c>
      <c r="V482">
        <v>5.8400000000000001E-2</v>
      </c>
      <c r="W482" t="s">
        <v>52</v>
      </c>
      <c r="X482">
        <v>1.7655000000000001</v>
      </c>
      <c r="Y482">
        <v>1.8049999999999999</v>
      </c>
      <c r="Z482">
        <v>1.8049999999999999</v>
      </c>
      <c r="AA482">
        <v>1.7655000000000001</v>
      </c>
      <c r="AB482">
        <v>17.944400000000002</v>
      </c>
      <c r="AC482">
        <v>17.944500000000001</v>
      </c>
      <c r="AD482">
        <v>16.747900000000001</v>
      </c>
      <c r="AE482">
        <v>16.748000000000001</v>
      </c>
      <c r="AF482" t="s">
        <v>3920</v>
      </c>
      <c r="AG482" t="s">
        <v>3920</v>
      </c>
      <c r="AH482" t="s">
        <v>3894</v>
      </c>
      <c r="AI482" t="s">
        <v>3894</v>
      </c>
      <c r="AJ482" t="s">
        <v>3895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3896</v>
      </c>
      <c r="AT482" t="s">
        <v>3890</v>
      </c>
      <c r="AU482" t="s">
        <v>3921</v>
      </c>
      <c r="AV482" t="s">
        <v>3898</v>
      </c>
      <c r="AW482">
        <v>2</v>
      </c>
      <c r="AX482">
        <v>0</v>
      </c>
    </row>
    <row r="483" spans="1:50" x14ac:dyDescent="0.25">
      <c r="A483" t="s">
        <v>516</v>
      </c>
      <c r="B483" t="s">
        <v>3889</v>
      </c>
      <c r="C483" t="s">
        <v>3890</v>
      </c>
      <c r="D483">
        <v>31.353999999999999</v>
      </c>
      <c r="E483">
        <v>31.294</v>
      </c>
      <c r="F483" s="2">
        <v>3.3E-3</v>
      </c>
      <c r="G483" t="s">
        <v>515</v>
      </c>
      <c r="H483" t="s">
        <v>519</v>
      </c>
      <c r="I483">
        <v>439920.64799999999</v>
      </c>
      <c r="J483">
        <v>1827531.4338</v>
      </c>
      <c r="K483">
        <v>439938.75890000002</v>
      </c>
      <c r="L483">
        <v>1827531.4338</v>
      </c>
      <c r="M483" t="s">
        <v>56</v>
      </c>
      <c r="N483" t="s">
        <v>57</v>
      </c>
      <c r="O483">
        <v>450</v>
      </c>
      <c r="P483" t="s">
        <v>3891</v>
      </c>
      <c r="Q483" t="s">
        <v>3892</v>
      </c>
      <c r="R483" t="s">
        <v>127</v>
      </c>
      <c r="S483" t="s">
        <v>517</v>
      </c>
      <c r="T483" t="s">
        <v>4038</v>
      </c>
      <c r="U483">
        <v>-0.1167</v>
      </c>
      <c r="V483">
        <v>-0.1167</v>
      </c>
      <c r="W483" t="s">
        <v>52</v>
      </c>
      <c r="X483">
        <v>1.1935</v>
      </c>
      <c r="Y483">
        <v>1.2364999999999999</v>
      </c>
      <c r="Z483">
        <v>1.2364999999999999</v>
      </c>
      <c r="AA483">
        <v>1.1935</v>
      </c>
      <c r="AB483">
        <v>18.075800000000001</v>
      </c>
      <c r="AC483">
        <v>18.075900000000001</v>
      </c>
      <c r="AD483">
        <v>16.8781</v>
      </c>
      <c r="AE483">
        <v>16.8782</v>
      </c>
      <c r="AF483" t="s">
        <v>3920</v>
      </c>
      <c r="AG483" t="s">
        <v>3920</v>
      </c>
      <c r="AH483" t="s">
        <v>3894</v>
      </c>
      <c r="AI483" t="s">
        <v>3894</v>
      </c>
      <c r="AJ483" t="s">
        <v>3895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3896</v>
      </c>
      <c r="AT483" t="s">
        <v>3890</v>
      </c>
      <c r="AU483" t="s">
        <v>3897</v>
      </c>
      <c r="AV483" t="s">
        <v>3898</v>
      </c>
      <c r="AW483">
        <v>2</v>
      </c>
      <c r="AX483">
        <v>0</v>
      </c>
    </row>
    <row r="484" spans="1:50" x14ac:dyDescent="0.25">
      <c r="A484" t="s">
        <v>4445</v>
      </c>
      <c r="B484" t="s">
        <v>3889</v>
      </c>
      <c r="C484" t="s">
        <v>3890</v>
      </c>
      <c r="D484">
        <v>28.202000000000002</v>
      </c>
      <c r="E484">
        <v>28.141999999999999</v>
      </c>
      <c r="F484" s="2">
        <v>3.0000000000000001E-3</v>
      </c>
      <c r="G484" t="s">
        <v>360</v>
      </c>
      <c r="H484" t="s">
        <v>3578</v>
      </c>
      <c r="I484">
        <v>440529.67509999999</v>
      </c>
      <c r="J484">
        <v>1827479.7298000001</v>
      </c>
      <c r="K484">
        <v>440529.67509999999</v>
      </c>
      <c r="L484">
        <v>1827499.4838</v>
      </c>
      <c r="M484" t="s">
        <v>56</v>
      </c>
      <c r="N484" t="s">
        <v>57</v>
      </c>
      <c r="O484">
        <v>450</v>
      </c>
      <c r="P484" t="s">
        <v>3891</v>
      </c>
      <c r="Q484" t="s">
        <v>3892</v>
      </c>
      <c r="R484" t="s">
        <v>362</v>
      </c>
      <c r="S484" s="1" t="s">
        <v>363</v>
      </c>
      <c r="T484" t="s">
        <v>452</v>
      </c>
      <c r="U484">
        <v>0</v>
      </c>
      <c r="V484">
        <v>0</v>
      </c>
      <c r="W484" t="s">
        <v>52</v>
      </c>
      <c r="X484">
        <v>0.88239999999999996</v>
      </c>
      <c r="Y484">
        <v>1.0105</v>
      </c>
      <c r="Z484">
        <v>1.0105</v>
      </c>
      <c r="AA484">
        <v>0.88239999999999996</v>
      </c>
      <c r="AB484">
        <v>19.754000000000001</v>
      </c>
      <c r="AC484">
        <v>19.754100000000001</v>
      </c>
      <c r="AD484">
        <v>18.556100000000001</v>
      </c>
      <c r="AE484">
        <v>18.5562</v>
      </c>
      <c r="AF484" t="s">
        <v>67</v>
      </c>
      <c r="AG484" t="s">
        <v>67</v>
      </c>
      <c r="AH484" t="s">
        <v>3894</v>
      </c>
      <c r="AI484" t="s">
        <v>3894</v>
      </c>
      <c r="AJ484" t="s">
        <v>3895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3896</v>
      </c>
      <c r="AT484" t="s">
        <v>3890</v>
      </c>
      <c r="AU484" t="s">
        <v>3897</v>
      </c>
      <c r="AV484" t="s">
        <v>3898</v>
      </c>
      <c r="AW484">
        <v>2</v>
      </c>
      <c r="AX484">
        <v>0</v>
      </c>
    </row>
    <row r="485" spans="1:50" x14ac:dyDescent="0.25">
      <c r="A485" t="s">
        <v>4446</v>
      </c>
      <c r="B485" t="s">
        <v>3889</v>
      </c>
      <c r="C485" t="s">
        <v>3890</v>
      </c>
      <c r="D485">
        <v>29.143000000000001</v>
      </c>
      <c r="E485">
        <v>29.082999999999998</v>
      </c>
      <c r="F485" s="2">
        <v>3.0000000000000001E-3</v>
      </c>
      <c r="G485" t="s">
        <v>3055</v>
      </c>
      <c r="H485" t="s">
        <v>355</v>
      </c>
      <c r="I485">
        <v>440585.57510000002</v>
      </c>
      <c r="J485">
        <v>1827294.6947999999</v>
      </c>
      <c r="K485">
        <v>440585.57510000002</v>
      </c>
      <c r="L485">
        <v>1827315.0294000001</v>
      </c>
      <c r="M485" t="s">
        <v>56</v>
      </c>
      <c r="N485" t="s">
        <v>57</v>
      </c>
      <c r="O485">
        <v>450</v>
      </c>
      <c r="P485" t="s">
        <v>3891</v>
      </c>
      <c r="Q485" t="s">
        <v>3892</v>
      </c>
      <c r="R485" t="s">
        <v>357</v>
      </c>
      <c r="S485" t="s">
        <v>3057</v>
      </c>
      <c r="T485" t="s">
        <v>358</v>
      </c>
      <c r="U485">
        <v>0.13869999999999999</v>
      </c>
      <c r="V485">
        <v>0.1275</v>
      </c>
      <c r="W485" t="s">
        <v>52</v>
      </c>
      <c r="X485">
        <v>0.89810000000000001</v>
      </c>
      <c r="Y485">
        <v>0.95099999999999996</v>
      </c>
      <c r="Z485">
        <v>0.95099999999999996</v>
      </c>
      <c r="AA485">
        <v>0.89810000000000001</v>
      </c>
      <c r="AB485">
        <v>20.334499999999998</v>
      </c>
      <c r="AC485">
        <v>20.334599999999998</v>
      </c>
      <c r="AD485">
        <v>19.136600000000001</v>
      </c>
      <c r="AE485">
        <v>19.136700000000001</v>
      </c>
      <c r="AF485" t="s">
        <v>3973</v>
      </c>
      <c r="AG485" t="s">
        <v>3973</v>
      </c>
      <c r="AH485" t="s">
        <v>3894</v>
      </c>
      <c r="AI485" t="s">
        <v>3894</v>
      </c>
      <c r="AJ485" t="s">
        <v>3895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3896</v>
      </c>
      <c r="AT485" t="s">
        <v>3890</v>
      </c>
      <c r="AU485" t="s">
        <v>3897</v>
      </c>
      <c r="AV485" t="s">
        <v>3898</v>
      </c>
      <c r="AW485">
        <v>2</v>
      </c>
      <c r="AX485">
        <v>0</v>
      </c>
    </row>
    <row r="486" spans="1:50" x14ac:dyDescent="0.25">
      <c r="A486" t="s">
        <v>4447</v>
      </c>
      <c r="B486" t="s">
        <v>3963</v>
      </c>
      <c r="C486" t="s">
        <v>3890</v>
      </c>
      <c r="D486">
        <v>31.228000000000002</v>
      </c>
      <c r="E486">
        <v>31.18</v>
      </c>
      <c r="F486" s="2">
        <v>3.0000000000000001E-3</v>
      </c>
      <c r="G486" t="s">
        <v>1394</v>
      </c>
      <c r="H486" t="s">
        <v>1398</v>
      </c>
      <c r="I486">
        <v>440053.69949999999</v>
      </c>
      <c r="J486">
        <v>1827586.3441999999</v>
      </c>
      <c r="K486">
        <v>440053.69949999999</v>
      </c>
      <c r="L486">
        <v>1827570.2196</v>
      </c>
      <c r="M486" t="s">
        <v>56</v>
      </c>
      <c r="N486" t="s">
        <v>57</v>
      </c>
      <c r="O486">
        <v>600</v>
      </c>
      <c r="P486" t="s">
        <v>3891</v>
      </c>
      <c r="Q486" t="s">
        <v>3892</v>
      </c>
      <c r="R486" t="s">
        <v>381</v>
      </c>
      <c r="S486" t="s">
        <v>1396</v>
      </c>
      <c r="T486" t="s">
        <v>1400</v>
      </c>
      <c r="U486">
        <v>1.0800000000000001E-2</v>
      </c>
      <c r="V486">
        <v>6.1000000000000004E-3</v>
      </c>
      <c r="W486" t="s">
        <v>52</v>
      </c>
      <c r="X486">
        <v>0.89180000000000004</v>
      </c>
      <c r="Y486">
        <v>0.93110000000000004</v>
      </c>
      <c r="Z486">
        <v>0.93110000000000004</v>
      </c>
      <c r="AA486">
        <v>0.89180000000000004</v>
      </c>
      <c r="AB486">
        <v>16.124600000000001</v>
      </c>
      <c r="AC486">
        <v>16.124700000000001</v>
      </c>
      <c r="AD486">
        <v>14.927199999999999</v>
      </c>
      <c r="AE486">
        <v>14.927199999999999</v>
      </c>
      <c r="AF486" t="s">
        <v>2233</v>
      </c>
      <c r="AG486" t="s">
        <v>2233</v>
      </c>
      <c r="AH486" t="s">
        <v>3894</v>
      </c>
      <c r="AI486" t="s">
        <v>3894</v>
      </c>
      <c r="AJ486" t="s">
        <v>3895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3896</v>
      </c>
      <c r="AT486" t="s">
        <v>3890</v>
      </c>
      <c r="AU486" t="s">
        <v>3964</v>
      </c>
      <c r="AV486" t="s">
        <v>3898</v>
      </c>
      <c r="AW486">
        <v>2</v>
      </c>
      <c r="AX486">
        <v>0</v>
      </c>
    </row>
    <row r="487" spans="1:50" x14ac:dyDescent="0.25">
      <c r="A487" t="s">
        <v>4448</v>
      </c>
      <c r="B487" t="s">
        <v>3889</v>
      </c>
      <c r="C487" t="s">
        <v>3890</v>
      </c>
      <c r="D487">
        <v>29.219000000000001</v>
      </c>
      <c r="E487">
        <v>29.161999999999999</v>
      </c>
      <c r="F487" s="2">
        <v>3.0999999999999999E-3</v>
      </c>
      <c r="G487" t="s">
        <v>2461</v>
      </c>
      <c r="H487" t="s">
        <v>2496</v>
      </c>
      <c r="I487">
        <v>440567.08630000002</v>
      </c>
      <c r="J487">
        <v>1827935.2109000001</v>
      </c>
      <c r="K487">
        <v>440585.57510000002</v>
      </c>
      <c r="L487">
        <v>1827935.2109000001</v>
      </c>
      <c r="M487" t="s">
        <v>56</v>
      </c>
      <c r="N487" t="s">
        <v>57</v>
      </c>
      <c r="O487">
        <v>450</v>
      </c>
      <c r="P487" t="s">
        <v>3891</v>
      </c>
      <c r="Q487" t="s">
        <v>3892</v>
      </c>
      <c r="R487" t="s">
        <v>241</v>
      </c>
      <c r="S487" t="s">
        <v>2463</v>
      </c>
      <c r="T487" t="s">
        <v>2477</v>
      </c>
      <c r="U487">
        <v>0.25</v>
      </c>
      <c r="V487">
        <v>0.25</v>
      </c>
      <c r="W487" t="s">
        <v>52</v>
      </c>
      <c r="X487">
        <v>0.83550000000000002</v>
      </c>
      <c r="Y487">
        <v>1.2483</v>
      </c>
      <c r="Z487">
        <v>1.2483</v>
      </c>
      <c r="AA487">
        <v>0.86539999999999995</v>
      </c>
      <c r="AB487">
        <v>18.743300000000001</v>
      </c>
      <c r="AC487">
        <v>18.743400000000001</v>
      </c>
      <c r="AD487">
        <v>17.545400000000001</v>
      </c>
      <c r="AE487">
        <v>17.545500000000001</v>
      </c>
      <c r="AF487" t="s">
        <v>183</v>
      </c>
      <c r="AG487" t="s">
        <v>183</v>
      </c>
      <c r="AH487" t="s">
        <v>3894</v>
      </c>
      <c r="AI487" t="s">
        <v>3894</v>
      </c>
      <c r="AJ487" t="s">
        <v>3895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3896</v>
      </c>
      <c r="AT487" t="s">
        <v>3890</v>
      </c>
      <c r="AU487" t="s">
        <v>3897</v>
      </c>
      <c r="AV487" t="s">
        <v>3898</v>
      </c>
      <c r="AW487">
        <v>2</v>
      </c>
      <c r="AX487">
        <v>0</v>
      </c>
    </row>
    <row r="488" spans="1:50" x14ac:dyDescent="0.25">
      <c r="A488" t="s">
        <v>4449</v>
      </c>
      <c r="B488" t="s">
        <v>3889</v>
      </c>
      <c r="C488" t="s">
        <v>3890</v>
      </c>
      <c r="D488">
        <v>31.234999999999999</v>
      </c>
      <c r="E488">
        <v>31.175000000000001</v>
      </c>
      <c r="F488" s="2">
        <v>3.0000000000000001E-3</v>
      </c>
      <c r="G488" t="s">
        <v>3250</v>
      </c>
      <c r="H488" t="s">
        <v>3253</v>
      </c>
      <c r="I488">
        <v>440170.42509999999</v>
      </c>
      <c r="J488">
        <v>1827384.5985999999</v>
      </c>
      <c r="K488">
        <v>440190.53690000001</v>
      </c>
      <c r="L488">
        <v>1827384.5985999999</v>
      </c>
      <c r="M488" t="s">
        <v>56</v>
      </c>
      <c r="N488" t="s">
        <v>57</v>
      </c>
      <c r="O488">
        <v>450</v>
      </c>
      <c r="P488" t="s">
        <v>3891</v>
      </c>
      <c r="Q488" t="s">
        <v>3892</v>
      </c>
      <c r="R488" t="s">
        <v>54</v>
      </c>
      <c r="S488" t="s">
        <v>832</v>
      </c>
      <c r="T488" t="s">
        <v>3255</v>
      </c>
      <c r="U488">
        <v>7.4999999999999997E-2</v>
      </c>
      <c r="V488">
        <v>7.4999999999999997E-2</v>
      </c>
      <c r="W488" t="s">
        <v>52</v>
      </c>
      <c r="X488">
        <v>0.88190000000000002</v>
      </c>
      <c r="Y488">
        <v>0.94430000000000003</v>
      </c>
      <c r="Z488">
        <v>0.94430000000000003</v>
      </c>
      <c r="AA488">
        <v>0.88190000000000002</v>
      </c>
      <c r="AB488">
        <v>20.111799999999999</v>
      </c>
      <c r="AC488">
        <v>20.111899999999999</v>
      </c>
      <c r="AD488">
        <v>18.913900000000002</v>
      </c>
      <c r="AE488">
        <v>18.914000000000001</v>
      </c>
      <c r="AF488" t="s">
        <v>183</v>
      </c>
      <c r="AG488" t="s">
        <v>183</v>
      </c>
      <c r="AH488" t="s">
        <v>3894</v>
      </c>
      <c r="AI488" t="s">
        <v>3894</v>
      </c>
      <c r="AJ488" t="s">
        <v>3895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3896</v>
      </c>
      <c r="AT488" t="s">
        <v>3890</v>
      </c>
      <c r="AU488" t="s">
        <v>3897</v>
      </c>
      <c r="AV488" t="s">
        <v>3898</v>
      </c>
      <c r="AW488">
        <v>2</v>
      </c>
      <c r="AX488">
        <v>0</v>
      </c>
    </row>
    <row r="489" spans="1:50" x14ac:dyDescent="0.25">
      <c r="A489" t="s">
        <v>4450</v>
      </c>
      <c r="B489" t="s">
        <v>3933</v>
      </c>
      <c r="C489" t="s">
        <v>3890</v>
      </c>
      <c r="D489">
        <v>31.003</v>
      </c>
      <c r="E489">
        <v>30.937000000000001</v>
      </c>
      <c r="F489" s="2">
        <v>3.0000000000000001E-3</v>
      </c>
      <c r="G489" t="s">
        <v>2524</v>
      </c>
      <c r="H489" t="s">
        <v>2528</v>
      </c>
      <c r="I489">
        <v>440388.42509999999</v>
      </c>
      <c r="J489">
        <v>1828047.3722999999</v>
      </c>
      <c r="K489">
        <v>440410.42509999999</v>
      </c>
      <c r="L489">
        <v>1828047.3722999999</v>
      </c>
      <c r="M489" t="s">
        <v>56</v>
      </c>
      <c r="N489" t="s">
        <v>57</v>
      </c>
      <c r="O489">
        <v>750</v>
      </c>
      <c r="P489" t="s">
        <v>58</v>
      </c>
      <c r="Q489" t="s">
        <v>3919</v>
      </c>
      <c r="R489" t="s">
        <v>2502</v>
      </c>
      <c r="S489" t="s">
        <v>2526</v>
      </c>
      <c r="T489" t="s">
        <v>420</v>
      </c>
      <c r="U489">
        <v>-2.5000000000000001E-2</v>
      </c>
      <c r="V489">
        <v>-2.5000000000000001E-2</v>
      </c>
      <c r="W489" t="s">
        <v>52</v>
      </c>
      <c r="X489">
        <v>0.85319999999999996</v>
      </c>
      <c r="Y489">
        <v>0.88849999999999996</v>
      </c>
      <c r="Z489">
        <v>0.88849999999999996</v>
      </c>
      <c r="AA489">
        <v>0.85319999999999996</v>
      </c>
      <c r="AB489">
        <v>22</v>
      </c>
      <c r="AC489">
        <v>22.0001</v>
      </c>
      <c r="AD489">
        <v>20.803100000000001</v>
      </c>
      <c r="AE489">
        <v>20.8032</v>
      </c>
      <c r="AF489" t="s">
        <v>183</v>
      </c>
      <c r="AG489" t="s">
        <v>183</v>
      </c>
      <c r="AH489" t="s">
        <v>3894</v>
      </c>
      <c r="AI489" t="s">
        <v>3894</v>
      </c>
      <c r="AJ489" t="s">
        <v>3895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3896</v>
      </c>
      <c r="AT489" t="s">
        <v>3890</v>
      </c>
      <c r="AU489" t="s">
        <v>3935</v>
      </c>
      <c r="AV489" t="s">
        <v>3898</v>
      </c>
      <c r="AW489">
        <v>2</v>
      </c>
      <c r="AX489">
        <v>0</v>
      </c>
    </row>
    <row r="490" spans="1:50" x14ac:dyDescent="0.25">
      <c r="A490" t="s">
        <v>4451</v>
      </c>
      <c r="B490" t="s">
        <v>3889</v>
      </c>
      <c r="C490" t="s">
        <v>3890</v>
      </c>
      <c r="D490">
        <v>30.148</v>
      </c>
      <c r="E490">
        <v>30.082000000000001</v>
      </c>
      <c r="F490" s="2">
        <v>2.8999999999999998E-3</v>
      </c>
      <c r="G490" t="s">
        <v>2393</v>
      </c>
      <c r="H490" t="s">
        <v>2397</v>
      </c>
      <c r="I490">
        <v>440387.3751</v>
      </c>
      <c r="J490">
        <v>1827925.6609</v>
      </c>
      <c r="K490">
        <v>440410.42509999999</v>
      </c>
      <c r="L490">
        <v>1827925.5109000001</v>
      </c>
      <c r="M490" t="s">
        <v>56</v>
      </c>
      <c r="N490" t="s">
        <v>57</v>
      </c>
      <c r="O490">
        <v>450</v>
      </c>
      <c r="P490" t="s">
        <v>3891</v>
      </c>
      <c r="Q490" t="s">
        <v>3892</v>
      </c>
      <c r="R490" t="s">
        <v>2395</v>
      </c>
      <c r="S490" t="s">
        <v>2378</v>
      </c>
      <c r="T490" t="s">
        <v>420</v>
      </c>
      <c r="U490">
        <v>-2.9999999999999997E-4</v>
      </c>
      <c r="V490">
        <v>-0.16009999999999999</v>
      </c>
      <c r="W490" t="s">
        <v>52</v>
      </c>
      <c r="X490">
        <v>0.85370000000000001</v>
      </c>
      <c r="Y490">
        <v>0.9415</v>
      </c>
      <c r="Z490">
        <v>0.9415</v>
      </c>
      <c r="AA490">
        <v>0.88239999999999996</v>
      </c>
      <c r="AB490">
        <v>23.05</v>
      </c>
      <c r="AC490">
        <v>23.0501</v>
      </c>
      <c r="AD490">
        <v>21.852499999999999</v>
      </c>
      <c r="AE490">
        <v>21.852599999999999</v>
      </c>
      <c r="AF490" t="s">
        <v>4452</v>
      </c>
      <c r="AG490" t="s">
        <v>4452</v>
      </c>
      <c r="AH490" t="s">
        <v>3894</v>
      </c>
      <c r="AI490" t="s">
        <v>3894</v>
      </c>
      <c r="AJ490" t="s">
        <v>3895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3896</v>
      </c>
      <c r="AT490" t="s">
        <v>3890</v>
      </c>
      <c r="AU490" t="s">
        <v>3897</v>
      </c>
      <c r="AV490" t="s">
        <v>3898</v>
      </c>
      <c r="AW490">
        <v>2</v>
      </c>
      <c r="AX490">
        <v>0</v>
      </c>
    </row>
    <row r="491" spans="1:50" x14ac:dyDescent="0.25">
      <c r="A491" t="s">
        <v>4453</v>
      </c>
      <c r="B491" t="s">
        <v>3889</v>
      </c>
      <c r="C491" t="s">
        <v>3890</v>
      </c>
      <c r="D491">
        <v>30.452000000000002</v>
      </c>
      <c r="E491">
        <v>30.419</v>
      </c>
      <c r="F491" s="2">
        <v>3.0999999999999999E-3</v>
      </c>
      <c r="G491" t="s">
        <v>3272</v>
      </c>
      <c r="H491" t="s">
        <v>3411</v>
      </c>
      <c r="I491">
        <v>440303.64809999999</v>
      </c>
      <c r="J491">
        <v>1827384.5985999999</v>
      </c>
      <c r="K491">
        <v>440314.34989999997</v>
      </c>
      <c r="L491">
        <v>1827384.5985999999</v>
      </c>
      <c r="M491" t="s">
        <v>56</v>
      </c>
      <c r="N491" t="s">
        <v>57</v>
      </c>
      <c r="O491">
        <v>450</v>
      </c>
      <c r="P491" t="s">
        <v>3891</v>
      </c>
      <c r="Q491" t="s">
        <v>3892</v>
      </c>
      <c r="R491" t="s">
        <v>54</v>
      </c>
      <c r="S491" t="s">
        <v>3274</v>
      </c>
      <c r="T491" t="s">
        <v>3413</v>
      </c>
      <c r="U491">
        <v>7.4999999999999997E-2</v>
      </c>
      <c r="V491">
        <v>7.4999999999999997E-2</v>
      </c>
      <c r="W491" t="s">
        <v>52</v>
      </c>
      <c r="X491">
        <v>0.88400000000000001</v>
      </c>
      <c r="Y491">
        <v>0.91610000000000003</v>
      </c>
      <c r="Z491">
        <v>0.91610000000000003</v>
      </c>
      <c r="AA491">
        <v>0.88400000000000001</v>
      </c>
      <c r="AB491">
        <v>10.7019</v>
      </c>
      <c r="AC491">
        <v>10.702</v>
      </c>
      <c r="AD491">
        <v>9.5039999999999996</v>
      </c>
      <c r="AE491">
        <v>9.5039999999999996</v>
      </c>
      <c r="AF491" t="s">
        <v>183</v>
      </c>
      <c r="AG491" t="s">
        <v>183</v>
      </c>
      <c r="AH491" t="s">
        <v>3894</v>
      </c>
      <c r="AI491" t="s">
        <v>3894</v>
      </c>
      <c r="AJ491" t="s">
        <v>3895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3896</v>
      </c>
      <c r="AT491" t="s">
        <v>3890</v>
      </c>
      <c r="AU491" t="s">
        <v>3897</v>
      </c>
      <c r="AV491" t="s">
        <v>3898</v>
      </c>
      <c r="AW491">
        <v>2</v>
      </c>
      <c r="AX491">
        <v>0</v>
      </c>
    </row>
    <row r="492" spans="1:50" x14ac:dyDescent="0.25">
      <c r="A492" t="s">
        <v>4454</v>
      </c>
      <c r="B492" t="s">
        <v>3889</v>
      </c>
      <c r="C492" t="s">
        <v>3890</v>
      </c>
      <c r="D492">
        <v>31.030999999999999</v>
      </c>
      <c r="E492">
        <v>30.972999999999999</v>
      </c>
      <c r="F492" s="2">
        <v>3.0000000000000001E-3</v>
      </c>
      <c r="G492" t="s">
        <v>3359</v>
      </c>
      <c r="H492" t="s">
        <v>3363</v>
      </c>
      <c r="I492">
        <v>440248.67489999998</v>
      </c>
      <c r="J492">
        <v>1827315.9166000001</v>
      </c>
      <c r="K492">
        <v>440248.67489999998</v>
      </c>
      <c r="L492">
        <v>1827335.2449</v>
      </c>
      <c r="M492" t="s">
        <v>56</v>
      </c>
      <c r="N492" t="s">
        <v>57</v>
      </c>
      <c r="O492">
        <v>450</v>
      </c>
      <c r="P492" t="s">
        <v>3891</v>
      </c>
      <c r="Q492" t="s">
        <v>3892</v>
      </c>
      <c r="R492" t="s">
        <v>3352</v>
      </c>
      <c r="S492" t="s">
        <v>3361</v>
      </c>
      <c r="T492" t="s">
        <v>3365</v>
      </c>
      <c r="U492">
        <v>-0.17960000000000001</v>
      </c>
      <c r="V492">
        <v>-0.17960000000000001</v>
      </c>
      <c r="W492" t="s">
        <v>52</v>
      </c>
      <c r="X492">
        <v>0.90269999999999995</v>
      </c>
      <c r="Y492">
        <v>0.93269999999999997</v>
      </c>
      <c r="Z492">
        <v>0.93269999999999997</v>
      </c>
      <c r="AA492">
        <v>0.90269999999999995</v>
      </c>
      <c r="AB492">
        <v>19.328299999999999</v>
      </c>
      <c r="AC492">
        <v>19.328399999999998</v>
      </c>
      <c r="AD492">
        <v>18.130400000000002</v>
      </c>
      <c r="AE492">
        <v>18.130500000000001</v>
      </c>
      <c r="AF492" t="s">
        <v>67</v>
      </c>
      <c r="AG492" t="s">
        <v>67</v>
      </c>
      <c r="AH492" t="s">
        <v>3894</v>
      </c>
      <c r="AI492" t="s">
        <v>3894</v>
      </c>
      <c r="AJ492" t="s">
        <v>3895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3896</v>
      </c>
      <c r="AT492" t="s">
        <v>3890</v>
      </c>
      <c r="AU492" t="s">
        <v>3897</v>
      </c>
      <c r="AV492" t="s">
        <v>3898</v>
      </c>
      <c r="AW492">
        <v>2</v>
      </c>
      <c r="AX492">
        <v>0</v>
      </c>
    </row>
    <row r="493" spans="1:50" x14ac:dyDescent="0.25">
      <c r="A493" t="s">
        <v>4455</v>
      </c>
      <c r="B493" t="s">
        <v>3889</v>
      </c>
      <c r="C493" t="s">
        <v>3890</v>
      </c>
      <c r="D493">
        <v>29.81</v>
      </c>
      <c r="E493">
        <v>29.760999999999999</v>
      </c>
      <c r="F493" s="2">
        <v>3.0999999999999999E-3</v>
      </c>
      <c r="G493" t="s">
        <v>2483</v>
      </c>
      <c r="H493" t="s">
        <v>2487</v>
      </c>
      <c r="I493">
        <v>440585.57510000002</v>
      </c>
      <c r="J493">
        <v>1827998.7505000001</v>
      </c>
      <c r="K493">
        <v>440585.57510000002</v>
      </c>
      <c r="L493">
        <v>1827982.6984000001</v>
      </c>
      <c r="M493" t="s">
        <v>56</v>
      </c>
      <c r="N493" t="s">
        <v>57</v>
      </c>
      <c r="O493">
        <v>450</v>
      </c>
      <c r="P493" t="s">
        <v>3891</v>
      </c>
      <c r="Q493" t="s">
        <v>3892</v>
      </c>
      <c r="R493" t="s">
        <v>2481</v>
      </c>
      <c r="S493" t="s">
        <v>2485</v>
      </c>
      <c r="T493" t="s">
        <v>444</v>
      </c>
      <c r="U493">
        <v>0</v>
      </c>
      <c r="V493">
        <v>0</v>
      </c>
      <c r="W493" t="s">
        <v>52</v>
      </c>
      <c r="X493">
        <v>0.88249999999999995</v>
      </c>
      <c r="Y493">
        <v>1.0122</v>
      </c>
      <c r="Z493">
        <v>1.0122</v>
      </c>
      <c r="AA493">
        <v>0.88249999999999995</v>
      </c>
      <c r="AB493">
        <v>16.052099999999999</v>
      </c>
      <c r="AC493">
        <v>16.052199999999999</v>
      </c>
      <c r="AD493">
        <v>14.8543</v>
      </c>
      <c r="AE493">
        <v>14.8543</v>
      </c>
      <c r="AF493" t="s">
        <v>2233</v>
      </c>
      <c r="AG493" t="s">
        <v>2233</v>
      </c>
      <c r="AH493" t="s">
        <v>3894</v>
      </c>
      <c r="AI493" t="s">
        <v>3894</v>
      </c>
      <c r="AJ493" t="s">
        <v>3895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3896</v>
      </c>
      <c r="AT493" t="s">
        <v>3890</v>
      </c>
      <c r="AU493" t="s">
        <v>3897</v>
      </c>
      <c r="AV493" t="s">
        <v>3898</v>
      </c>
      <c r="AW493">
        <v>2</v>
      </c>
      <c r="AX493">
        <v>0</v>
      </c>
    </row>
    <row r="494" spans="1:50" x14ac:dyDescent="0.25">
      <c r="A494" t="s">
        <v>4456</v>
      </c>
      <c r="B494" t="s">
        <v>3889</v>
      </c>
      <c r="C494" t="s">
        <v>3890</v>
      </c>
      <c r="D494">
        <v>29.366</v>
      </c>
      <c r="E494">
        <v>29.303000000000001</v>
      </c>
      <c r="F494" s="2">
        <v>3.0000000000000001E-3</v>
      </c>
      <c r="G494" t="s">
        <v>3465</v>
      </c>
      <c r="H494" t="s">
        <v>120</v>
      </c>
      <c r="I494">
        <v>440398.47509999998</v>
      </c>
      <c r="J494">
        <v>1827489.7609000001</v>
      </c>
      <c r="K494">
        <v>440398.47509999998</v>
      </c>
      <c r="L494">
        <v>1827510.9155999999</v>
      </c>
      <c r="M494" t="s">
        <v>56</v>
      </c>
      <c r="N494" t="s">
        <v>57</v>
      </c>
      <c r="O494">
        <v>450</v>
      </c>
      <c r="P494" t="s">
        <v>3891</v>
      </c>
      <c r="Q494" t="s">
        <v>3892</v>
      </c>
      <c r="R494" t="s">
        <v>107</v>
      </c>
      <c r="S494" s="1" t="s">
        <v>865</v>
      </c>
      <c r="T494" t="s">
        <v>122</v>
      </c>
      <c r="U494">
        <v>-2.0000000000000001E-4</v>
      </c>
      <c r="V494">
        <v>-2.0000000000000001E-4</v>
      </c>
      <c r="W494" t="s">
        <v>52</v>
      </c>
      <c r="X494">
        <v>0.87949999999999995</v>
      </c>
      <c r="Y494">
        <v>0.92390000000000005</v>
      </c>
      <c r="Z494">
        <v>0.92390000000000005</v>
      </c>
      <c r="AA494">
        <v>0.87949999999999995</v>
      </c>
      <c r="AB494">
        <v>21.154699999999998</v>
      </c>
      <c r="AC494">
        <v>21.154800000000002</v>
      </c>
      <c r="AD494">
        <v>19.956800000000001</v>
      </c>
      <c r="AE494">
        <v>19.956800000000001</v>
      </c>
      <c r="AF494" t="s">
        <v>67</v>
      </c>
      <c r="AG494" t="s">
        <v>67</v>
      </c>
      <c r="AH494" t="s">
        <v>3894</v>
      </c>
      <c r="AI494" t="s">
        <v>3894</v>
      </c>
      <c r="AJ494" t="s">
        <v>3895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3896</v>
      </c>
      <c r="AT494" t="s">
        <v>3890</v>
      </c>
      <c r="AU494" t="s">
        <v>3897</v>
      </c>
      <c r="AV494" t="s">
        <v>3898</v>
      </c>
      <c r="AW494">
        <v>2</v>
      </c>
      <c r="AX494">
        <v>0</v>
      </c>
    </row>
    <row r="495" spans="1:50" x14ac:dyDescent="0.25">
      <c r="A495" t="s">
        <v>4457</v>
      </c>
      <c r="B495" t="s">
        <v>3889</v>
      </c>
      <c r="C495" t="s">
        <v>3890</v>
      </c>
      <c r="D495">
        <v>31.611999999999998</v>
      </c>
      <c r="E495">
        <v>31.59</v>
      </c>
      <c r="F495" s="2">
        <v>3.0999999999999999E-3</v>
      </c>
      <c r="G495" t="s">
        <v>3290</v>
      </c>
      <c r="H495" t="s">
        <v>3293</v>
      </c>
      <c r="I495">
        <v>440127.17489999998</v>
      </c>
      <c r="J495">
        <v>1827367.8488</v>
      </c>
      <c r="K495">
        <v>440127.17489999998</v>
      </c>
      <c r="L495">
        <v>1827374.8986</v>
      </c>
      <c r="M495" t="s">
        <v>56</v>
      </c>
      <c r="N495" t="s">
        <v>57</v>
      </c>
      <c r="O495">
        <v>450</v>
      </c>
      <c r="P495" t="s">
        <v>3891</v>
      </c>
      <c r="Q495" t="s">
        <v>3892</v>
      </c>
      <c r="R495" t="s">
        <v>3278</v>
      </c>
      <c r="S495" t="s">
        <v>3241</v>
      </c>
      <c r="T495" t="s">
        <v>2477</v>
      </c>
      <c r="U495">
        <v>-6.9999999999999999E-4</v>
      </c>
      <c r="V495">
        <v>-6.9999999999999999E-4</v>
      </c>
      <c r="W495" t="s">
        <v>52</v>
      </c>
      <c r="X495">
        <v>0.88219999999999998</v>
      </c>
      <c r="Y495">
        <v>0.93259999999999998</v>
      </c>
      <c r="Z495">
        <v>0.93259999999999998</v>
      </c>
      <c r="AA495">
        <v>0.88219999999999998</v>
      </c>
      <c r="AB495">
        <v>7.1997999999999998</v>
      </c>
      <c r="AC495">
        <v>7.1997999999999998</v>
      </c>
      <c r="AD495">
        <v>6.3019999999999996</v>
      </c>
      <c r="AE495">
        <v>6.3019999999999996</v>
      </c>
      <c r="AF495" t="s">
        <v>3973</v>
      </c>
      <c r="AG495" t="s">
        <v>3973</v>
      </c>
      <c r="AH495" t="s">
        <v>3894</v>
      </c>
      <c r="AI495" t="s">
        <v>3894</v>
      </c>
      <c r="AJ495" t="s">
        <v>3895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3896</v>
      </c>
      <c r="AT495" t="s">
        <v>3890</v>
      </c>
      <c r="AU495" t="s">
        <v>3897</v>
      </c>
      <c r="AV495" t="s">
        <v>3898</v>
      </c>
      <c r="AW495">
        <v>2</v>
      </c>
      <c r="AX495">
        <v>0</v>
      </c>
    </row>
    <row r="496" spans="1:50" x14ac:dyDescent="0.25">
      <c r="A496" t="s">
        <v>4458</v>
      </c>
      <c r="B496" t="s">
        <v>3889</v>
      </c>
      <c r="C496" t="s">
        <v>3890</v>
      </c>
      <c r="D496">
        <v>29.812999999999999</v>
      </c>
      <c r="E496">
        <v>29.765999999999998</v>
      </c>
      <c r="F496" s="2">
        <v>3.0999999999999999E-3</v>
      </c>
      <c r="G496" t="s">
        <v>2115</v>
      </c>
      <c r="H496" t="s">
        <v>2119</v>
      </c>
      <c r="I496">
        <v>440299.1249</v>
      </c>
      <c r="J496">
        <v>1827810.0248</v>
      </c>
      <c r="K496">
        <v>440314.27490000002</v>
      </c>
      <c r="L496">
        <v>1827810.0248</v>
      </c>
      <c r="M496" t="s">
        <v>56</v>
      </c>
      <c r="N496" t="s">
        <v>57</v>
      </c>
      <c r="O496">
        <v>450</v>
      </c>
      <c r="P496" t="s">
        <v>3891</v>
      </c>
      <c r="Q496" t="s">
        <v>3892</v>
      </c>
      <c r="R496" t="s">
        <v>2108</v>
      </c>
      <c r="S496" t="s">
        <v>4286</v>
      </c>
      <c r="T496" t="s">
        <v>4459</v>
      </c>
      <c r="U496">
        <v>-2.0799999999999999E-2</v>
      </c>
      <c r="V496">
        <v>-2.0799999999999999E-2</v>
      </c>
      <c r="W496" t="s">
        <v>52</v>
      </c>
      <c r="X496">
        <v>0.87560000000000004</v>
      </c>
      <c r="Y496">
        <v>1.1879</v>
      </c>
      <c r="Z496">
        <v>1.1879</v>
      </c>
      <c r="AA496">
        <v>0.87560000000000004</v>
      </c>
      <c r="AB496">
        <v>15.15</v>
      </c>
      <c r="AC496">
        <v>15.1501</v>
      </c>
      <c r="AD496">
        <v>13.952199999999999</v>
      </c>
      <c r="AE496">
        <v>13.952199999999999</v>
      </c>
      <c r="AF496" t="s">
        <v>183</v>
      </c>
      <c r="AG496" t="s">
        <v>183</v>
      </c>
      <c r="AH496" t="s">
        <v>3894</v>
      </c>
      <c r="AI496" t="s">
        <v>3894</v>
      </c>
      <c r="AJ496" t="s">
        <v>3895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3896</v>
      </c>
      <c r="AT496" t="s">
        <v>3890</v>
      </c>
      <c r="AU496" t="s">
        <v>3897</v>
      </c>
      <c r="AV496" t="s">
        <v>3898</v>
      </c>
      <c r="AW496">
        <v>2</v>
      </c>
      <c r="AX496">
        <v>0</v>
      </c>
    </row>
    <row r="497" spans="1:50" x14ac:dyDescent="0.25">
      <c r="A497" t="s">
        <v>4460</v>
      </c>
      <c r="B497" t="s">
        <v>4065</v>
      </c>
      <c r="C497" t="s">
        <v>3890</v>
      </c>
      <c r="D497">
        <v>28.536999999999999</v>
      </c>
      <c r="E497">
        <v>28.48</v>
      </c>
      <c r="F497" s="2">
        <v>3.0000000000000001E-3</v>
      </c>
      <c r="G497" t="s">
        <v>3158</v>
      </c>
      <c r="H497" t="s">
        <v>3162</v>
      </c>
      <c r="I497">
        <v>440482.69179999997</v>
      </c>
      <c r="J497">
        <v>1827375.1486</v>
      </c>
      <c r="K497">
        <v>440501.75569999998</v>
      </c>
      <c r="L497">
        <v>1827375.1486</v>
      </c>
      <c r="M497" t="s">
        <v>56</v>
      </c>
      <c r="N497" t="s">
        <v>57</v>
      </c>
      <c r="O497">
        <v>900</v>
      </c>
      <c r="P497" t="s">
        <v>58</v>
      </c>
      <c r="Q497" t="s">
        <v>3919</v>
      </c>
      <c r="R497" t="s">
        <v>3089</v>
      </c>
      <c r="S497" t="s">
        <v>3160</v>
      </c>
      <c r="T497" t="s">
        <v>3164</v>
      </c>
      <c r="U497">
        <v>-2.5000000000000001E-2</v>
      </c>
      <c r="V497">
        <v>-2.5000000000000001E-2</v>
      </c>
      <c r="W497" t="s">
        <v>52</v>
      </c>
      <c r="X497">
        <v>1.5019</v>
      </c>
      <c r="Y497">
        <v>1.5609999999999999</v>
      </c>
      <c r="Z497">
        <v>1.5609999999999999</v>
      </c>
      <c r="AA497">
        <v>1.5019</v>
      </c>
      <c r="AB497">
        <v>19.0639</v>
      </c>
      <c r="AC497">
        <v>19.064</v>
      </c>
      <c r="AD497">
        <v>17.8675</v>
      </c>
      <c r="AE497">
        <v>17.8675</v>
      </c>
      <c r="AF497" t="s">
        <v>183</v>
      </c>
      <c r="AG497" t="s">
        <v>183</v>
      </c>
      <c r="AH497" t="s">
        <v>3894</v>
      </c>
      <c r="AI497" t="s">
        <v>3894</v>
      </c>
      <c r="AJ497" t="s">
        <v>3895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3896</v>
      </c>
      <c r="AT497" t="s">
        <v>3890</v>
      </c>
      <c r="AU497" t="s">
        <v>4066</v>
      </c>
      <c r="AV497" t="s">
        <v>3898</v>
      </c>
      <c r="AW497">
        <v>2</v>
      </c>
      <c r="AX497">
        <v>0</v>
      </c>
    </row>
    <row r="498" spans="1:50" x14ac:dyDescent="0.25">
      <c r="A498" t="s">
        <v>4461</v>
      </c>
      <c r="B498" t="s">
        <v>3933</v>
      </c>
      <c r="C498" t="s">
        <v>3890</v>
      </c>
      <c r="D498">
        <v>32.53</v>
      </c>
      <c r="E498">
        <v>32.499000000000002</v>
      </c>
      <c r="F498" s="2">
        <v>2.8999999999999998E-3</v>
      </c>
      <c r="G498" t="s">
        <v>1824</v>
      </c>
      <c r="H498" t="s">
        <v>1828</v>
      </c>
      <c r="I498">
        <v>440121.84950000001</v>
      </c>
      <c r="J498">
        <v>1828102.5588</v>
      </c>
      <c r="K498">
        <v>440121.84950000001</v>
      </c>
      <c r="L498">
        <v>1828091.8088</v>
      </c>
      <c r="M498" t="s">
        <v>56</v>
      </c>
      <c r="N498" t="s">
        <v>57</v>
      </c>
      <c r="O498">
        <v>750</v>
      </c>
      <c r="P498" t="s">
        <v>58</v>
      </c>
      <c r="Q498" t="s">
        <v>3919</v>
      </c>
      <c r="R498" t="s">
        <v>395</v>
      </c>
      <c r="S498" t="s">
        <v>4462</v>
      </c>
      <c r="T498" t="s">
        <v>4463</v>
      </c>
      <c r="U498">
        <v>-9.7100000000000006E-2</v>
      </c>
      <c r="V498">
        <v>-9.7100000000000006E-2</v>
      </c>
      <c r="W498" t="s">
        <v>52</v>
      </c>
      <c r="X498">
        <v>0.83309999999999995</v>
      </c>
      <c r="Y498">
        <v>0.95569999999999999</v>
      </c>
      <c r="Z498">
        <v>0.8962</v>
      </c>
      <c r="AA498">
        <v>0.84250000000000003</v>
      </c>
      <c r="AB498">
        <v>10.548299999999999</v>
      </c>
      <c r="AC498">
        <v>10.548400000000001</v>
      </c>
      <c r="AD498">
        <v>9.3513000000000002</v>
      </c>
      <c r="AE498">
        <v>9.3513999999999999</v>
      </c>
      <c r="AF498" t="s">
        <v>2233</v>
      </c>
      <c r="AG498" t="s">
        <v>2233</v>
      </c>
      <c r="AH498" t="s">
        <v>3894</v>
      </c>
      <c r="AI498" t="s">
        <v>3894</v>
      </c>
      <c r="AJ498" t="s">
        <v>3895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3896</v>
      </c>
      <c r="AT498" t="s">
        <v>3890</v>
      </c>
      <c r="AU498" t="s">
        <v>3935</v>
      </c>
      <c r="AV498" t="s">
        <v>3898</v>
      </c>
      <c r="AW498">
        <v>2</v>
      </c>
      <c r="AX498">
        <v>0</v>
      </c>
    </row>
    <row r="499" spans="1:50" x14ac:dyDescent="0.25">
      <c r="A499" t="s">
        <v>4464</v>
      </c>
      <c r="B499" t="s">
        <v>3917</v>
      </c>
      <c r="C499" t="s">
        <v>3890</v>
      </c>
      <c r="D499">
        <v>28.271000000000001</v>
      </c>
      <c r="E499">
        <v>28.212</v>
      </c>
      <c r="F499" s="2">
        <v>3.0000000000000001E-3</v>
      </c>
      <c r="G499" t="s">
        <v>139</v>
      </c>
      <c r="H499" t="s">
        <v>900</v>
      </c>
      <c r="I499">
        <v>440280.33559999999</v>
      </c>
      <c r="J499">
        <v>1827531.6088</v>
      </c>
      <c r="K499">
        <v>440300.25550000003</v>
      </c>
      <c r="L499">
        <v>1827531.6088</v>
      </c>
      <c r="M499" t="s">
        <v>56</v>
      </c>
      <c r="N499" t="s">
        <v>57</v>
      </c>
      <c r="O499">
        <v>750</v>
      </c>
      <c r="P499" t="s">
        <v>3918</v>
      </c>
      <c r="Q499" t="s">
        <v>3919</v>
      </c>
      <c r="R499" t="s">
        <v>141</v>
      </c>
      <c r="S499" t="s">
        <v>142</v>
      </c>
      <c r="T499" t="s">
        <v>902</v>
      </c>
      <c r="U499">
        <v>5.8400000000000001E-2</v>
      </c>
      <c r="V499">
        <v>5.8400000000000001E-2</v>
      </c>
      <c r="W499" t="s">
        <v>52</v>
      </c>
      <c r="X499">
        <v>1.7533000000000001</v>
      </c>
      <c r="Y499">
        <v>1.8048</v>
      </c>
      <c r="Z499">
        <v>1.8048</v>
      </c>
      <c r="AA499">
        <v>1.7533000000000001</v>
      </c>
      <c r="AB499">
        <v>19.919899999999998</v>
      </c>
      <c r="AC499">
        <v>19.920000000000002</v>
      </c>
      <c r="AD499">
        <v>18.722999999999999</v>
      </c>
      <c r="AE499">
        <v>18.723099999999999</v>
      </c>
      <c r="AF499" t="s">
        <v>3920</v>
      </c>
      <c r="AG499" t="s">
        <v>3920</v>
      </c>
      <c r="AH499" t="s">
        <v>3894</v>
      </c>
      <c r="AI499" t="s">
        <v>3894</v>
      </c>
      <c r="AJ499" t="s">
        <v>3895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3896</v>
      </c>
      <c r="AT499" t="s">
        <v>3890</v>
      </c>
      <c r="AU499" t="s">
        <v>3921</v>
      </c>
      <c r="AV499" t="s">
        <v>3898</v>
      </c>
      <c r="AW499">
        <v>2</v>
      </c>
      <c r="AX499">
        <v>0</v>
      </c>
    </row>
    <row r="500" spans="1:50" x14ac:dyDescent="0.25">
      <c r="A500" t="s">
        <v>4465</v>
      </c>
      <c r="B500" t="s">
        <v>3889</v>
      </c>
      <c r="C500" t="s">
        <v>3890</v>
      </c>
      <c r="D500">
        <v>30.942</v>
      </c>
      <c r="E500">
        <v>30.882000000000001</v>
      </c>
      <c r="F500" s="2">
        <v>3.0000000000000001E-3</v>
      </c>
      <c r="G500" t="s">
        <v>336</v>
      </c>
      <c r="H500" t="s">
        <v>3383</v>
      </c>
      <c r="I500">
        <v>440258.3749</v>
      </c>
      <c r="J500">
        <v>1827335.0138999999</v>
      </c>
      <c r="K500">
        <v>440258.3749</v>
      </c>
      <c r="L500">
        <v>1827355.1909</v>
      </c>
      <c r="M500" t="s">
        <v>56</v>
      </c>
      <c r="N500" t="s">
        <v>57</v>
      </c>
      <c r="O500">
        <v>450</v>
      </c>
      <c r="P500" t="s">
        <v>3891</v>
      </c>
      <c r="Q500" t="s">
        <v>3892</v>
      </c>
      <c r="R500" t="s">
        <v>338</v>
      </c>
      <c r="S500" t="s">
        <v>339</v>
      </c>
      <c r="T500" t="s">
        <v>3369</v>
      </c>
      <c r="U500">
        <v>0</v>
      </c>
      <c r="V500">
        <v>0</v>
      </c>
      <c r="W500" t="s">
        <v>52</v>
      </c>
      <c r="X500">
        <v>0.90280000000000005</v>
      </c>
      <c r="Y500">
        <v>0.93469999999999998</v>
      </c>
      <c r="Z500">
        <v>0.93469999999999998</v>
      </c>
      <c r="AA500">
        <v>0.90280000000000005</v>
      </c>
      <c r="AB500">
        <v>20.177099999999999</v>
      </c>
      <c r="AC500">
        <v>20.177199999999999</v>
      </c>
      <c r="AD500">
        <v>18.979199999999999</v>
      </c>
      <c r="AE500">
        <v>18.979299999999999</v>
      </c>
      <c r="AF500" t="s">
        <v>67</v>
      </c>
      <c r="AG500" t="s">
        <v>67</v>
      </c>
      <c r="AH500" t="s">
        <v>3894</v>
      </c>
      <c r="AI500" t="s">
        <v>3894</v>
      </c>
      <c r="AJ500" t="s">
        <v>3895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3896</v>
      </c>
      <c r="AT500" t="s">
        <v>3890</v>
      </c>
      <c r="AU500" t="s">
        <v>3897</v>
      </c>
      <c r="AV500" t="s">
        <v>3898</v>
      </c>
      <c r="AW500">
        <v>2</v>
      </c>
      <c r="AX500">
        <v>0</v>
      </c>
    </row>
    <row r="501" spans="1:50" x14ac:dyDescent="0.25">
      <c r="A501" t="s">
        <v>4466</v>
      </c>
      <c r="B501" t="s">
        <v>3963</v>
      </c>
      <c r="C501" t="s">
        <v>3890</v>
      </c>
      <c r="D501">
        <v>31.831</v>
      </c>
      <c r="E501">
        <v>31.771000000000001</v>
      </c>
      <c r="F501" s="2">
        <v>3.0000000000000001E-3</v>
      </c>
      <c r="G501" t="s">
        <v>1374</v>
      </c>
      <c r="H501" t="s">
        <v>1378</v>
      </c>
      <c r="I501">
        <v>440053.69949999999</v>
      </c>
      <c r="J501">
        <v>1827699.5242000001</v>
      </c>
      <c r="K501">
        <v>440053.69949999999</v>
      </c>
      <c r="L501">
        <v>1827679.3526999999</v>
      </c>
      <c r="M501" t="s">
        <v>56</v>
      </c>
      <c r="N501" t="s">
        <v>57</v>
      </c>
      <c r="O501">
        <v>600</v>
      </c>
      <c r="P501" t="s">
        <v>3891</v>
      </c>
      <c r="Q501" t="s">
        <v>3892</v>
      </c>
      <c r="R501" t="s">
        <v>381</v>
      </c>
      <c r="S501" t="s">
        <v>1376</v>
      </c>
      <c r="T501" t="s">
        <v>1380</v>
      </c>
      <c r="U501">
        <v>4.4400000000000002E-2</v>
      </c>
      <c r="V501">
        <v>3.8399999999999997E-2</v>
      </c>
      <c r="W501" t="s">
        <v>52</v>
      </c>
      <c r="X501">
        <v>0.89159999999999995</v>
      </c>
      <c r="Y501">
        <v>0.93879999999999997</v>
      </c>
      <c r="Z501">
        <v>0.93879999999999997</v>
      </c>
      <c r="AA501">
        <v>0.89159999999999995</v>
      </c>
      <c r="AB501">
        <v>20.171500000000002</v>
      </c>
      <c r="AC501">
        <v>20.171600000000002</v>
      </c>
      <c r="AD501">
        <v>18.974</v>
      </c>
      <c r="AE501">
        <v>18.9741</v>
      </c>
      <c r="AF501" t="s">
        <v>2233</v>
      </c>
      <c r="AG501" t="s">
        <v>2233</v>
      </c>
      <c r="AH501" t="s">
        <v>3894</v>
      </c>
      <c r="AI501" t="s">
        <v>3894</v>
      </c>
      <c r="AJ501" t="s">
        <v>3895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3896</v>
      </c>
      <c r="AT501" t="s">
        <v>3890</v>
      </c>
      <c r="AU501" t="s">
        <v>3964</v>
      </c>
      <c r="AV501" t="s">
        <v>3898</v>
      </c>
      <c r="AW501">
        <v>2</v>
      </c>
      <c r="AX501">
        <v>0</v>
      </c>
    </row>
    <row r="502" spans="1:50" x14ac:dyDescent="0.25">
      <c r="A502" t="s">
        <v>4467</v>
      </c>
      <c r="B502" t="s">
        <v>3933</v>
      </c>
      <c r="C502" t="s">
        <v>3890</v>
      </c>
      <c r="D502">
        <v>30.763000000000002</v>
      </c>
      <c r="E502">
        <v>30.704000000000001</v>
      </c>
      <c r="F502" s="2">
        <v>3.0000000000000001E-3</v>
      </c>
      <c r="G502" t="s">
        <v>1013</v>
      </c>
      <c r="H502" t="s">
        <v>1017</v>
      </c>
      <c r="I502">
        <v>440217.59980000003</v>
      </c>
      <c r="J502">
        <v>1827881.8171000001</v>
      </c>
      <c r="K502">
        <v>440217.59980000003</v>
      </c>
      <c r="L502">
        <v>1827861.9717000001</v>
      </c>
      <c r="M502" t="s">
        <v>56</v>
      </c>
      <c r="N502" t="s">
        <v>57</v>
      </c>
      <c r="O502">
        <v>750</v>
      </c>
      <c r="P502" t="s">
        <v>58</v>
      </c>
      <c r="Q502" t="s">
        <v>3919</v>
      </c>
      <c r="R502" t="s">
        <v>151</v>
      </c>
      <c r="S502" t="s">
        <v>1015</v>
      </c>
      <c r="T502" t="s">
        <v>1019</v>
      </c>
      <c r="U502">
        <v>6.5000000000000002E-2</v>
      </c>
      <c r="V502">
        <v>5.4199999999999998E-2</v>
      </c>
      <c r="W502" t="s">
        <v>52</v>
      </c>
      <c r="X502">
        <v>1.0531999999999999</v>
      </c>
      <c r="Y502">
        <v>1.1026</v>
      </c>
      <c r="Z502">
        <v>1.1026</v>
      </c>
      <c r="AA502">
        <v>1.0531999999999999</v>
      </c>
      <c r="AB502">
        <v>19.845400000000001</v>
      </c>
      <c r="AC502">
        <v>19.845500000000001</v>
      </c>
      <c r="AD502">
        <v>18.648499999999999</v>
      </c>
      <c r="AE502">
        <v>18.648599999999998</v>
      </c>
      <c r="AF502" t="s">
        <v>2233</v>
      </c>
      <c r="AG502" t="s">
        <v>2233</v>
      </c>
      <c r="AH502" t="s">
        <v>3894</v>
      </c>
      <c r="AI502" t="s">
        <v>3894</v>
      </c>
      <c r="AJ502" t="s">
        <v>3895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3896</v>
      </c>
      <c r="AT502" t="s">
        <v>3890</v>
      </c>
      <c r="AU502" t="s">
        <v>3935</v>
      </c>
      <c r="AV502" t="s">
        <v>3898</v>
      </c>
      <c r="AW502">
        <v>2</v>
      </c>
      <c r="AX502">
        <v>0</v>
      </c>
    </row>
    <row r="503" spans="1:50" x14ac:dyDescent="0.25">
      <c r="A503" t="s">
        <v>4468</v>
      </c>
      <c r="B503" t="s">
        <v>3928</v>
      </c>
      <c r="C503" t="s">
        <v>3890</v>
      </c>
      <c r="D503">
        <v>29.4</v>
      </c>
      <c r="E503">
        <v>29.344000000000001</v>
      </c>
      <c r="F503" s="2">
        <v>3.0000000000000001E-3</v>
      </c>
      <c r="G503" t="s">
        <v>2060</v>
      </c>
      <c r="H503" t="s">
        <v>130</v>
      </c>
      <c r="I503">
        <v>440132.49949999998</v>
      </c>
      <c r="J503">
        <v>1827550.2588</v>
      </c>
      <c r="K503">
        <v>440151.1139</v>
      </c>
      <c r="L503">
        <v>1827550.2588</v>
      </c>
      <c r="M503" t="s">
        <v>56</v>
      </c>
      <c r="N503" t="s">
        <v>57</v>
      </c>
      <c r="O503">
        <v>900</v>
      </c>
      <c r="P503" t="s">
        <v>3929</v>
      </c>
      <c r="Q503" t="s">
        <v>3930</v>
      </c>
      <c r="R503" t="s">
        <v>132</v>
      </c>
      <c r="S503" t="s">
        <v>2062</v>
      </c>
      <c r="T503" t="s">
        <v>133</v>
      </c>
      <c r="U503">
        <v>-0.05</v>
      </c>
      <c r="V503">
        <v>-0.05</v>
      </c>
      <c r="W503" t="s">
        <v>52</v>
      </c>
      <c r="X503">
        <v>1.2795000000000001</v>
      </c>
      <c r="Y503">
        <v>1.3293999999999999</v>
      </c>
      <c r="Z503">
        <v>1.3293999999999999</v>
      </c>
      <c r="AA503">
        <v>1.2795000000000001</v>
      </c>
      <c r="AB503">
        <v>18.6144</v>
      </c>
      <c r="AC503">
        <v>18.6145</v>
      </c>
      <c r="AD503">
        <v>17.418199999999999</v>
      </c>
      <c r="AE503">
        <v>17.418199999999999</v>
      </c>
      <c r="AF503" t="s">
        <v>3920</v>
      </c>
      <c r="AG503" t="s">
        <v>3920</v>
      </c>
      <c r="AH503" t="s">
        <v>3894</v>
      </c>
      <c r="AI503" t="s">
        <v>3894</v>
      </c>
      <c r="AJ503" t="s">
        <v>3895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3896</v>
      </c>
      <c r="AT503" t="s">
        <v>3890</v>
      </c>
      <c r="AU503" t="s">
        <v>3931</v>
      </c>
      <c r="AV503" t="s">
        <v>3898</v>
      </c>
      <c r="AW503">
        <v>2</v>
      </c>
      <c r="AX503">
        <v>0</v>
      </c>
    </row>
    <row r="504" spans="1:50" x14ac:dyDescent="0.25">
      <c r="A504" t="s">
        <v>4469</v>
      </c>
      <c r="B504" t="s">
        <v>3889</v>
      </c>
      <c r="C504" t="s">
        <v>3890</v>
      </c>
      <c r="D504">
        <v>29.614000000000001</v>
      </c>
      <c r="E504">
        <v>29.562000000000001</v>
      </c>
      <c r="F504" s="2">
        <v>3.0999999999999999E-3</v>
      </c>
      <c r="G504" t="s">
        <v>3471</v>
      </c>
      <c r="H504" t="s">
        <v>3483</v>
      </c>
      <c r="I504">
        <v>440370.42509999999</v>
      </c>
      <c r="J504">
        <v>1827425.1986</v>
      </c>
      <c r="K504">
        <v>440387.3751</v>
      </c>
      <c r="L504">
        <v>1827425.1986</v>
      </c>
      <c r="M504" t="s">
        <v>56</v>
      </c>
      <c r="N504" t="s">
        <v>57</v>
      </c>
      <c r="O504">
        <v>450</v>
      </c>
      <c r="P504" t="s">
        <v>3891</v>
      </c>
      <c r="Q504" t="s">
        <v>3892</v>
      </c>
      <c r="R504" t="s">
        <v>80</v>
      </c>
      <c r="S504" t="s">
        <v>529</v>
      </c>
      <c r="T504" t="s">
        <v>2378</v>
      </c>
      <c r="U504">
        <v>-1.2999999999999999E-3</v>
      </c>
      <c r="V504">
        <v>-6.8999999999999999E-3</v>
      </c>
      <c r="W504" t="s">
        <v>52</v>
      </c>
      <c r="X504">
        <v>0.83919999999999995</v>
      </c>
      <c r="Y504">
        <v>1.1471</v>
      </c>
      <c r="Z504">
        <v>1.1471</v>
      </c>
      <c r="AA504">
        <v>0.85860000000000003</v>
      </c>
      <c r="AB504">
        <v>17.175699999999999</v>
      </c>
      <c r="AC504">
        <v>17.175699999999999</v>
      </c>
      <c r="AD504">
        <v>16.202100000000002</v>
      </c>
      <c r="AE504">
        <v>16.202200000000001</v>
      </c>
      <c r="AF504" t="s">
        <v>183</v>
      </c>
      <c r="AG504" t="s">
        <v>183</v>
      </c>
      <c r="AH504" t="s">
        <v>3894</v>
      </c>
      <c r="AI504" t="s">
        <v>3894</v>
      </c>
      <c r="AJ504" t="s">
        <v>3895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3896</v>
      </c>
      <c r="AT504" t="s">
        <v>3890</v>
      </c>
      <c r="AU504" t="s">
        <v>3897</v>
      </c>
      <c r="AV504" t="s">
        <v>3898</v>
      </c>
      <c r="AW504">
        <v>2</v>
      </c>
      <c r="AX504">
        <v>0</v>
      </c>
    </row>
    <row r="505" spans="1:50" x14ac:dyDescent="0.25">
      <c r="A505" t="s">
        <v>4470</v>
      </c>
      <c r="B505" t="s">
        <v>3889</v>
      </c>
      <c r="C505" t="s">
        <v>3890</v>
      </c>
      <c r="D505">
        <v>29.678999999999998</v>
      </c>
      <c r="E505">
        <v>29.626999999999999</v>
      </c>
      <c r="F505" s="2">
        <v>3.0999999999999999E-3</v>
      </c>
      <c r="G505" t="s">
        <v>3476</v>
      </c>
      <c r="H505" t="s">
        <v>3479</v>
      </c>
      <c r="I505">
        <v>440370.42509999999</v>
      </c>
      <c r="J505">
        <v>1827415.4986</v>
      </c>
      <c r="K505">
        <v>440387.3751</v>
      </c>
      <c r="L505">
        <v>1827415.4986</v>
      </c>
      <c r="M505" t="s">
        <v>56</v>
      </c>
      <c r="N505" t="s">
        <v>57</v>
      </c>
      <c r="O505">
        <v>450</v>
      </c>
      <c r="P505" t="s">
        <v>3891</v>
      </c>
      <c r="Q505" t="s">
        <v>3892</v>
      </c>
      <c r="R505" t="s">
        <v>85</v>
      </c>
      <c r="S505" t="s">
        <v>529</v>
      </c>
      <c r="T505" t="s">
        <v>2378</v>
      </c>
      <c r="U505">
        <v>-9.98E-2</v>
      </c>
      <c r="V505">
        <v>-9.7900000000000001E-2</v>
      </c>
      <c r="W505" t="s">
        <v>52</v>
      </c>
      <c r="X505">
        <v>0.84189999999999998</v>
      </c>
      <c r="Y505">
        <v>1.0821000000000001</v>
      </c>
      <c r="Z505">
        <v>1.0821000000000001</v>
      </c>
      <c r="AA505">
        <v>0.86509999999999998</v>
      </c>
      <c r="AB505">
        <v>17.177099999999999</v>
      </c>
      <c r="AC505">
        <v>17.177199999999999</v>
      </c>
      <c r="AD505">
        <v>16.202100000000002</v>
      </c>
      <c r="AE505">
        <v>16.202200000000001</v>
      </c>
      <c r="AF505" t="s">
        <v>183</v>
      </c>
      <c r="AG505" t="s">
        <v>183</v>
      </c>
      <c r="AH505" t="s">
        <v>3894</v>
      </c>
      <c r="AI505" t="s">
        <v>3894</v>
      </c>
      <c r="AJ505" t="s">
        <v>3895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3896</v>
      </c>
      <c r="AT505" t="s">
        <v>3890</v>
      </c>
      <c r="AU505" t="s">
        <v>3897</v>
      </c>
      <c r="AV505" t="s">
        <v>3898</v>
      </c>
      <c r="AW505">
        <v>2</v>
      </c>
      <c r="AX505">
        <v>0</v>
      </c>
    </row>
    <row r="506" spans="1:50" x14ac:dyDescent="0.25">
      <c r="A506" t="s">
        <v>4471</v>
      </c>
      <c r="B506" t="s">
        <v>3947</v>
      </c>
      <c r="C506" t="s">
        <v>3890</v>
      </c>
      <c r="D506">
        <v>28.004000000000001</v>
      </c>
      <c r="E506">
        <v>27.882999999999999</v>
      </c>
      <c r="F506" s="2">
        <v>5.5999999999999999E-3</v>
      </c>
      <c r="G506" t="s">
        <v>3560</v>
      </c>
      <c r="H506" t="s">
        <v>3564</v>
      </c>
      <c r="I506">
        <v>440464.0001</v>
      </c>
      <c r="J506">
        <v>1827531.7827000001</v>
      </c>
      <c r="K506">
        <v>440485.80129999999</v>
      </c>
      <c r="L506">
        <v>1827531.7822</v>
      </c>
      <c r="M506" t="s">
        <v>56</v>
      </c>
      <c r="N506" t="s">
        <v>57</v>
      </c>
      <c r="O506">
        <v>1050</v>
      </c>
      <c r="P506" t="s">
        <v>3918</v>
      </c>
      <c r="Q506" t="s">
        <v>3930</v>
      </c>
      <c r="R506" t="s">
        <v>141</v>
      </c>
      <c r="S506" t="s">
        <v>3562</v>
      </c>
      <c r="T506" t="s">
        <v>3566</v>
      </c>
      <c r="U506">
        <v>0.23230000000000001</v>
      </c>
      <c r="V506">
        <v>0.23169999999999999</v>
      </c>
      <c r="W506" t="s">
        <v>52</v>
      </c>
      <c r="X506">
        <v>1.0250999999999999</v>
      </c>
      <c r="Y506">
        <v>1.0251999999999999</v>
      </c>
      <c r="Z506">
        <v>1.0250999999999999</v>
      </c>
      <c r="AA506">
        <v>1.0251999999999999</v>
      </c>
      <c r="AB506">
        <v>21.801200000000001</v>
      </c>
      <c r="AC506">
        <v>21.801500000000001</v>
      </c>
      <c r="AD506">
        <v>21.205100000000002</v>
      </c>
      <c r="AE506">
        <v>21.205400000000001</v>
      </c>
      <c r="AF506" t="s">
        <v>4472</v>
      </c>
      <c r="AG506" t="s">
        <v>4472</v>
      </c>
      <c r="AH506" t="s">
        <v>3894</v>
      </c>
      <c r="AI506" t="s">
        <v>3894</v>
      </c>
      <c r="AJ506" t="s">
        <v>3895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3896</v>
      </c>
      <c r="AT506" t="s">
        <v>3890</v>
      </c>
      <c r="AU506" t="s">
        <v>3950</v>
      </c>
      <c r="AV506" t="s">
        <v>3898</v>
      </c>
      <c r="AW506">
        <v>2</v>
      </c>
      <c r="AX506">
        <v>0</v>
      </c>
    </row>
    <row r="507" spans="1:50" x14ac:dyDescent="0.25">
      <c r="A507" t="s">
        <v>4473</v>
      </c>
      <c r="B507" t="s">
        <v>3963</v>
      </c>
      <c r="C507" t="s">
        <v>3890</v>
      </c>
      <c r="D507">
        <v>31.323</v>
      </c>
      <c r="E507">
        <v>31.268999999999998</v>
      </c>
      <c r="F507" s="2">
        <v>3.0000000000000001E-3</v>
      </c>
      <c r="G507" t="s">
        <v>1390</v>
      </c>
      <c r="H507" t="s">
        <v>1394</v>
      </c>
      <c r="I507">
        <v>440053.69949999999</v>
      </c>
      <c r="J507">
        <v>1827604.1370000001</v>
      </c>
      <c r="K507">
        <v>440053.69949999999</v>
      </c>
      <c r="L507">
        <v>1827586.3441999999</v>
      </c>
      <c r="M507" t="s">
        <v>56</v>
      </c>
      <c r="N507" t="s">
        <v>57</v>
      </c>
      <c r="O507">
        <v>600</v>
      </c>
      <c r="P507" t="s">
        <v>3891</v>
      </c>
      <c r="Q507" t="s">
        <v>3892</v>
      </c>
      <c r="R507" t="s">
        <v>381</v>
      </c>
      <c r="S507" t="s">
        <v>1392</v>
      </c>
      <c r="T507" s="1" t="s">
        <v>1396</v>
      </c>
      <c r="U507">
        <v>1.61E-2</v>
      </c>
      <c r="V507">
        <v>1.0800000000000001E-2</v>
      </c>
      <c r="W507" t="s">
        <v>52</v>
      </c>
      <c r="X507">
        <v>0.8901</v>
      </c>
      <c r="Y507">
        <v>0.93240000000000001</v>
      </c>
      <c r="Z507">
        <v>0.93240000000000001</v>
      </c>
      <c r="AA507">
        <v>0.8901</v>
      </c>
      <c r="AB507">
        <v>17.7927</v>
      </c>
      <c r="AC507">
        <v>17.7928</v>
      </c>
      <c r="AD507">
        <v>16.595300000000002</v>
      </c>
      <c r="AE507">
        <v>16.595400000000001</v>
      </c>
      <c r="AF507" t="s">
        <v>2233</v>
      </c>
      <c r="AG507" t="s">
        <v>2233</v>
      </c>
      <c r="AH507" t="s">
        <v>3894</v>
      </c>
      <c r="AI507" t="s">
        <v>3894</v>
      </c>
      <c r="AJ507" t="s">
        <v>3895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3896</v>
      </c>
      <c r="AT507" t="s">
        <v>3890</v>
      </c>
      <c r="AU507" t="s">
        <v>3964</v>
      </c>
      <c r="AV507" t="s">
        <v>3898</v>
      </c>
      <c r="AW507">
        <v>2</v>
      </c>
      <c r="AX507">
        <v>0</v>
      </c>
    </row>
    <row r="508" spans="1:50" x14ac:dyDescent="0.25">
      <c r="A508" t="s">
        <v>4474</v>
      </c>
      <c r="B508" t="s">
        <v>3933</v>
      </c>
      <c r="C508" t="s">
        <v>3890</v>
      </c>
      <c r="D508">
        <v>29.576000000000001</v>
      </c>
      <c r="E508">
        <v>29.521000000000001</v>
      </c>
      <c r="F508" s="2">
        <v>3.0000000000000001E-3</v>
      </c>
      <c r="G508" t="s">
        <v>1050</v>
      </c>
      <c r="H508" t="s">
        <v>1106</v>
      </c>
      <c r="I508">
        <v>440217.59980000003</v>
      </c>
      <c r="J508">
        <v>1827721.8171000001</v>
      </c>
      <c r="K508">
        <v>440217.59980000003</v>
      </c>
      <c r="L508">
        <v>1827703.6144999999</v>
      </c>
      <c r="M508" t="s">
        <v>56</v>
      </c>
      <c r="N508" t="s">
        <v>57</v>
      </c>
      <c r="O508">
        <v>750</v>
      </c>
      <c r="P508" t="s">
        <v>58</v>
      </c>
      <c r="Q508" t="s">
        <v>3919</v>
      </c>
      <c r="R508" t="s">
        <v>151</v>
      </c>
      <c r="S508" t="s">
        <v>1052</v>
      </c>
      <c r="T508" t="s">
        <v>4475</v>
      </c>
      <c r="U508">
        <v>-2.1999999999999999E-2</v>
      </c>
      <c r="V508">
        <v>-3.1899999999999998E-2</v>
      </c>
      <c r="W508" t="s">
        <v>52</v>
      </c>
      <c r="X508">
        <v>1.3358000000000001</v>
      </c>
      <c r="Y508">
        <v>1.5693999999999999</v>
      </c>
      <c r="Z508">
        <v>1.5167999999999999</v>
      </c>
      <c r="AA508">
        <v>1.345</v>
      </c>
      <c r="AB508">
        <v>18.2026</v>
      </c>
      <c r="AC508">
        <v>18.2027</v>
      </c>
      <c r="AD508">
        <v>17.005800000000001</v>
      </c>
      <c r="AE508">
        <v>17.005800000000001</v>
      </c>
      <c r="AF508" t="s">
        <v>2233</v>
      </c>
      <c r="AG508" t="s">
        <v>2233</v>
      </c>
      <c r="AH508" t="s">
        <v>3894</v>
      </c>
      <c r="AI508" t="s">
        <v>3894</v>
      </c>
      <c r="AJ508" t="s">
        <v>3895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3896</v>
      </c>
      <c r="AT508" t="s">
        <v>3890</v>
      </c>
      <c r="AU508" t="s">
        <v>3935</v>
      </c>
      <c r="AV508" t="s">
        <v>3898</v>
      </c>
      <c r="AW508">
        <v>2</v>
      </c>
      <c r="AX508">
        <v>0</v>
      </c>
    </row>
    <row r="509" spans="1:50" x14ac:dyDescent="0.25">
      <c r="A509" t="s">
        <v>1596</v>
      </c>
      <c r="B509" t="s">
        <v>3889</v>
      </c>
      <c r="C509" t="s">
        <v>3890</v>
      </c>
      <c r="D509">
        <v>31.670999999999999</v>
      </c>
      <c r="E509">
        <v>31.617999999999999</v>
      </c>
      <c r="F509" s="2">
        <v>3.0000000000000001E-3</v>
      </c>
      <c r="G509" t="s">
        <v>1595</v>
      </c>
      <c r="H509" t="s">
        <v>1599</v>
      </c>
      <c r="I509">
        <v>439919.15749999997</v>
      </c>
      <c r="J509">
        <v>1827550.5338000001</v>
      </c>
      <c r="K509">
        <v>439936.8051</v>
      </c>
      <c r="L509">
        <v>1827550.5338000001</v>
      </c>
      <c r="M509" t="s">
        <v>56</v>
      </c>
      <c r="N509" t="s">
        <v>57</v>
      </c>
      <c r="O509">
        <v>450</v>
      </c>
      <c r="P509" t="s">
        <v>3891</v>
      </c>
      <c r="Q509" t="s">
        <v>3892</v>
      </c>
      <c r="R509" t="s">
        <v>132</v>
      </c>
      <c r="S509" s="1" t="s">
        <v>1597</v>
      </c>
      <c r="T509" s="1" t="s">
        <v>1601</v>
      </c>
      <c r="U509">
        <v>0.22500000000000001</v>
      </c>
      <c r="V509">
        <v>0.22500000000000001</v>
      </c>
      <c r="W509" t="s">
        <v>52</v>
      </c>
      <c r="X509">
        <v>0.88060000000000005</v>
      </c>
      <c r="Y509">
        <v>0.92800000000000005</v>
      </c>
      <c r="Z509">
        <v>0.92800000000000005</v>
      </c>
      <c r="AA509">
        <v>0.88060000000000005</v>
      </c>
      <c r="AB509">
        <v>17.647600000000001</v>
      </c>
      <c r="AC509">
        <v>17.647600000000001</v>
      </c>
      <c r="AD509">
        <v>16.4497</v>
      </c>
      <c r="AE509">
        <v>16.4497</v>
      </c>
      <c r="AF509" t="s">
        <v>3920</v>
      </c>
      <c r="AG509" t="s">
        <v>3920</v>
      </c>
      <c r="AH509" t="s">
        <v>3894</v>
      </c>
      <c r="AI509" t="s">
        <v>3894</v>
      </c>
      <c r="AJ509" t="s">
        <v>3895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3896</v>
      </c>
      <c r="AT509" t="s">
        <v>3890</v>
      </c>
      <c r="AU509" t="s">
        <v>3897</v>
      </c>
      <c r="AV509" t="s">
        <v>3898</v>
      </c>
      <c r="AW509">
        <v>2</v>
      </c>
      <c r="AX509">
        <v>0</v>
      </c>
    </row>
    <row r="510" spans="1:50" x14ac:dyDescent="0.25">
      <c r="A510" t="s">
        <v>2435</v>
      </c>
      <c r="B510" t="s">
        <v>3889</v>
      </c>
      <c r="C510" t="s">
        <v>3890</v>
      </c>
      <c r="D510">
        <v>30.434000000000001</v>
      </c>
      <c r="E510">
        <v>30.379000000000001</v>
      </c>
      <c r="F510" s="2">
        <v>3.0000000000000001E-3</v>
      </c>
      <c r="G510" t="s">
        <v>2434</v>
      </c>
      <c r="H510" t="s">
        <v>2439</v>
      </c>
      <c r="I510">
        <v>440529.67509999999</v>
      </c>
      <c r="J510">
        <v>1828034.4182</v>
      </c>
      <c r="K510">
        <v>440529.67509999999</v>
      </c>
      <c r="L510">
        <v>1828015.9413000001</v>
      </c>
      <c r="M510" t="s">
        <v>56</v>
      </c>
      <c r="N510" t="s">
        <v>57</v>
      </c>
      <c r="O510">
        <v>450</v>
      </c>
      <c r="P510" t="s">
        <v>3891</v>
      </c>
      <c r="Q510" t="s">
        <v>3892</v>
      </c>
      <c r="R510" t="s">
        <v>2436</v>
      </c>
      <c r="S510" t="s">
        <v>2437</v>
      </c>
      <c r="T510" t="s">
        <v>2441</v>
      </c>
      <c r="U510">
        <v>-2.3400000000000001E-2</v>
      </c>
      <c r="V510">
        <v>-2.3400000000000001E-2</v>
      </c>
      <c r="W510" t="s">
        <v>52</v>
      </c>
      <c r="X510">
        <v>0.88580000000000003</v>
      </c>
      <c r="Y510">
        <v>0.98650000000000004</v>
      </c>
      <c r="Z510">
        <v>0.96899999999999997</v>
      </c>
      <c r="AA510">
        <v>0.88580000000000003</v>
      </c>
      <c r="AB510">
        <v>18.476900000000001</v>
      </c>
      <c r="AC510">
        <v>18.477</v>
      </c>
      <c r="AD510">
        <v>17.279</v>
      </c>
      <c r="AE510">
        <v>17.279</v>
      </c>
      <c r="AF510" t="s">
        <v>2233</v>
      </c>
      <c r="AG510" t="s">
        <v>2233</v>
      </c>
      <c r="AH510" t="s">
        <v>3894</v>
      </c>
      <c r="AI510" t="s">
        <v>3894</v>
      </c>
      <c r="AJ510" t="s">
        <v>3895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3896</v>
      </c>
      <c r="AT510" t="s">
        <v>3890</v>
      </c>
      <c r="AU510" t="s">
        <v>3897</v>
      </c>
      <c r="AV510" t="s">
        <v>3898</v>
      </c>
      <c r="AW510">
        <v>2</v>
      </c>
      <c r="AX510">
        <v>0</v>
      </c>
    </row>
    <row r="511" spans="1:50" x14ac:dyDescent="0.25">
      <c r="A511" t="s">
        <v>4476</v>
      </c>
      <c r="B511" t="s">
        <v>3889</v>
      </c>
      <c r="C511" t="s">
        <v>3890</v>
      </c>
      <c r="D511">
        <v>31.125</v>
      </c>
      <c r="E511">
        <v>31.065999999999999</v>
      </c>
      <c r="F511" s="2">
        <v>3.0000000000000001E-3</v>
      </c>
      <c r="G511" t="s">
        <v>3376</v>
      </c>
      <c r="H511" t="s">
        <v>3379</v>
      </c>
      <c r="I511">
        <v>440258.3749</v>
      </c>
      <c r="J511">
        <v>1827295.1909</v>
      </c>
      <c r="K511">
        <v>440258.3749</v>
      </c>
      <c r="L511">
        <v>1827315.1217</v>
      </c>
      <c r="M511" t="s">
        <v>56</v>
      </c>
      <c r="N511" t="s">
        <v>57</v>
      </c>
      <c r="O511">
        <v>450</v>
      </c>
      <c r="P511" t="s">
        <v>3891</v>
      </c>
      <c r="Q511" t="s">
        <v>3892</v>
      </c>
      <c r="R511" t="s">
        <v>338</v>
      </c>
      <c r="S511" t="s">
        <v>3357</v>
      </c>
      <c r="T511" t="s">
        <v>3381</v>
      </c>
      <c r="U511">
        <v>0</v>
      </c>
      <c r="V511">
        <v>0</v>
      </c>
      <c r="W511" t="s">
        <v>52</v>
      </c>
      <c r="X511">
        <v>0.90129999999999999</v>
      </c>
      <c r="Y511">
        <v>0.93310000000000004</v>
      </c>
      <c r="Z511">
        <v>0.93310000000000004</v>
      </c>
      <c r="AA511">
        <v>0.90129999999999999</v>
      </c>
      <c r="AB511">
        <v>19.930700000000002</v>
      </c>
      <c r="AC511">
        <v>19.930800000000001</v>
      </c>
      <c r="AD511">
        <v>18.732800000000001</v>
      </c>
      <c r="AE511">
        <v>18.732900000000001</v>
      </c>
      <c r="AF511" t="s">
        <v>67</v>
      </c>
      <c r="AG511" t="s">
        <v>67</v>
      </c>
      <c r="AH511" t="s">
        <v>3894</v>
      </c>
      <c r="AI511" t="s">
        <v>3894</v>
      </c>
      <c r="AJ511" t="s">
        <v>3895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3896</v>
      </c>
      <c r="AT511" t="s">
        <v>3890</v>
      </c>
      <c r="AU511" t="s">
        <v>3897</v>
      </c>
      <c r="AV511" t="s">
        <v>3898</v>
      </c>
      <c r="AW511">
        <v>2</v>
      </c>
      <c r="AX511">
        <v>0</v>
      </c>
    </row>
    <row r="512" spans="1:50" x14ac:dyDescent="0.25">
      <c r="A512" t="s">
        <v>4477</v>
      </c>
      <c r="B512" t="s">
        <v>3889</v>
      </c>
      <c r="C512" t="s">
        <v>3890</v>
      </c>
      <c r="D512">
        <v>31.143999999999998</v>
      </c>
      <c r="E512">
        <v>31.091999999999999</v>
      </c>
      <c r="F512" s="2">
        <v>3.0000000000000001E-3</v>
      </c>
      <c r="G512" t="s">
        <v>3301</v>
      </c>
      <c r="H512" t="s">
        <v>3321</v>
      </c>
      <c r="I512">
        <v>440165.97340000002</v>
      </c>
      <c r="J512">
        <v>1827374.8986</v>
      </c>
      <c r="K512">
        <v>440183.07490000001</v>
      </c>
      <c r="L512">
        <v>1827374.8986</v>
      </c>
      <c r="M512" t="s">
        <v>56</v>
      </c>
      <c r="N512" t="s">
        <v>57</v>
      </c>
      <c r="O512">
        <v>450</v>
      </c>
      <c r="P512" t="s">
        <v>3891</v>
      </c>
      <c r="Q512" t="s">
        <v>3892</v>
      </c>
      <c r="R512" t="s">
        <v>3089</v>
      </c>
      <c r="S512" t="s">
        <v>3303</v>
      </c>
      <c r="T512" t="s">
        <v>3323</v>
      </c>
      <c r="U512">
        <v>-0.27500000000000002</v>
      </c>
      <c r="V512">
        <v>-0.27500000000000002</v>
      </c>
      <c r="W512" t="s">
        <v>52</v>
      </c>
      <c r="X512">
        <v>0.84540000000000004</v>
      </c>
      <c r="Y512">
        <v>1.0624</v>
      </c>
      <c r="Z512">
        <v>1.0624</v>
      </c>
      <c r="AA512">
        <v>0.86509999999999998</v>
      </c>
      <c r="AB512">
        <v>17.101500000000001</v>
      </c>
      <c r="AC512">
        <v>17.101600000000001</v>
      </c>
      <c r="AD512">
        <v>15.903600000000001</v>
      </c>
      <c r="AE512">
        <v>15.903700000000001</v>
      </c>
      <c r="AF512" t="s">
        <v>183</v>
      </c>
      <c r="AG512" t="s">
        <v>183</v>
      </c>
      <c r="AH512" t="s">
        <v>3894</v>
      </c>
      <c r="AI512" t="s">
        <v>3894</v>
      </c>
      <c r="AJ512" t="s">
        <v>3895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3896</v>
      </c>
      <c r="AT512" t="s">
        <v>3890</v>
      </c>
      <c r="AU512" t="s">
        <v>3897</v>
      </c>
      <c r="AV512" t="s">
        <v>3898</v>
      </c>
      <c r="AW512">
        <v>2</v>
      </c>
      <c r="AX512">
        <v>0</v>
      </c>
    </row>
    <row r="513" spans="1:50" x14ac:dyDescent="0.25">
      <c r="A513" t="s">
        <v>4478</v>
      </c>
      <c r="B513" t="s">
        <v>3947</v>
      </c>
      <c r="C513" t="s">
        <v>3890</v>
      </c>
      <c r="D513">
        <v>28.082000000000001</v>
      </c>
      <c r="E513">
        <v>28.071000000000002</v>
      </c>
      <c r="F513" s="2">
        <v>1E-3</v>
      </c>
      <c r="G513" t="s">
        <v>3501</v>
      </c>
      <c r="H513" t="s">
        <v>3505</v>
      </c>
      <c r="I513">
        <v>440387.3751</v>
      </c>
      <c r="J513">
        <v>1827531.7833</v>
      </c>
      <c r="K513">
        <v>440398.47509999998</v>
      </c>
      <c r="L513">
        <v>1827531.7858</v>
      </c>
      <c r="M513" t="s">
        <v>56</v>
      </c>
      <c r="N513" t="s">
        <v>57</v>
      </c>
      <c r="O513">
        <v>1050</v>
      </c>
      <c r="P513" t="s">
        <v>3918</v>
      </c>
      <c r="Q513" t="s">
        <v>3930</v>
      </c>
      <c r="R513" t="s">
        <v>141</v>
      </c>
      <c r="S513" t="s">
        <v>3503</v>
      </c>
      <c r="T513" t="s">
        <v>4479</v>
      </c>
      <c r="U513">
        <v>0.2329</v>
      </c>
      <c r="V513">
        <v>0.2354</v>
      </c>
      <c r="W513" t="s">
        <v>52</v>
      </c>
      <c r="X513">
        <v>1.2804</v>
      </c>
      <c r="Y513">
        <v>1.4071</v>
      </c>
      <c r="Z513">
        <v>1.339</v>
      </c>
      <c r="AA513">
        <v>1.2804</v>
      </c>
      <c r="AB513">
        <v>10.801</v>
      </c>
      <c r="AC513">
        <v>10.801</v>
      </c>
      <c r="AD513">
        <v>9.6023999999999994</v>
      </c>
      <c r="AE513">
        <v>9.6023999999999994</v>
      </c>
      <c r="AF513" t="s">
        <v>4480</v>
      </c>
      <c r="AG513" t="s">
        <v>4480</v>
      </c>
      <c r="AH513" t="s">
        <v>3894</v>
      </c>
      <c r="AI513" t="s">
        <v>3894</v>
      </c>
      <c r="AJ513" t="s">
        <v>3895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3896</v>
      </c>
      <c r="AT513" t="s">
        <v>3890</v>
      </c>
      <c r="AU513" t="s">
        <v>3950</v>
      </c>
      <c r="AV513" t="s">
        <v>3898</v>
      </c>
      <c r="AW513">
        <v>2</v>
      </c>
      <c r="AX513">
        <v>0</v>
      </c>
    </row>
    <row r="514" spans="1:50" x14ac:dyDescent="0.25">
      <c r="A514" t="s">
        <v>4481</v>
      </c>
      <c r="B514" t="s">
        <v>3889</v>
      </c>
      <c r="C514" t="s">
        <v>3890</v>
      </c>
      <c r="D514">
        <v>29.529</v>
      </c>
      <c r="E514">
        <v>29.47</v>
      </c>
      <c r="F514" s="2">
        <v>3.0000000000000001E-3</v>
      </c>
      <c r="G514" t="s">
        <v>2189</v>
      </c>
      <c r="H514" t="s">
        <v>2193</v>
      </c>
      <c r="I514">
        <v>440323.97489999997</v>
      </c>
      <c r="J514">
        <v>1827735.5748000001</v>
      </c>
      <c r="K514">
        <v>440323.97489999997</v>
      </c>
      <c r="L514">
        <v>1827715.9564</v>
      </c>
      <c r="M514" t="s">
        <v>56</v>
      </c>
      <c r="N514" t="s">
        <v>57</v>
      </c>
      <c r="O514">
        <v>450</v>
      </c>
      <c r="P514" t="s">
        <v>3891</v>
      </c>
      <c r="Q514" t="s">
        <v>3892</v>
      </c>
      <c r="R514" t="s">
        <v>161</v>
      </c>
      <c r="S514" t="s">
        <v>2191</v>
      </c>
      <c r="T514" t="s">
        <v>2195</v>
      </c>
      <c r="U514">
        <v>0</v>
      </c>
      <c r="V514">
        <v>0</v>
      </c>
      <c r="W514" t="s">
        <v>52</v>
      </c>
      <c r="X514">
        <v>0.88080000000000003</v>
      </c>
      <c r="Y514">
        <v>0.89680000000000004</v>
      </c>
      <c r="Z514">
        <v>0.89680000000000004</v>
      </c>
      <c r="AA514">
        <v>0.88080000000000003</v>
      </c>
      <c r="AB514">
        <v>19.618400000000001</v>
      </c>
      <c r="AC514">
        <v>19.618500000000001</v>
      </c>
      <c r="AD514">
        <v>18.420500000000001</v>
      </c>
      <c r="AE514">
        <v>18.4206</v>
      </c>
      <c r="AF514" t="s">
        <v>2233</v>
      </c>
      <c r="AG514" t="s">
        <v>2233</v>
      </c>
      <c r="AH514" t="s">
        <v>3894</v>
      </c>
      <c r="AI514" t="s">
        <v>3894</v>
      </c>
      <c r="AJ514" t="s">
        <v>3895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3896</v>
      </c>
      <c r="AT514" t="s">
        <v>3890</v>
      </c>
      <c r="AU514" t="s">
        <v>3897</v>
      </c>
      <c r="AV514" t="s">
        <v>3898</v>
      </c>
      <c r="AW514">
        <v>2</v>
      </c>
      <c r="AX514">
        <v>0</v>
      </c>
    </row>
    <row r="515" spans="1:50" x14ac:dyDescent="0.25">
      <c r="A515" t="s">
        <v>4482</v>
      </c>
      <c r="B515" t="s">
        <v>3889</v>
      </c>
      <c r="C515" t="s">
        <v>3890</v>
      </c>
      <c r="D515">
        <v>30.408000000000001</v>
      </c>
      <c r="E515">
        <v>30.35</v>
      </c>
      <c r="F515" s="2">
        <v>3.0000000000000001E-3</v>
      </c>
      <c r="G515" t="s">
        <v>2241</v>
      </c>
      <c r="H515" t="s">
        <v>2245</v>
      </c>
      <c r="I515">
        <v>440398.47509999998</v>
      </c>
      <c r="J515">
        <v>1827974.3514</v>
      </c>
      <c r="K515">
        <v>440398.47509999998</v>
      </c>
      <c r="L515">
        <v>1827954.7489</v>
      </c>
      <c r="M515" t="s">
        <v>56</v>
      </c>
      <c r="N515" t="s">
        <v>57</v>
      </c>
      <c r="O515">
        <v>450</v>
      </c>
      <c r="P515" t="s">
        <v>3891</v>
      </c>
      <c r="Q515" t="s">
        <v>3892</v>
      </c>
      <c r="R515" t="s">
        <v>270</v>
      </c>
      <c r="S515" t="s">
        <v>2243</v>
      </c>
      <c r="T515" t="s">
        <v>2247</v>
      </c>
      <c r="U515">
        <v>-3.5000000000000003E-2</v>
      </c>
      <c r="V515">
        <v>-3.5000000000000003E-2</v>
      </c>
      <c r="W515" t="s">
        <v>52</v>
      </c>
      <c r="X515">
        <v>0.89559999999999995</v>
      </c>
      <c r="Y515">
        <v>1.0198</v>
      </c>
      <c r="Z515">
        <v>1.0198</v>
      </c>
      <c r="AA515">
        <v>0.89559999999999995</v>
      </c>
      <c r="AB515">
        <v>19.602499999999999</v>
      </c>
      <c r="AC515">
        <v>19.602599999999999</v>
      </c>
      <c r="AD515">
        <v>18.404599999999999</v>
      </c>
      <c r="AE515">
        <v>18.404699999999998</v>
      </c>
      <c r="AF515" t="s">
        <v>2233</v>
      </c>
      <c r="AG515" t="s">
        <v>2233</v>
      </c>
      <c r="AH515" t="s">
        <v>3894</v>
      </c>
      <c r="AI515" t="s">
        <v>3894</v>
      </c>
      <c r="AJ515" t="s">
        <v>3895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3896</v>
      </c>
      <c r="AT515" t="s">
        <v>3890</v>
      </c>
      <c r="AU515" t="s">
        <v>3897</v>
      </c>
      <c r="AV515" t="s">
        <v>3898</v>
      </c>
      <c r="AW515">
        <v>2</v>
      </c>
      <c r="AX515">
        <v>0</v>
      </c>
    </row>
    <row r="516" spans="1:50" x14ac:dyDescent="0.25">
      <c r="A516" t="s">
        <v>4483</v>
      </c>
      <c r="B516" t="s">
        <v>3928</v>
      </c>
      <c r="C516" t="s">
        <v>3890</v>
      </c>
      <c r="D516">
        <v>29.847999999999999</v>
      </c>
      <c r="E516">
        <v>29.786999999999999</v>
      </c>
      <c r="F516" s="2">
        <v>3.0000000000000001E-3</v>
      </c>
      <c r="G516" t="s">
        <v>1687</v>
      </c>
      <c r="H516" t="s">
        <v>1691</v>
      </c>
      <c r="I516">
        <v>440053.69949999999</v>
      </c>
      <c r="J516">
        <v>1827550.2588</v>
      </c>
      <c r="K516">
        <v>440073.78950000001</v>
      </c>
      <c r="L516">
        <v>1827550.2588</v>
      </c>
      <c r="M516" t="s">
        <v>56</v>
      </c>
      <c r="N516" t="s">
        <v>57</v>
      </c>
      <c r="O516">
        <v>900</v>
      </c>
      <c r="P516" t="s">
        <v>3929</v>
      </c>
      <c r="Q516" t="s">
        <v>3930</v>
      </c>
      <c r="R516" t="s">
        <v>132</v>
      </c>
      <c r="S516" t="s">
        <v>1689</v>
      </c>
      <c r="T516" t="s">
        <v>1693</v>
      </c>
      <c r="U516">
        <v>-0.05</v>
      </c>
      <c r="V516">
        <v>-0.05</v>
      </c>
      <c r="W516" t="s">
        <v>52</v>
      </c>
      <c r="X516">
        <v>1.2765</v>
      </c>
      <c r="Y516">
        <v>1.4787999999999999</v>
      </c>
      <c r="Z516">
        <v>1.3229</v>
      </c>
      <c r="AA516">
        <v>1.2765</v>
      </c>
      <c r="AB516">
        <v>20.09</v>
      </c>
      <c r="AC516">
        <v>20.0901</v>
      </c>
      <c r="AD516">
        <v>18.893799999999999</v>
      </c>
      <c r="AE516">
        <v>18.893899999999999</v>
      </c>
      <c r="AF516" t="s">
        <v>3920</v>
      </c>
      <c r="AG516" t="s">
        <v>3920</v>
      </c>
      <c r="AH516" t="s">
        <v>3894</v>
      </c>
      <c r="AI516" t="s">
        <v>3894</v>
      </c>
      <c r="AJ516" t="s">
        <v>3895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3896</v>
      </c>
      <c r="AT516" t="s">
        <v>3890</v>
      </c>
      <c r="AU516" t="s">
        <v>3931</v>
      </c>
      <c r="AV516" t="s">
        <v>3898</v>
      </c>
      <c r="AW516">
        <v>2</v>
      </c>
      <c r="AX516">
        <v>0</v>
      </c>
    </row>
    <row r="517" spans="1:50" x14ac:dyDescent="0.25">
      <c r="A517" t="s">
        <v>4484</v>
      </c>
      <c r="B517" t="s">
        <v>3889</v>
      </c>
      <c r="C517" t="s">
        <v>3890</v>
      </c>
      <c r="D517">
        <v>30.21</v>
      </c>
      <c r="E517">
        <v>30.163</v>
      </c>
      <c r="F517" s="2">
        <v>3.0000000000000001E-3</v>
      </c>
      <c r="G517" t="s">
        <v>2443</v>
      </c>
      <c r="H517" t="s">
        <v>2447</v>
      </c>
      <c r="I517">
        <v>440529.67509999999</v>
      </c>
      <c r="J517">
        <v>1827998.4774</v>
      </c>
      <c r="K517">
        <v>440529.67509999999</v>
      </c>
      <c r="L517">
        <v>1827982.6984000001</v>
      </c>
      <c r="M517" t="s">
        <v>56</v>
      </c>
      <c r="N517" t="s">
        <v>57</v>
      </c>
      <c r="O517">
        <v>450</v>
      </c>
      <c r="P517" t="s">
        <v>3891</v>
      </c>
      <c r="Q517" t="s">
        <v>3892</v>
      </c>
      <c r="R517" t="s">
        <v>2436</v>
      </c>
      <c r="S517" t="s">
        <v>2445</v>
      </c>
      <c r="T517" t="s">
        <v>444</v>
      </c>
      <c r="U517">
        <v>-2.3400000000000001E-2</v>
      </c>
      <c r="V517">
        <v>-2.3400000000000001E-2</v>
      </c>
      <c r="W517" t="s">
        <v>52</v>
      </c>
      <c r="X517">
        <v>0.88160000000000005</v>
      </c>
      <c r="Y517">
        <v>0.93910000000000005</v>
      </c>
      <c r="Z517">
        <v>0.93910000000000005</v>
      </c>
      <c r="AA517">
        <v>0.88160000000000005</v>
      </c>
      <c r="AB517">
        <v>15.779</v>
      </c>
      <c r="AC517">
        <v>15.7791</v>
      </c>
      <c r="AD517">
        <v>14.581099999999999</v>
      </c>
      <c r="AE517">
        <v>14.581200000000001</v>
      </c>
      <c r="AF517" t="s">
        <v>2233</v>
      </c>
      <c r="AG517" t="s">
        <v>2233</v>
      </c>
      <c r="AH517" t="s">
        <v>3894</v>
      </c>
      <c r="AI517" t="s">
        <v>3894</v>
      </c>
      <c r="AJ517" t="s">
        <v>3895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3896</v>
      </c>
      <c r="AT517" t="s">
        <v>3890</v>
      </c>
      <c r="AU517" t="s">
        <v>3897</v>
      </c>
      <c r="AV517" t="s">
        <v>3898</v>
      </c>
      <c r="AW517">
        <v>2</v>
      </c>
      <c r="AX517">
        <v>0</v>
      </c>
    </row>
    <row r="518" spans="1:50" x14ac:dyDescent="0.25">
      <c r="A518" t="s">
        <v>4485</v>
      </c>
      <c r="B518" t="s">
        <v>3889</v>
      </c>
      <c r="C518" t="s">
        <v>3890</v>
      </c>
      <c r="D518">
        <v>29.949000000000002</v>
      </c>
      <c r="E518">
        <v>29.907</v>
      </c>
      <c r="F518" s="2">
        <v>3.0000000000000001E-3</v>
      </c>
      <c r="G518" t="s">
        <v>2167</v>
      </c>
      <c r="H518" t="s">
        <v>2170</v>
      </c>
      <c r="I518">
        <v>440299.1249</v>
      </c>
      <c r="J518">
        <v>1827821.1248000001</v>
      </c>
      <c r="K518">
        <v>440313.31</v>
      </c>
      <c r="L518">
        <v>1827821.1248000001</v>
      </c>
      <c r="M518" t="s">
        <v>56</v>
      </c>
      <c r="N518" t="s">
        <v>57</v>
      </c>
      <c r="O518">
        <v>450</v>
      </c>
      <c r="P518" t="s">
        <v>3891</v>
      </c>
      <c r="Q518" t="s">
        <v>3892</v>
      </c>
      <c r="R518" t="s">
        <v>2162</v>
      </c>
      <c r="S518" t="s">
        <v>452</v>
      </c>
      <c r="T518" t="s">
        <v>2172</v>
      </c>
      <c r="U518">
        <v>0.3614</v>
      </c>
      <c r="V518">
        <v>0.4088</v>
      </c>
      <c r="W518" t="s">
        <v>52</v>
      </c>
      <c r="X518">
        <v>0.88029999999999997</v>
      </c>
      <c r="Y518">
        <v>1.0519000000000001</v>
      </c>
      <c r="Z518">
        <v>1.0519000000000001</v>
      </c>
      <c r="AA518">
        <v>0.88029999999999997</v>
      </c>
      <c r="AB518">
        <v>14.1851</v>
      </c>
      <c r="AC518">
        <v>14.1852</v>
      </c>
      <c r="AD518">
        <v>12.9872</v>
      </c>
      <c r="AE518">
        <v>12.987299999999999</v>
      </c>
      <c r="AF518" t="s">
        <v>183</v>
      </c>
      <c r="AG518" t="s">
        <v>183</v>
      </c>
      <c r="AH518" t="s">
        <v>3894</v>
      </c>
      <c r="AI518" t="s">
        <v>3894</v>
      </c>
      <c r="AJ518" t="s">
        <v>3895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3896</v>
      </c>
      <c r="AT518" t="s">
        <v>3890</v>
      </c>
      <c r="AU518" t="s">
        <v>3897</v>
      </c>
      <c r="AV518" t="s">
        <v>3898</v>
      </c>
      <c r="AW518">
        <v>2</v>
      </c>
      <c r="AX518">
        <v>0</v>
      </c>
    </row>
    <row r="519" spans="1:50" x14ac:dyDescent="0.25">
      <c r="A519" t="s">
        <v>4486</v>
      </c>
      <c r="B519" t="s">
        <v>3889</v>
      </c>
      <c r="C519" t="s">
        <v>3890</v>
      </c>
      <c r="D519">
        <v>30.099</v>
      </c>
      <c r="E519">
        <v>30.042999999999999</v>
      </c>
      <c r="F519" s="2">
        <v>3.0000000000000001E-3</v>
      </c>
      <c r="G519" t="s">
        <v>1073</v>
      </c>
      <c r="H519" t="s">
        <v>1077</v>
      </c>
      <c r="I519">
        <v>440258.3749</v>
      </c>
      <c r="J519">
        <v>1827736.4121000001</v>
      </c>
      <c r="K519">
        <v>440258.3749</v>
      </c>
      <c r="L519">
        <v>1827717.7609000001</v>
      </c>
      <c r="M519" t="s">
        <v>56</v>
      </c>
      <c r="N519" t="s">
        <v>57</v>
      </c>
      <c r="O519">
        <v>450</v>
      </c>
      <c r="P519" t="s">
        <v>3891</v>
      </c>
      <c r="Q519" t="s">
        <v>3892</v>
      </c>
      <c r="R519" t="s">
        <v>275</v>
      </c>
      <c r="S519" t="s">
        <v>1075</v>
      </c>
      <c r="T519" t="s">
        <v>1079</v>
      </c>
      <c r="U519">
        <v>2.1499999999999998E-2</v>
      </c>
      <c r="V519">
        <v>2.1499999999999998E-2</v>
      </c>
      <c r="W519" t="s">
        <v>52</v>
      </c>
      <c r="X519">
        <v>0.88200000000000001</v>
      </c>
      <c r="Y519">
        <v>0.92059999999999997</v>
      </c>
      <c r="Z519">
        <v>0.92059999999999997</v>
      </c>
      <c r="AA519">
        <v>0.88200000000000001</v>
      </c>
      <c r="AB519">
        <v>18.651299999999999</v>
      </c>
      <c r="AC519">
        <v>18.651399999999999</v>
      </c>
      <c r="AD519">
        <v>17.453399999999998</v>
      </c>
      <c r="AE519">
        <v>17.453499999999998</v>
      </c>
      <c r="AF519" t="s">
        <v>2233</v>
      </c>
      <c r="AG519" t="s">
        <v>2233</v>
      </c>
      <c r="AH519" t="s">
        <v>3894</v>
      </c>
      <c r="AI519" t="s">
        <v>3894</v>
      </c>
      <c r="AJ519" t="s">
        <v>3895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3896</v>
      </c>
      <c r="AT519" t="s">
        <v>3890</v>
      </c>
      <c r="AU519" t="s">
        <v>3897</v>
      </c>
      <c r="AV519" t="s">
        <v>3898</v>
      </c>
      <c r="AW519">
        <v>2</v>
      </c>
      <c r="AX519">
        <v>0</v>
      </c>
    </row>
    <row r="520" spans="1:50" x14ac:dyDescent="0.25">
      <c r="A520" t="s">
        <v>4487</v>
      </c>
      <c r="B520" t="s">
        <v>3963</v>
      </c>
      <c r="C520" t="s">
        <v>3890</v>
      </c>
      <c r="D520">
        <v>31.498000000000001</v>
      </c>
      <c r="E520">
        <v>31.442</v>
      </c>
      <c r="F520" s="2">
        <v>3.0000000000000001E-3</v>
      </c>
      <c r="G520" t="s">
        <v>2011</v>
      </c>
      <c r="H520" t="s">
        <v>2014</v>
      </c>
      <c r="I520">
        <v>440132.69949999999</v>
      </c>
      <c r="J520">
        <v>1827882.8171999999</v>
      </c>
      <c r="K520">
        <v>440132.69949999999</v>
      </c>
      <c r="L520">
        <v>1827864.1240999999</v>
      </c>
      <c r="M520" t="s">
        <v>56</v>
      </c>
      <c r="N520" t="s">
        <v>57</v>
      </c>
      <c r="O520">
        <v>600</v>
      </c>
      <c r="P520" t="s">
        <v>3891</v>
      </c>
      <c r="Q520" t="s">
        <v>3892</v>
      </c>
      <c r="R520" t="s">
        <v>1968</v>
      </c>
      <c r="S520" t="s">
        <v>1065</v>
      </c>
      <c r="T520" t="s">
        <v>2016</v>
      </c>
      <c r="U520">
        <v>-4.8300000000000003E-2</v>
      </c>
      <c r="V520">
        <v>-5.6899999999999999E-2</v>
      </c>
      <c r="W520" t="s">
        <v>52</v>
      </c>
      <c r="X520">
        <v>0.84819999999999995</v>
      </c>
      <c r="Y520">
        <v>1.0444</v>
      </c>
      <c r="Z520">
        <v>1.0444</v>
      </c>
      <c r="AA520">
        <v>0.87039999999999995</v>
      </c>
      <c r="AB520">
        <v>18.693100000000001</v>
      </c>
      <c r="AC520">
        <v>18.693200000000001</v>
      </c>
      <c r="AD520">
        <v>17.495699999999999</v>
      </c>
      <c r="AE520">
        <v>17.495799999999999</v>
      </c>
      <c r="AF520" t="s">
        <v>2233</v>
      </c>
      <c r="AG520" t="s">
        <v>2233</v>
      </c>
      <c r="AH520" t="s">
        <v>3894</v>
      </c>
      <c r="AI520" t="s">
        <v>3894</v>
      </c>
      <c r="AJ520" t="s">
        <v>3895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3896</v>
      </c>
      <c r="AT520" t="s">
        <v>3890</v>
      </c>
      <c r="AU520" t="s">
        <v>3964</v>
      </c>
      <c r="AV520" t="s">
        <v>3898</v>
      </c>
      <c r="AW520">
        <v>2</v>
      </c>
      <c r="AX520">
        <v>0</v>
      </c>
    </row>
    <row r="521" spans="1:50" x14ac:dyDescent="0.25">
      <c r="A521" t="s">
        <v>4488</v>
      </c>
      <c r="B521" t="s">
        <v>3889</v>
      </c>
      <c r="C521" t="s">
        <v>3890</v>
      </c>
      <c r="D521">
        <v>32.792000000000002</v>
      </c>
      <c r="E521">
        <v>32.731000000000002</v>
      </c>
      <c r="F521" s="2">
        <v>3.0000000000000001E-3</v>
      </c>
      <c r="G521" t="s">
        <v>1780</v>
      </c>
      <c r="H521" t="s">
        <v>1824</v>
      </c>
      <c r="I521">
        <v>440121.67450000002</v>
      </c>
      <c r="J521">
        <v>1828122.8171999999</v>
      </c>
      <c r="K521">
        <v>440121.67450000002</v>
      </c>
      <c r="L521">
        <v>1828102.5588</v>
      </c>
      <c r="M521" t="s">
        <v>56</v>
      </c>
      <c r="N521" t="s">
        <v>57</v>
      </c>
      <c r="O521">
        <v>450</v>
      </c>
      <c r="P521" t="s">
        <v>3891</v>
      </c>
      <c r="Q521" t="s">
        <v>3892</v>
      </c>
      <c r="R521" t="s">
        <v>395</v>
      </c>
      <c r="S521" t="s">
        <v>440</v>
      </c>
      <c r="T521" t="s">
        <v>4462</v>
      </c>
      <c r="U521">
        <v>7.7899999999999997E-2</v>
      </c>
      <c r="V521">
        <v>7.7899999999999997E-2</v>
      </c>
      <c r="W521" t="s">
        <v>52</v>
      </c>
      <c r="X521">
        <v>0.85089999999999999</v>
      </c>
      <c r="Y521">
        <v>1.1024</v>
      </c>
      <c r="Z521">
        <v>1.1024</v>
      </c>
      <c r="AA521">
        <v>0.86460000000000004</v>
      </c>
      <c r="AB521">
        <v>20.360099999999999</v>
      </c>
      <c r="AC521">
        <v>20.360199999999999</v>
      </c>
      <c r="AD521">
        <v>19.162199999999999</v>
      </c>
      <c r="AE521">
        <v>19.162299999999998</v>
      </c>
      <c r="AF521" t="s">
        <v>2233</v>
      </c>
      <c r="AG521" t="s">
        <v>2233</v>
      </c>
      <c r="AH521" t="s">
        <v>3894</v>
      </c>
      <c r="AI521" t="s">
        <v>3894</v>
      </c>
      <c r="AJ521" t="s">
        <v>3895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3896</v>
      </c>
      <c r="AT521" t="s">
        <v>3890</v>
      </c>
      <c r="AU521" t="s">
        <v>3897</v>
      </c>
      <c r="AV521" t="s">
        <v>3898</v>
      </c>
      <c r="AW521">
        <v>2</v>
      </c>
      <c r="AX521">
        <v>0</v>
      </c>
    </row>
    <row r="522" spans="1:50" x14ac:dyDescent="0.25">
      <c r="A522" t="s">
        <v>4489</v>
      </c>
      <c r="B522" t="s">
        <v>3963</v>
      </c>
      <c r="C522" t="s">
        <v>3890</v>
      </c>
      <c r="D522">
        <v>31.834</v>
      </c>
      <c r="E522">
        <v>31.777000000000001</v>
      </c>
      <c r="F522" s="2">
        <v>3.0000000000000001E-3</v>
      </c>
      <c r="G522" t="s">
        <v>1651</v>
      </c>
      <c r="H522" t="s">
        <v>1655</v>
      </c>
      <c r="I522">
        <v>440044.1495</v>
      </c>
      <c r="J522">
        <v>1827699.5734000001</v>
      </c>
      <c r="K522">
        <v>440044.1495</v>
      </c>
      <c r="L522">
        <v>1827680.5245000001</v>
      </c>
      <c r="M522" t="s">
        <v>56</v>
      </c>
      <c r="N522" t="s">
        <v>57</v>
      </c>
      <c r="O522">
        <v>600</v>
      </c>
      <c r="P522" t="s">
        <v>3891</v>
      </c>
      <c r="Q522" t="s">
        <v>3892</v>
      </c>
      <c r="R522" t="s">
        <v>390</v>
      </c>
      <c r="S522" t="s">
        <v>1653</v>
      </c>
      <c r="T522" t="s">
        <v>1657</v>
      </c>
      <c r="U522">
        <v>7.4999999999999997E-2</v>
      </c>
      <c r="V522">
        <v>7.4999999999999997E-2</v>
      </c>
      <c r="W522" t="s">
        <v>52</v>
      </c>
      <c r="X522">
        <v>0.89200000000000002</v>
      </c>
      <c r="Y522">
        <v>0.93610000000000004</v>
      </c>
      <c r="Z522">
        <v>0.93610000000000004</v>
      </c>
      <c r="AA522">
        <v>0.89200000000000002</v>
      </c>
      <c r="AB522">
        <v>19.0488</v>
      </c>
      <c r="AC522">
        <v>19.0489</v>
      </c>
      <c r="AD522">
        <v>17.851400000000002</v>
      </c>
      <c r="AE522">
        <v>17.851400000000002</v>
      </c>
      <c r="AF522" t="s">
        <v>2233</v>
      </c>
      <c r="AG522" t="s">
        <v>2233</v>
      </c>
      <c r="AH522" t="s">
        <v>3894</v>
      </c>
      <c r="AI522" t="s">
        <v>3894</v>
      </c>
      <c r="AJ522" t="s">
        <v>3895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3896</v>
      </c>
      <c r="AT522" t="s">
        <v>3890</v>
      </c>
      <c r="AU522" t="s">
        <v>3964</v>
      </c>
      <c r="AV522" t="s">
        <v>3898</v>
      </c>
      <c r="AW522">
        <v>2</v>
      </c>
      <c r="AX522">
        <v>0</v>
      </c>
    </row>
    <row r="523" spans="1:50" x14ac:dyDescent="0.25">
      <c r="A523" t="s">
        <v>4490</v>
      </c>
      <c r="B523" t="s">
        <v>3889</v>
      </c>
      <c r="C523" t="s">
        <v>3890</v>
      </c>
      <c r="D523">
        <v>30.32</v>
      </c>
      <c r="E523">
        <v>30.26</v>
      </c>
      <c r="F523" s="2">
        <v>3.0000000000000001E-3</v>
      </c>
      <c r="G523" t="s">
        <v>1070</v>
      </c>
      <c r="H523" t="s">
        <v>273</v>
      </c>
      <c r="I523">
        <v>440258.3749</v>
      </c>
      <c r="J523">
        <v>1827775.5748000001</v>
      </c>
      <c r="K523">
        <v>440258.3749</v>
      </c>
      <c r="L523">
        <v>1827755.6129999999</v>
      </c>
      <c r="M523" t="s">
        <v>56</v>
      </c>
      <c r="N523" t="s">
        <v>57</v>
      </c>
      <c r="O523">
        <v>450</v>
      </c>
      <c r="P523" t="s">
        <v>3891</v>
      </c>
      <c r="Q523" t="s">
        <v>3892</v>
      </c>
      <c r="R523" t="s">
        <v>275</v>
      </c>
      <c r="S523" t="s">
        <v>448</v>
      </c>
      <c r="T523" t="s">
        <v>276</v>
      </c>
      <c r="U523">
        <v>2.1499999999999998E-2</v>
      </c>
      <c r="V523">
        <v>2.1499999999999998E-2</v>
      </c>
      <c r="W523" t="s">
        <v>52</v>
      </c>
      <c r="X523">
        <v>0.88239999999999996</v>
      </c>
      <c r="Y523">
        <v>0.9526</v>
      </c>
      <c r="Z523">
        <v>0.9526</v>
      </c>
      <c r="AA523">
        <v>0.88239999999999996</v>
      </c>
      <c r="AB523">
        <v>19.9618</v>
      </c>
      <c r="AC523">
        <v>19.9618</v>
      </c>
      <c r="AD523">
        <v>18.7639</v>
      </c>
      <c r="AE523">
        <v>18.7639</v>
      </c>
      <c r="AF523" t="s">
        <v>2233</v>
      </c>
      <c r="AG523" t="s">
        <v>2233</v>
      </c>
      <c r="AH523" t="s">
        <v>3894</v>
      </c>
      <c r="AI523" t="s">
        <v>3894</v>
      </c>
      <c r="AJ523" t="s">
        <v>3895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3896</v>
      </c>
      <c r="AT523" t="s">
        <v>3890</v>
      </c>
      <c r="AU523" t="s">
        <v>3897</v>
      </c>
      <c r="AV523" t="s">
        <v>3898</v>
      </c>
      <c r="AW523">
        <v>2</v>
      </c>
      <c r="AX523">
        <v>0</v>
      </c>
    </row>
    <row r="524" spans="1:50" x14ac:dyDescent="0.25">
      <c r="A524" t="s">
        <v>4491</v>
      </c>
      <c r="B524" t="s">
        <v>3889</v>
      </c>
      <c r="C524" t="s">
        <v>3890</v>
      </c>
      <c r="D524">
        <v>28.202999999999999</v>
      </c>
      <c r="E524">
        <v>28.141999999999999</v>
      </c>
      <c r="F524" s="2">
        <v>3.0000000000000001E-3</v>
      </c>
      <c r="G524" t="s">
        <v>3612</v>
      </c>
      <c r="H524" t="s">
        <v>3616</v>
      </c>
      <c r="I524">
        <v>440519.97509999998</v>
      </c>
      <c r="J524">
        <v>1827479.1857</v>
      </c>
      <c r="K524">
        <v>440519.97509999998</v>
      </c>
      <c r="L524">
        <v>1827499.4838</v>
      </c>
      <c r="M524" t="s">
        <v>56</v>
      </c>
      <c r="N524" t="s">
        <v>57</v>
      </c>
      <c r="O524">
        <v>450</v>
      </c>
      <c r="P524" t="s">
        <v>3891</v>
      </c>
      <c r="Q524" t="s">
        <v>3892</v>
      </c>
      <c r="R524" t="s">
        <v>3606</v>
      </c>
      <c r="S524" t="s">
        <v>3614</v>
      </c>
      <c r="T524" t="s">
        <v>452</v>
      </c>
      <c r="U524">
        <v>0.13270000000000001</v>
      </c>
      <c r="V524">
        <v>0.13270000000000001</v>
      </c>
      <c r="W524" t="s">
        <v>52</v>
      </c>
      <c r="X524">
        <v>0.88239999999999996</v>
      </c>
      <c r="Y524">
        <v>1.0146999999999999</v>
      </c>
      <c r="Z524">
        <v>1.0146999999999999</v>
      </c>
      <c r="AA524">
        <v>0.88239999999999996</v>
      </c>
      <c r="AB524">
        <v>20.298100000000002</v>
      </c>
      <c r="AC524">
        <v>20.298200000000001</v>
      </c>
      <c r="AD524">
        <v>19.100200000000001</v>
      </c>
      <c r="AE524">
        <v>19.100300000000001</v>
      </c>
      <c r="AF524" t="s">
        <v>67</v>
      </c>
      <c r="AG524" t="s">
        <v>67</v>
      </c>
      <c r="AH524" t="s">
        <v>3894</v>
      </c>
      <c r="AI524" t="s">
        <v>3894</v>
      </c>
      <c r="AJ524" t="s">
        <v>3895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3896</v>
      </c>
      <c r="AT524" t="s">
        <v>3890</v>
      </c>
      <c r="AU524" t="s">
        <v>3897</v>
      </c>
      <c r="AV524" t="s">
        <v>3898</v>
      </c>
      <c r="AW524">
        <v>2</v>
      </c>
      <c r="AX524">
        <v>0</v>
      </c>
    </row>
    <row r="525" spans="1:50" x14ac:dyDescent="0.25">
      <c r="A525" t="s">
        <v>4492</v>
      </c>
      <c r="B525" t="s">
        <v>3889</v>
      </c>
      <c r="C525" t="s">
        <v>3890</v>
      </c>
      <c r="D525">
        <v>31.766999999999999</v>
      </c>
      <c r="E525">
        <v>31.72</v>
      </c>
      <c r="F525" s="2">
        <v>2.8999999999999998E-3</v>
      </c>
      <c r="G525" t="s">
        <v>1911</v>
      </c>
      <c r="H525" t="s">
        <v>1915</v>
      </c>
      <c r="I525">
        <v>440088.22489999997</v>
      </c>
      <c r="J525">
        <v>1827853.3740999999</v>
      </c>
      <c r="K525">
        <v>440104.16090000002</v>
      </c>
      <c r="L525">
        <v>1827853.3740999999</v>
      </c>
      <c r="M525" t="s">
        <v>56</v>
      </c>
      <c r="N525" t="s">
        <v>57</v>
      </c>
      <c r="O525">
        <v>450</v>
      </c>
      <c r="P525" t="s">
        <v>3891</v>
      </c>
      <c r="Q525" t="s">
        <v>3892</v>
      </c>
      <c r="R525" t="s">
        <v>227</v>
      </c>
      <c r="S525" t="s">
        <v>1913</v>
      </c>
      <c r="T525" t="s">
        <v>1917</v>
      </c>
      <c r="U525">
        <v>0</v>
      </c>
      <c r="V525">
        <v>0</v>
      </c>
      <c r="W525" t="s">
        <v>52</v>
      </c>
      <c r="X525">
        <v>0.88039999999999996</v>
      </c>
      <c r="Y525">
        <v>0.91969999999999996</v>
      </c>
      <c r="Z525">
        <v>0.91969999999999996</v>
      </c>
      <c r="AA525">
        <v>0.88039999999999996</v>
      </c>
      <c r="AB525">
        <v>15.936</v>
      </c>
      <c r="AC525">
        <v>15.9361</v>
      </c>
      <c r="AD525">
        <v>14.738099999999999</v>
      </c>
      <c r="AE525">
        <v>14.738099999999999</v>
      </c>
      <c r="AF525" t="s">
        <v>183</v>
      </c>
      <c r="AG525" t="s">
        <v>183</v>
      </c>
      <c r="AH525" t="s">
        <v>3894</v>
      </c>
      <c r="AI525" t="s">
        <v>3894</v>
      </c>
      <c r="AJ525" t="s">
        <v>3895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3896</v>
      </c>
      <c r="AT525" t="s">
        <v>3890</v>
      </c>
      <c r="AU525" t="s">
        <v>3897</v>
      </c>
      <c r="AV525" t="s">
        <v>3898</v>
      </c>
      <c r="AW525">
        <v>2</v>
      </c>
      <c r="AX525">
        <v>0</v>
      </c>
    </row>
    <row r="526" spans="1:50" x14ac:dyDescent="0.25">
      <c r="A526" t="s">
        <v>4493</v>
      </c>
      <c r="B526" t="s">
        <v>3924</v>
      </c>
      <c r="C526" t="s">
        <v>3890</v>
      </c>
      <c r="D526">
        <v>31.242000000000001</v>
      </c>
      <c r="E526">
        <v>31.187999999999999</v>
      </c>
      <c r="F526" s="2">
        <v>3.0000000000000001E-3</v>
      </c>
      <c r="G526" t="s">
        <v>2521</v>
      </c>
      <c r="H526" t="s">
        <v>2524</v>
      </c>
      <c r="I526">
        <v>440370.42509999999</v>
      </c>
      <c r="J526">
        <v>1828047.3973000001</v>
      </c>
      <c r="K526">
        <v>440388.42509999999</v>
      </c>
      <c r="L526">
        <v>1828047.3973000001</v>
      </c>
      <c r="M526" t="s">
        <v>56</v>
      </c>
      <c r="N526" t="s">
        <v>57</v>
      </c>
      <c r="O526">
        <v>750</v>
      </c>
      <c r="P526" t="s">
        <v>3891</v>
      </c>
      <c r="Q526" t="s">
        <v>3892</v>
      </c>
      <c r="R526" t="s">
        <v>2502</v>
      </c>
      <c r="S526" t="s">
        <v>529</v>
      </c>
      <c r="T526" t="s">
        <v>2526</v>
      </c>
      <c r="U526">
        <v>0</v>
      </c>
      <c r="V526">
        <v>0</v>
      </c>
      <c r="W526" t="s">
        <v>52</v>
      </c>
      <c r="X526">
        <v>0.879</v>
      </c>
      <c r="Y526">
        <v>0.90790000000000004</v>
      </c>
      <c r="Z526">
        <v>0.90790000000000004</v>
      </c>
      <c r="AA526">
        <v>0.879</v>
      </c>
      <c r="AB526">
        <v>18</v>
      </c>
      <c r="AC526">
        <v>18.0001</v>
      </c>
      <c r="AD526">
        <v>16.803000000000001</v>
      </c>
      <c r="AE526">
        <v>16.803100000000001</v>
      </c>
      <c r="AF526" t="s">
        <v>183</v>
      </c>
      <c r="AG526" t="s">
        <v>183</v>
      </c>
      <c r="AH526" t="s">
        <v>3894</v>
      </c>
      <c r="AI526" t="s">
        <v>3894</v>
      </c>
      <c r="AJ526" t="s">
        <v>3895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3896</v>
      </c>
      <c r="AT526" t="s">
        <v>3890</v>
      </c>
      <c r="AU526" t="s">
        <v>3926</v>
      </c>
      <c r="AV526" t="s">
        <v>3898</v>
      </c>
      <c r="AW526">
        <v>2</v>
      </c>
      <c r="AX526">
        <v>0</v>
      </c>
    </row>
    <row r="527" spans="1:50" x14ac:dyDescent="0.25">
      <c r="A527" t="s">
        <v>4494</v>
      </c>
      <c r="B527" t="s">
        <v>3889</v>
      </c>
      <c r="C527" t="s">
        <v>3890</v>
      </c>
      <c r="D527">
        <v>31.138000000000002</v>
      </c>
      <c r="E527">
        <v>31.091999999999999</v>
      </c>
      <c r="F527" s="2">
        <v>2.3E-3</v>
      </c>
      <c r="G527" t="s">
        <v>3317</v>
      </c>
      <c r="H527" t="s">
        <v>3321</v>
      </c>
      <c r="I527">
        <v>440183.07490000001</v>
      </c>
      <c r="J527">
        <v>1827354.4693</v>
      </c>
      <c r="K527">
        <v>440183.07490000001</v>
      </c>
      <c r="L527">
        <v>1827374.8986</v>
      </c>
      <c r="M527" t="s">
        <v>56</v>
      </c>
      <c r="N527" t="s">
        <v>57</v>
      </c>
      <c r="O527">
        <v>450</v>
      </c>
      <c r="P527" t="s">
        <v>3891</v>
      </c>
      <c r="Q527" t="s">
        <v>3892</v>
      </c>
      <c r="R527" t="s">
        <v>333</v>
      </c>
      <c r="S527" t="s">
        <v>3319</v>
      </c>
      <c r="T527" t="s">
        <v>2477</v>
      </c>
      <c r="U527">
        <v>-2.4199999999999999E-2</v>
      </c>
      <c r="V527">
        <v>-2.4199999999999999E-2</v>
      </c>
      <c r="W527" t="s">
        <v>52</v>
      </c>
      <c r="X527">
        <v>0.83850000000000002</v>
      </c>
      <c r="Y527">
        <v>1.0145999999999999</v>
      </c>
      <c r="Z527">
        <v>1.0145999999999999</v>
      </c>
      <c r="AA527">
        <v>0.86509999999999998</v>
      </c>
      <c r="AB527">
        <v>20.579799999999999</v>
      </c>
      <c r="AC527">
        <v>20.579899999999999</v>
      </c>
      <c r="AD527">
        <v>19.680800000000001</v>
      </c>
      <c r="AE527">
        <v>19.680900000000001</v>
      </c>
      <c r="AF527" t="s">
        <v>3973</v>
      </c>
      <c r="AG527" t="s">
        <v>3973</v>
      </c>
      <c r="AH527" t="s">
        <v>3894</v>
      </c>
      <c r="AI527" t="s">
        <v>3894</v>
      </c>
      <c r="AJ527" t="s">
        <v>3895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3896</v>
      </c>
      <c r="AT527" t="s">
        <v>3890</v>
      </c>
      <c r="AU527" t="s">
        <v>3897</v>
      </c>
      <c r="AV527" t="s">
        <v>3898</v>
      </c>
      <c r="AW527">
        <v>2</v>
      </c>
      <c r="AX527">
        <v>0</v>
      </c>
    </row>
    <row r="528" spans="1:50" x14ac:dyDescent="0.25">
      <c r="A528" t="s">
        <v>4495</v>
      </c>
      <c r="B528" t="s">
        <v>3889</v>
      </c>
      <c r="C528" t="s">
        <v>3890</v>
      </c>
      <c r="D528">
        <v>31.111999999999998</v>
      </c>
      <c r="E528">
        <v>31.058</v>
      </c>
      <c r="F528" s="2">
        <v>3.2000000000000002E-3</v>
      </c>
      <c r="G528" t="s">
        <v>2373</v>
      </c>
      <c r="H528" t="s">
        <v>2376</v>
      </c>
      <c r="I528">
        <v>440370.42509999999</v>
      </c>
      <c r="J528">
        <v>1828037.8473</v>
      </c>
      <c r="K528">
        <v>440387.3751</v>
      </c>
      <c r="L528">
        <v>1828037.8473</v>
      </c>
      <c r="M528" t="s">
        <v>56</v>
      </c>
      <c r="N528" t="s">
        <v>57</v>
      </c>
      <c r="O528">
        <v>450</v>
      </c>
      <c r="P528" t="s">
        <v>3891</v>
      </c>
      <c r="Q528" t="s">
        <v>3892</v>
      </c>
      <c r="R528" t="s">
        <v>2263</v>
      </c>
      <c r="S528" t="s">
        <v>529</v>
      </c>
      <c r="T528" t="s">
        <v>2378</v>
      </c>
      <c r="U528">
        <v>-6.7400000000000002E-2</v>
      </c>
      <c r="V528">
        <v>-6.7400000000000002E-2</v>
      </c>
      <c r="W528" t="s">
        <v>52</v>
      </c>
      <c r="X528">
        <v>0.84609999999999996</v>
      </c>
      <c r="Y528">
        <v>1.0409999999999999</v>
      </c>
      <c r="Z528">
        <v>1.0409999999999999</v>
      </c>
      <c r="AA528">
        <v>0.85660000000000003</v>
      </c>
      <c r="AB528">
        <v>16.95</v>
      </c>
      <c r="AC528">
        <v>16.950099999999999</v>
      </c>
      <c r="AD528">
        <v>15.7522</v>
      </c>
      <c r="AE528">
        <v>15.7523</v>
      </c>
      <c r="AF528" t="s">
        <v>183</v>
      </c>
      <c r="AG528" t="s">
        <v>183</v>
      </c>
      <c r="AH528" t="s">
        <v>3894</v>
      </c>
      <c r="AI528" t="s">
        <v>3894</v>
      </c>
      <c r="AJ528" t="s">
        <v>3895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3896</v>
      </c>
      <c r="AT528" t="s">
        <v>3890</v>
      </c>
      <c r="AU528" t="s">
        <v>3897</v>
      </c>
      <c r="AV528" t="s">
        <v>3898</v>
      </c>
      <c r="AW528">
        <v>2</v>
      </c>
      <c r="AX528">
        <v>0</v>
      </c>
    </row>
    <row r="529" spans="1:50" x14ac:dyDescent="0.25">
      <c r="A529" t="s">
        <v>4496</v>
      </c>
      <c r="B529" t="s">
        <v>4010</v>
      </c>
      <c r="C529" t="s">
        <v>3890</v>
      </c>
      <c r="D529">
        <v>27.957000000000001</v>
      </c>
      <c r="E529">
        <v>27.939</v>
      </c>
      <c r="F529" s="2">
        <v>1E-3</v>
      </c>
      <c r="G529" t="s">
        <v>3207</v>
      </c>
      <c r="H529" t="s">
        <v>3211</v>
      </c>
      <c r="I529">
        <v>440567.77140000003</v>
      </c>
      <c r="J529">
        <v>1827375.1486</v>
      </c>
      <c r="K529">
        <v>440585.57510000002</v>
      </c>
      <c r="L529">
        <v>1827375.1486</v>
      </c>
      <c r="M529" t="s">
        <v>56</v>
      </c>
      <c r="N529" t="s">
        <v>57</v>
      </c>
      <c r="O529">
        <v>900</v>
      </c>
      <c r="P529" t="s">
        <v>109</v>
      </c>
      <c r="Q529" t="s">
        <v>3919</v>
      </c>
      <c r="R529" t="s">
        <v>3089</v>
      </c>
      <c r="S529" t="s">
        <v>3209</v>
      </c>
      <c r="T529" t="s">
        <v>2477</v>
      </c>
      <c r="U529">
        <v>-2.5000000000000001E-2</v>
      </c>
      <c r="V529">
        <v>-2.5000000000000001E-2</v>
      </c>
      <c r="W529" t="s">
        <v>52</v>
      </c>
      <c r="X529">
        <v>1.2121999999999999</v>
      </c>
      <c r="Y529">
        <v>1.4729000000000001</v>
      </c>
      <c r="Z529">
        <v>1.4729000000000001</v>
      </c>
      <c r="AA529">
        <v>1.2414000000000001</v>
      </c>
      <c r="AB529">
        <v>18.066700000000001</v>
      </c>
      <c r="AC529">
        <v>18.066700000000001</v>
      </c>
      <c r="AD529">
        <v>16.867899999999999</v>
      </c>
      <c r="AE529">
        <v>16.867899999999999</v>
      </c>
      <c r="AF529" t="s">
        <v>183</v>
      </c>
      <c r="AG529" t="s">
        <v>183</v>
      </c>
      <c r="AH529" t="s">
        <v>3894</v>
      </c>
      <c r="AI529" t="s">
        <v>3894</v>
      </c>
      <c r="AJ529" t="s">
        <v>3895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3896</v>
      </c>
      <c r="AT529" t="s">
        <v>3890</v>
      </c>
      <c r="AU529" t="s">
        <v>4012</v>
      </c>
      <c r="AV529" t="s">
        <v>3898</v>
      </c>
      <c r="AW529">
        <v>2</v>
      </c>
      <c r="AX529">
        <v>0</v>
      </c>
    </row>
    <row r="530" spans="1:50" x14ac:dyDescent="0.25">
      <c r="A530" t="s">
        <v>4497</v>
      </c>
      <c r="B530" t="s">
        <v>3963</v>
      </c>
      <c r="C530" t="s">
        <v>3890</v>
      </c>
      <c r="D530">
        <v>30.977</v>
      </c>
      <c r="E530">
        <v>30.951000000000001</v>
      </c>
      <c r="F530" s="2">
        <v>2.3999999999999998E-3</v>
      </c>
      <c r="G530" t="s">
        <v>1679</v>
      </c>
      <c r="H530" t="s">
        <v>1683</v>
      </c>
      <c r="I530">
        <v>440044.1495</v>
      </c>
      <c r="J530">
        <v>1827561.0521</v>
      </c>
      <c r="K530">
        <v>440044.1495</v>
      </c>
      <c r="L530">
        <v>1827550.2588</v>
      </c>
      <c r="M530" t="s">
        <v>56</v>
      </c>
      <c r="N530" t="s">
        <v>57</v>
      </c>
      <c r="O530">
        <v>600</v>
      </c>
      <c r="P530" t="s">
        <v>3891</v>
      </c>
      <c r="Q530" t="s">
        <v>3892</v>
      </c>
      <c r="R530" t="s">
        <v>390</v>
      </c>
      <c r="S530" t="s">
        <v>1681</v>
      </c>
      <c r="T530" t="s">
        <v>4498</v>
      </c>
      <c r="U530">
        <v>7.4999999999999997E-2</v>
      </c>
      <c r="V530">
        <v>7.4999999999999997E-2</v>
      </c>
      <c r="W530" t="s">
        <v>52</v>
      </c>
      <c r="X530">
        <v>0.84850000000000003</v>
      </c>
      <c r="Y530">
        <v>1.0450999999999999</v>
      </c>
      <c r="Z530">
        <v>1.0450999999999999</v>
      </c>
      <c r="AA530">
        <v>0.86990000000000001</v>
      </c>
      <c r="AB530">
        <v>10.743600000000001</v>
      </c>
      <c r="AC530">
        <v>10.743600000000001</v>
      </c>
      <c r="AD530">
        <v>9.7704000000000004</v>
      </c>
      <c r="AE530">
        <v>9.7704000000000004</v>
      </c>
      <c r="AF530" t="s">
        <v>2233</v>
      </c>
      <c r="AG530" t="s">
        <v>2233</v>
      </c>
      <c r="AH530" t="s">
        <v>3894</v>
      </c>
      <c r="AI530" t="s">
        <v>3894</v>
      </c>
      <c r="AJ530" t="s">
        <v>3895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3896</v>
      </c>
      <c r="AT530" t="s">
        <v>3890</v>
      </c>
      <c r="AU530" t="s">
        <v>3964</v>
      </c>
      <c r="AV530" t="s">
        <v>3898</v>
      </c>
      <c r="AW530">
        <v>2</v>
      </c>
      <c r="AX530">
        <v>0</v>
      </c>
    </row>
    <row r="531" spans="1:50" x14ac:dyDescent="0.25">
      <c r="A531" t="s">
        <v>4499</v>
      </c>
      <c r="B531" t="s">
        <v>3889</v>
      </c>
      <c r="C531" t="s">
        <v>3890</v>
      </c>
      <c r="D531">
        <v>29.972000000000001</v>
      </c>
      <c r="E531">
        <v>29.920999999999999</v>
      </c>
      <c r="F531" s="2">
        <v>3.0000000000000001E-3</v>
      </c>
      <c r="G531" t="s">
        <v>286</v>
      </c>
      <c r="H531" t="s">
        <v>945</v>
      </c>
      <c r="I531">
        <v>440314.27490000002</v>
      </c>
      <c r="J531">
        <v>1827462.58</v>
      </c>
      <c r="K531">
        <v>440314.27490000002</v>
      </c>
      <c r="L531">
        <v>1827479.4838</v>
      </c>
      <c r="M531" t="s">
        <v>56</v>
      </c>
      <c r="N531" t="s">
        <v>57</v>
      </c>
      <c r="O531">
        <v>450</v>
      </c>
      <c r="P531" t="s">
        <v>3891</v>
      </c>
      <c r="Q531" t="s">
        <v>3892</v>
      </c>
      <c r="R531" t="s">
        <v>288</v>
      </c>
      <c r="S531" t="s">
        <v>289</v>
      </c>
      <c r="T531" t="s">
        <v>448</v>
      </c>
      <c r="U531">
        <v>0.124</v>
      </c>
      <c r="V531">
        <v>0.124</v>
      </c>
      <c r="W531" t="s">
        <v>52</v>
      </c>
      <c r="X531">
        <v>0.88249999999999995</v>
      </c>
      <c r="Y531">
        <v>0.91279999999999994</v>
      </c>
      <c r="Z531">
        <v>0.91279999999999994</v>
      </c>
      <c r="AA531">
        <v>0.88249999999999995</v>
      </c>
      <c r="AB531">
        <v>16.9038</v>
      </c>
      <c r="AC531">
        <v>16.9039</v>
      </c>
      <c r="AD531">
        <v>15.7059</v>
      </c>
      <c r="AE531">
        <v>15.706</v>
      </c>
      <c r="AF531" t="s">
        <v>67</v>
      </c>
      <c r="AG531" t="s">
        <v>67</v>
      </c>
      <c r="AH531" t="s">
        <v>3894</v>
      </c>
      <c r="AI531" t="s">
        <v>3894</v>
      </c>
      <c r="AJ531" t="s">
        <v>3895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3896</v>
      </c>
      <c r="AT531" t="s">
        <v>3890</v>
      </c>
      <c r="AU531" t="s">
        <v>3897</v>
      </c>
      <c r="AV531" t="s">
        <v>3898</v>
      </c>
      <c r="AW531">
        <v>2</v>
      </c>
      <c r="AX531">
        <v>0</v>
      </c>
    </row>
    <row r="532" spans="1:50" x14ac:dyDescent="0.25">
      <c r="A532" t="s">
        <v>4500</v>
      </c>
      <c r="B532" t="s">
        <v>3917</v>
      </c>
      <c r="C532" t="s">
        <v>3890</v>
      </c>
      <c r="D532">
        <v>29.596</v>
      </c>
      <c r="E532">
        <v>29.579000000000001</v>
      </c>
      <c r="F532" s="2">
        <v>1E-3</v>
      </c>
      <c r="G532" t="s">
        <v>658</v>
      </c>
      <c r="H532" t="s">
        <v>662</v>
      </c>
      <c r="I532">
        <v>440031.87520000001</v>
      </c>
      <c r="J532">
        <v>1827531.6088</v>
      </c>
      <c r="K532">
        <v>440048.22489999997</v>
      </c>
      <c r="L532">
        <v>1827531.6088</v>
      </c>
      <c r="M532" t="s">
        <v>56</v>
      </c>
      <c r="N532" t="s">
        <v>57</v>
      </c>
      <c r="O532">
        <v>750</v>
      </c>
      <c r="P532" t="s">
        <v>3918</v>
      </c>
      <c r="Q532" t="s">
        <v>3919</v>
      </c>
      <c r="R532" t="s">
        <v>127</v>
      </c>
      <c r="S532" t="s">
        <v>4501</v>
      </c>
      <c r="T532" t="s">
        <v>424</v>
      </c>
      <c r="U532">
        <v>5.8299999999999998E-2</v>
      </c>
      <c r="V532">
        <v>5.8299999999999998E-2</v>
      </c>
      <c r="W532" t="s">
        <v>52</v>
      </c>
      <c r="X532">
        <v>1.7945</v>
      </c>
      <c r="Y532">
        <v>2.0407999999999999</v>
      </c>
      <c r="Z532">
        <v>1.8954</v>
      </c>
      <c r="AA532">
        <v>1.7945</v>
      </c>
      <c r="AB532">
        <v>16.6096</v>
      </c>
      <c r="AC532">
        <v>16.6096</v>
      </c>
      <c r="AD532">
        <v>15.4107</v>
      </c>
      <c r="AE532">
        <v>15.4107</v>
      </c>
      <c r="AF532" t="s">
        <v>3920</v>
      </c>
      <c r="AG532" t="s">
        <v>3920</v>
      </c>
      <c r="AH532" t="s">
        <v>3894</v>
      </c>
      <c r="AI532" t="s">
        <v>3894</v>
      </c>
      <c r="AJ532" t="s">
        <v>3895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3896</v>
      </c>
      <c r="AT532" t="s">
        <v>3890</v>
      </c>
      <c r="AU532" t="s">
        <v>3921</v>
      </c>
      <c r="AV532" t="s">
        <v>3898</v>
      </c>
      <c r="AW532">
        <v>2</v>
      </c>
      <c r="AX532">
        <v>0</v>
      </c>
    </row>
    <row r="533" spans="1:50" x14ac:dyDescent="0.25">
      <c r="A533" t="s">
        <v>4502</v>
      </c>
      <c r="B533" t="s">
        <v>3889</v>
      </c>
      <c r="C533" t="s">
        <v>3890</v>
      </c>
      <c r="D533">
        <v>32.201000000000001</v>
      </c>
      <c r="E533">
        <v>32.148000000000003</v>
      </c>
      <c r="F533" s="2">
        <v>2.0999999999999999E-3</v>
      </c>
      <c r="G533" t="s">
        <v>1900</v>
      </c>
      <c r="H533" t="s">
        <v>1903</v>
      </c>
      <c r="I533">
        <v>440008.22489999997</v>
      </c>
      <c r="J533">
        <v>1827853.3740999999</v>
      </c>
      <c r="K533">
        <v>440032.88530000002</v>
      </c>
      <c r="L533">
        <v>1827853.3740999999</v>
      </c>
      <c r="M533" t="s">
        <v>56</v>
      </c>
      <c r="N533" t="s">
        <v>57</v>
      </c>
      <c r="O533">
        <v>450</v>
      </c>
      <c r="P533" t="s">
        <v>3891</v>
      </c>
      <c r="Q533" t="s">
        <v>3892</v>
      </c>
      <c r="R533" t="s">
        <v>227</v>
      </c>
      <c r="S533" t="s">
        <v>329</v>
      </c>
      <c r="T533" t="s">
        <v>1905</v>
      </c>
      <c r="U533">
        <v>0</v>
      </c>
      <c r="V533">
        <v>0</v>
      </c>
      <c r="W533" t="s">
        <v>52</v>
      </c>
      <c r="X533">
        <v>0.83930000000000005</v>
      </c>
      <c r="Y533">
        <v>0.95489999999999997</v>
      </c>
      <c r="Z533">
        <v>0.95489999999999997</v>
      </c>
      <c r="AA533">
        <v>0.83930000000000005</v>
      </c>
      <c r="AB533">
        <v>24.660399999999999</v>
      </c>
      <c r="AC533">
        <v>24.660399999999999</v>
      </c>
      <c r="AD533">
        <v>23.4619</v>
      </c>
      <c r="AE533">
        <v>23.4619</v>
      </c>
      <c r="AF533" t="s">
        <v>183</v>
      </c>
      <c r="AG533" t="s">
        <v>183</v>
      </c>
      <c r="AH533" t="s">
        <v>3894</v>
      </c>
      <c r="AI533" t="s">
        <v>3894</v>
      </c>
      <c r="AJ533" t="s">
        <v>3895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3896</v>
      </c>
      <c r="AT533" t="s">
        <v>3890</v>
      </c>
      <c r="AU533" t="s">
        <v>3897</v>
      </c>
      <c r="AV533" t="s">
        <v>3898</v>
      </c>
      <c r="AW533">
        <v>2</v>
      </c>
      <c r="AX533">
        <v>0</v>
      </c>
    </row>
    <row r="534" spans="1:50" x14ac:dyDescent="0.25">
      <c r="A534" t="s">
        <v>4503</v>
      </c>
      <c r="B534" t="s">
        <v>3963</v>
      </c>
      <c r="C534" t="s">
        <v>3890</v>
      </c>
      <c r="D534">
        <v>31.73</v>
      </c>
      <c r="E534">
        <v>31.672000000000001</v>
      </c>
      <c r="F534" s="2">
        <v>3.0000000000000001E-3</v>
      </c>
      <c r="G534" t="s">
        <v>1655</v>
      </c>
      <c r="H534" t="s">
        <v>1659</v>
      </c>
      <c r="I534">
        <v>440044.1495</v>
      </c>
      <c r="J534">
        <v>1827680.5245000001</v>
      </c>
      <c r="K534">
        <v>440044.1495</v>
      </c>
      <c r="L534">
        <v>1827661.0604999999</v>
      </c>
      <c r="M534" t="s">
        <v>56</v>
      </c>
      <c r="N534" t="s">
        <v>57</v>
      </c>
      <c r="O534">
        <v>600</v>
      </c>
      <c r="P534" t="s">
        <v>3891</v>
      </c>
      <c r="Q534" t="s">
        <v>3892</v>
      </c>
      <c r="R534" t="s">
        <v>390</v>
      </c>
      <c r="S534" t="s">
        <v>1657</v>
      </c>
      <c r="T534" t="s">
        <v>1661</v>
      </c>
      <c r="U534">
        <v>7.4999999999999997E-2</v>
      </c>
      <c r="V534">
        <v>7.4999999999999997E-2</v>
      </c>
      <c r="W534" t="s">
        <v>52</v>
      </c>
      <c r="X534">
        <v>0.89159999999999995</v>
      </c>
      <c r="Y534">
        <v>0.93899999999999995</v>
      </c>
      <c r="Z534">
        <v>0.93899999999999995</v>
      </c>
      <c r="AA534">
        <v>0.89159999999999995</v>
      </c>
      <c r="AB534">
        <v>19.464099999999998</v>
      </c>
      <c r="AC534">
        <v>19.464099999999998</v>
      </c>
      <c r="AD534">
        <v>18.2666</v>
      </c>
      <c r="AE534">
        <v>18.2667</v>
      </c>
      <c r="AF534" t="s">
        <v>2233</v>
      </c>
      <c r="AG534" t="s">
        <v>2233</v>
      </c>
      <c r="AH534" t="s">
        <v>3894</v>
      </c>
      <c r="AI534" t="s">
        <v>3894</v>
      </c>
      <c r="AJ534" t="s">
        <v>3895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3896</v>
      </c>
      <c r="AT534" t="s">
        <v>3890</v>
      </c>
      <c r="AU534" t="s">
        <v>3964</v>
      </c>
      <c r="AV534" t="s">
        <v>3898</v>
      </c>
      <c r="AW534">
        <v>2</v>
      </c>
      <c r="AX534">
        <v>0</v>
      </c>
    </row>
    <row r="535" spans="1:50" x14ac:dyDescent="0.25">
      <c r="A535" t="s">
        <v>4504</v>
      </c>
      <c r="B535" t="s">
        <v>3889</v>
      </c>
      <c r="C535" t="s">
        <v>3890</v>
      </c>
      <c r="D535">
        <v>30.475000000000001</v>
      </c>
      <c r="E535">
        <v>30.414999999999999</v>
      </c>
      <c r="F535" s="2">
        <v>3.0000000000000001E-3</v>
      </c>
      <c r="G535" t="s">
        <v>791</v>
      </c>
      <c r="H535" t="s">
        <v>800</v>
      </c>
      <c r="I535">
        <v>440258.3749</v>
      </c>
      <c r="J535">
        <v>1827459.3592000001</v>
      </c>
      <c r="K535">
        <v>440258.3749</v>
      </c>
      <c r="L535">
        <v>1827479.4838</v>
      </c>
      <c r="M535" t="s">
        <v>56</v>
      </c>
      <c r="N535" t="s">
        <v>57</v>
      </c>
      <c r="O535">
        <v>450</v>
      </c>
      <c r="P535" t="s">
        <v>3891</v>
      </c>
      <c r="Q535" t="s">
        <v>3892</v>
      </c>
      <c r="R535" t="s">
        <v>367</v>
      </c>
      <c r="S535" t="s">
        <v>793</v>
      </c>
      <c r="T535" t="s">
        <v>448</v>
      </c>
      <c r="U535">
        <v>-0.17499999999999999</v>
      </c>
      <c r="V535">
        <v>-0.17499999999999999</v>
      </c>
      <c r="W535" t="s">
        <v>52</v>
      </c>
      <c r="X535">
        <v>0.88180000000000003</v>
      </c>
      <c r="Y535">
        <v>0.89300000000000002</v>
      </c>
      <c r="Z535">
        <v>0.89300000000000002</v>
      </c>
      <c r="AA535">
        <v>0.88180000000000003</v>
      </c>
      <c r="AB535">
        <v>20.124500000000001</v>
      </c>
      <c r="AC535">
        <v>20.124600000000001</v>
      </c>
      <c r="AD535">
        <v>18.926600000000001</v>
      </c>
      <c r="AE535">
        <v>18.9267</v>
      </c>
      <c r="AF535" t="s">
        <v>67</v>
      </c>
      <c r="AG535" t="s">
        <v>67</v>
      </c>
      <c r="AH535" t="s">
        <v>3894</v>
      </c>
      <c r="AI535" t="s">
        <v>3894</v>
      </c>
      <c r="AJ535" t="s">
        <v>3895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3896</v>
      </c>
      <c r="AT535" t="s">
        <v>3890</v>
      </c>
      <c r="AU535" t="s">
        <v>3897</v>
      </c>
      <c r="AV535" t="s">
        <v>3898</v>
      </c>
      <c r="AW535">
        <v>2</v>
      </c>
      <c r="AX535">
        <v>0</v>
      </c>
    </row>
    <row r="536" spans="1:50" x14ac:dyDescent="0.25">
      <c r="A536" t="s">
        <v>4505</v>
      </c>
      <c r="B536" t="s">
        <v>3889</v>
      </c>
      <c r="C536" t="s">
        <v>3890</v>
      </c>
      <c r="D536">
        <v>31.460999999999999</v>
      </c>
      <c r="E536">
        <v>31.417000000000002</v>
      </c>
      <c r="F536" s="2">
        <v>3.0000000000000001E-3</v>
      </c>
      <c r="G536" t="s">
        <v>1599</v>
      </c>
      <c r="H536" t="s">
        <v>1603</v>
      </c>
      <c r="I536">
        <v>439936.8051</v>
      </c>
      <c r="J536">
        <v>1827550.5338000001</v>
      </c>
      <c r="K536">
        <v>439951.42479999998</v>
      </c>
      <c r="L536">
        <v>1827550.5338000001</v>
      </c>
      <c r="M536" t="s">
        <v>56</v>
      </c>
      <c r="N536" t="s">
        <v>57</v>
      </c>
      <c r="O536">
        <v>450</v>
      </c>
      <c r="P536" t="s">
        <v>3891</v>
      </c>
      <c r="Q536" t="s">
        <v>3892</v>
      </c>
      <c r="R536" t="s">
        <v>132</v>
      </c>
      <c r="S536" t="s">
        <v>1601</v>
      </c>
      <c r="T536" t="s">
        <v>1605</v>
      </c>
      <c r="U536">
        <v>0.22500000000000001</v>
      </c>
      <c r="V536">
        <v>0.22500000000000001</v>
      </c>
      <c r="W536" t="s">
        <v>52</v>
      </c>
      <c r="X536">
        <v>0.84699999999999998</v>
      </c>
      <c r="Y536">
        <v>1.0376000000000001</v>
      </c>
      <c r="Z536">
        <v>1.0376000000000001</v>
      </c>
      <c r="AA536">
        <v>0.87139999999999995</v>
      </c>
      <c r="AB536">
        <v>14.6198</v>
      </c>
      <c r="AC536">
        <v>14.6198</v>
      </c>
      <c r="AD536">
        <v>13.421900000000001</v>
      </c>
      <c r="AE536">
        <v>13.421900000000001</v>
      </c>
      <c r="AF536" t="s">
        <v>3920</v>
      </c>
      <c r="AG536" t="s">
        <v>3920</v>
      </c>
      <c r="AH536" t="s">
        <v>3894</v>
      </c>
      <c r="AI536" t="s">
        <v>3894</v>
      </c>
      <c r="AJ536" t="s">
        <v>3895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3896</v>
      </c>
      <c r="AT536" t="s">
        <v>3890</v>
      </c>
      <c r="AU536" t="s">
        <v>3897</v>
      </c>
      <c r="AV536" t="s">
        <v>3898</v>
      </c>
      <c r="AW536">
        <v>2</v>
      </c>
      <c r="AX536">
        <v>0</v>
      </c>
    </row>
    <row r="537" spans="1:50" x14ac:dyDescent="0.25">
      <c r="A537" t="s">
        <v>4506</v>
      </c>
      <c r="B537" t="s">
        <v>3889</v>
      </c>
      <c r="C537" t="s">
        <v>3890</v>
      </c>
      <c r="D537">
        <v>31.113</v>
      </c>
      <c r="E537">
        <v>31.053999999999998</v>
      </c>
      <c r="F537" s="2">
        <v>3.0000000000000001E-3</v>
      </c>
      <c r="G537" t="s">
        <v>3253</v>
      </c>
      <c r="H537" t="s">
        <v>3257</v>
      </c>
      <c r="I537">
        <v>440190.53690000001</v>
      </c>
      <c r="J537">
        <v>1827384.5985999999</v>
      </c>
      <c r="K537">
        <v>440210.42509999999</v>
      </c>
      <c r="L537">
        <v>1827384.5985999999</v>
      </c>
      <c r="M537" t="s">
        <v>56</v>
      </c>
      <c r="N537" t="s">
        <v>57</v>
      </c>
      <c r="O537">
        <v>450</v>
      </c>
      <c r="P537" t="s">
        <v>3891</v>
      </c>
      <c r="Q537" t="s">
        <v>3892</v>
      </c>
      <c r="R537" t="s">
        <v>54</v>
      </c>
      <c r="S537" t="s">
        <v>3255</v>
      </c>
      <c r="T537" t="s">
        <v>849</v>
      </c>
      <c r="U537">
        <v>7.4999999999999997E-2</v>
      </c>
      <c r="V537">
        <v>7.4999999999999997E-2</v>
      </c>
      <c r="W537" t="s">
        <v>52</v>
      </c>
      <c r="X537">
        <v>0.88180000000000003</v>
      </c>
      <c r="Y537">
        <v>0.94389999999999996</v>
      </c>
      <c r="Z537">
        <v>0.94389999999999996</v>
      </c>
      <c r="AA537">
        <v>0.88180000000000003</v>
      </c>
      <c r="AB537">
        <v>19.888200000000001</v>
      </c>
      <c r="AC537">
        <v>19.888300000000001</v>
      </c>
      <c r="AD537">
        <v>18.690300000000001</v>
      </c>
      <c r="AE537">
        <v>18.6904</v>
      </c>
      <c r="AF537" t="s">
        <v>183</v>
      </c>
      <c r="AG537" t="s">
        <v>183</v>
      </c>
      <c r="AH537" t="s">
        <v>3894</v>
      </c>
      <c r="AI537" t="s">
        <v>3894</v>
      </c>
      <c r="AJ537" t="s">
        <v>3895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3896</v>
      </c>
      <c r="AT537" t="s">
        <v>3890</v>
      </c>
      <c r="AU537" t="s">
        <v>3897</v>
      </c>
      <c r="AV537" t="s">
        <v>3898</v>
      </c>
      <c r="AW537">
        <v>2</v>
      </c>
      <c r="AX537">
        <v>0</v>
      </c>
    </row>
    <row r="538" spans="1:50" x14ac:dyDescent="0.25">
      <c r="A538" t="s">
        <v>4507</v>
      </c>
      <c r="B538" t="s">
        <v>3889</v>
      </c>
      <c r="C538" t="s">
        <v>3890</v>
      </c>
      <c r="D538">
        <v>29.824000000000002</v>
      </c>
      <c r="E538">
        <v>29.780999999999999</v>
      </c>
      <c r="F538" s="2">
        <v>3.0999999999999999E-3</v>
      </c>
      <c r="G538" t="s">
        <v>1077</v>
      </c>
      <c r="H538" t="s">
        <v>1081</v>
      </c>
      <c r="I538">
        <v>440258.3749</v>
      </c>
      <c r="J538">
        <v>1827717.7609000001</v>
      </c>
      <c r="K538">
        <v>440258.1079</v>
      </c>
      <c r="L538">
        <v>1827703.7145</v>
      </c>
      <c r="M538" t="s">
        <v>56</v>
      </c>
      <c r="N538" t="s">
        <v>57</v>
      </c>
      <c r="O538">
        <v>450</v>
      </c>
      <c r="P538" t="s">
        <v>3891</v>
      </c>
      <c r="Q538" t="s">
        <v>3892</v>
      </c>
      <c r="R538" t="s">
        <v>275</v>
      </c>
      <c r="S538" t="s">
        <v>1079</v>
      </c>
      <c r="T538" t="s">
        <v>4508</v>
      </c>
      <c r="U538">
        <v>2.1499999999999998E-2</v>
      </c>
      <c r="V538">
        <v>0.28849999999999998</v>
      </c>
      <c r="W538" t="s">
        <v>52</v>
      </c>
      <c r="X538">
        <v>0.83540000000000003</v>
      </c>
      <c r="Y538">
        <v>1.101</v>
      </c>
      <c r="Z538">
        <v>1.101</v>
      </c>
      <c r="AA538">
        <v>0.85499999999999998</v>
      </c>
      <c r="AB538">
        <v>14.1968</v>
      </c>
      <c r="AC538">
        <v>14.196899999999999</v>
      </c>
      <c r="AD538">
        <v>13.2258</v>
      </c>
      <c r="AE538">
        <v>13.225899999999999</v>
      </c>
      <c r="AF538" t="s">
        <v>4509</v>
      </c>
      <c r="AG538" t="s">
        <v>4509</v>
      </c>
      <c r="AH538" t="s">
        <v>3894</v>
      </c>
      <c r="AI538" t="s">
        <v>3894</v>
      </c>
      <c r="AJ538" t="s">
        <v>3895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3896</v>
      </c>
      <c r="AT538" t="s">
        <v>3890</v>
      </c>
      <c r="AU538" t="s">
        <v>3897</v>
      </c>
      <c r="AV538" t="s">
        <v>3898</v>
      </c>
      <c r="AW538">
        <v>2</v>
      </c>
      <c r="AX538">
        <v>0</v>
      </c>
    </row>
    <row r="539" spans="1:50" x14ac:dyDescent="0.25">
      <c r="A539" t="s">
        <v>4510</v>
      </c>
      <c r="B539" t="s">
        <v>3963</v>
      </c>
      <c r="C539" t="s">
        <v>3890</v>
      </c>
      <c r="D539">
        <v>31.518000000000001</v>
      </c>
      <c r="E539">
        <v>31.459</v>
      </c>
      <c r="F539" s="2">
        <v>3.0000000000000001E-3</v>
      </c>
      <c r="G539" t="s">
        <v>1386</v>
      </c>
      <c r="H539" t="s">
        <v>398</v>
      </c>
      <c r="I539">
        <v>440053.69949999999</v>
      </c>
      <c r="J539">
        <v>1827640.9783000001</v>
      </c>
      <c r="K539">
        <v>440053.69949999999</v>
      </c>
      <c r="L539">
        <v>1827621.1351999999</v>
      </c>
      <c r="M539" t="s">
        <v>56</v>
      </c>
      <c r="N539" t="s">
        <v>57</v>
      </c>
      <c r="O539">
        <v>600</v>
      </c>
      <c r="P539" t="s">
        <v>3891</v>
      </c>
      <c r="Q539" t="s">
        <v>3892</v>
      </c>
      <c r="R539" t="s">
        <v>381</v>
      </c>
      <c r="S539" t="s">
        <v>1388</v>
      </c>
      <c r="T539" t="s">
        <v>400</v>
      </c>
      <c r="U539">
        <v>2.7E-2</v>
      </c>
      <c r="V539">
        <v>2.1100000000000001E-2</v>
      </c>
      <c r="W539" t="s">
        <v>52</v>
      </c>
      <c r="X539">
        <v>0.88839999999999997</v>
      </c>
      <c r="Y539">
        <v>0.93689999999999996</v>
      </c>
      <c r="Z539">
        <v>0.93689999999999996</v>
      </c>
      <c r="AA539">
        <v>0.88839999999999997</v>
      </c>
      <c r="AB539">
        <v>19.8431</v>
      </c>
      <c r="AC539">
        <v>19.8432</v>
      </c>
      <c r="AD539">
        <v>18.645600000000002</v>
      </c>
      <c r="AE539">
        <v>18.645700000000001</v>
      </c>
      <c r="AF539" t="s">
        <v>2233</v>
      </c>
      <c r="AG539" t="s">
        <v>2233</v>
      </c>
      <c r="AH539" t="s">
        <v>3894</v>
      </c>
      <c r="AI539" t="s">
        <v>3894</v>
      </c>
      <c r="AJ539" t="s">
        <v>3895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3896</v>
      </c>
      <c r="AT539" t="s">
        <v>3890</v>
      </c>
      <c r="AU539" t="s">
        <v>3964</v>
      </c>
      <c r="AV539" t="s">
        <v>3898</v>
      </c>
      <c r="AW539">
        <v>2</v>
      </c>
      <c r="AX539">
        <v>0</v>
      </c>
    </row>
    <row r="540" spans="1:50" x14ac:dyDescent="0.25">
      <c r="A540" t="s">
        <v>4511</v>
      </c>
      <c r="B540" t="s">
        <v>3889</v>
      </c>
      <c r="C540" t="s">
        <v>3890</v>
      </c>
      <c r="D540">
        <v>32.792000000000002</v>
      </c>
      <c r="E540">
        <v>32.731000000000002</v>
      </c>
      <c r="F540" s="2">
        <v>3.0000000000000001E-3</v>
      </c>
      <c r="G540" t="s">
        <v>1975</v>
      </c>
      <c r="H540" t="s">
        <v>1977</v>
      </c>
      <c r="I540">
        <v>440132.7745</v>
      </c>
      <c r="J540">
        <v>1828122.8171999999</v>
      </c>
      <c r="K540">
        <v>440132.7745</v>
      </c>
      <c r="L540">
        <v>1828102.3838</v>
      </c>
      <c r="M540" t="s">
        <v>56</v>
      </c>
      <c r="N540" t="s">
        <v>57</v>
      </c>
      <c r="O540">
        <v>450</v>
      </c>
      <c r="P540" t="s">
        <v>3891</v>
      </c>
      <c r="Q540" t="s">
        <v>3892</v>
      </c>
      <c r="R540" t="s">
        <v>1968</v>
      </c>
      <c r="S540" t="s">
        <v>440</v>
      </c>
      <c r="T540" s="1" t="s">
        <v>1979</v>
      </c>
      <c r="U540">
        <v>-1.41E-2</v>
      </c>
      <c r="V540">
        <v>-2.3400000000000001E-2</v>
      </c>
      <c r="W540" t="s">
        <v>52</v>
      </c>
      <c r="X540">
        <v>0.85040000000000004</v>
      </c>
      <c r="Y540">
        <v>1.1024</v>
      </c>
      <c r="Z540">
        <v>1.1024</v>
      </c>
      <c r="AA540">
        <v>0.86850000000000005</v>
      </c>
      <c r="AB540">
        <v>20.433399999999999</v>
      </c>
      <c r="AC540">
        <v>20.433499999999999</v>
      </c>
      <c r="AD540">
        <v>19.235499999999998</v>
      </c>
      <c r="AE540">
        <v>19.235600000000002</v>
      </c>
      <c r="AF540" t="s">
        <v>2233</v>
      </c>
      <c r="AG540" t="s">
        <v>2233</v>
      </c>
      <c r="AH540" t="s">
        <v>3894</v>
      </c>
      <c r="AI540" t="s">
        <v>3894</v>
      </c>
      <c r="AJ540" t="s">
        <v>3895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3896</v>
      </c>
      <c r="AT540" t="s">
        <v>3890</v>
      </c>
      <c r="AU540" t="s">
        <v>3897</v>
      </c>
      <c r="AV540" t="s">
        <v>3898</v>
      </c>
      <c r="AW540">
        <v>2</v>
      </c>
      <c r="AX540">
        <v>0</v>
      </c>
    </row>
    <row r="541" spans="1:50" x14ac:dyDescent="0.25">
      <c r="A541" t="s">
        <v>4512</v>
      </c>
      <c r="B541" t="s">
        <v>3889</v>
      </c>
      <c r="C541" t="s">
        <v>3890</v>
      </c>
      <c r="D541">
        <v>30.748999999999999</v>
      </c>
      <c r="E541">
        <v>30.702999999999999</v>
      </c>
      <c r="F541" s="2">
        <v>3.0000000000000001E-3</v>
      </c>
      <c r="G541" t="s">
        <v>2272</v>
      </c>
      <c r="H541" t="s">
        <v>2276</v>
      </c>
      <c r="I541">
        <v>440454.3751</v>
      </c>
      <c r="J541">
        <v>1828037.8473</v>
      </c>
      <c r="K541">
        <v>440454.3751</v>
      </c>
      <c r="L541">
        <v>1828022.6987000001</v>
      </c>
      <c r="M541" t="s">
        <v>56</v>
      </c>
      <c r="N541" t="s">
        <v>57</v>
      </c>
      <c r="O541">
        <v>450</v>
      </c>
      <c r="P541" t="s">
        <v>3891</v>
      </c>
      <c r="Q541" t="s">
        <v>3892</v>
      </c>
      <c r="R541" t="s">
        <v>232</v>
      </c>
      <c r="S541" t="s">
        <v>2477</v>
      </c>
      <c r="T541" t="s">
        <v>452</v>
      </c>
      <c r="U541">
        <v>0.1784</v>
      </c>
      <c r="V541">
        <v>0.1784</v>
      </c>
      <c r="W541" t="s">
        <v>52</v>
      </c>
      <c r="X541">
        <v>0.85060000000000002</v>
      </c>
      <c r="Y541">
        <v>1.0246</v>
      </c>
      <c r="Z541">
        <v>0.86839999999999995</v>
      </c>
      <c r="AA541">
        <v>0.88149999999999995</v>
      </c>
      <c r="AB541">
        <v>15.297499999999999</v>
      </c>
      <c r="AC541">
        <v>15.297499999999999</v>
      </c>
      <c r="AD541">
        <v>14.3996</v>
      </c>
      <c r="AE541">
        <v>14.3996</v>
      </c>
      <c r="AF541" t="s">
        <v>3905</v>
      </c>
      <c r="AG541" t="s">
        <v>3905</v>
      </c>
      <c r="AH541" t="s">
        <v>3894</v>
      </c>
      <c r="AI541" t="s">
        <v>3894</v>
      </c>
      <c r="AJ541" t="s">
        <v>3895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3896</v>
      </c>
      <c r="AT541" t="s">
        <v>3890</v>
      </c>
      <c r="AU541" t="s">
        <v>3897</v>
      </c>
      <c r="AV541" t="s">
        <v>3898</v>
      </c>
      <c r="AW541">
        <v>2</v>
      </c>
      <c r="AX541">
        <v>0</v>
      </c>
    </row>
    <row r="542" spans="1:50" x14ac:dyDescent="0.25">
      <c r="A542" t="s">
        <v>4513</v>
      </c>
      <c r="B542" t="s">
        <v>3955</v>
      </c>
      <c r="C542" t="s">
        <v>3890</v>
      </c>
      <c r="D542">
        <v>27.85</v>
      </c>
      <c r="E542">
        <v>27.803000000000001</v>
      </c>
      <c r="F542" s="2">
        <v>3.0000000000000001E-3</v>
      </c>
      <c r="G542" t="s">
        <v>3449</v>
      </c>
      <c r="H542" t="s">
        <v>3452</v>
      </c>
      <c r="I542">
        <v>440570.42509999999</v>
      </c>
      <c r="J542">
        <v>1827384.5236</v>
      </c>
      <c r="K542">
        <v>440586.00750000001</v>
      </c>
      <c r="L542">
        <v>1827384.5236</v>
      </c>
      <c r="M542" t="s">
        <v>56</v>
      </c>
      <c r="N542" t="s">
        <v>57</v>
      </c>
      <c r="O542">
        <v>600</v>
      </c>
      <c r="P542" t="s">
        <v>109</v>
      </c>
      <c r="Q542" t="s">
        <v>3892</v>
      </c>
      <c r="R542" t="s">
        <v>54</v>
      </c>
      <c r="S542" t="s">
        <v>452</v>
      </c>
      <c r="T542" t="s">
        <v>3454</v>
      </c>
      <c r="U542">
        <v>0</v>
      </c>
      <c r="V542">
        <v>0</v>
      </c>
      <c r="W542" t="s">
        <v>52</v>
      </c>
      <c r="X542">
        <v>1.2968999999999999</v>
      </c>
      <c r="Y542">
        <v>1.5923</v>
      </c>
      <c r="Z542">
        <v>1.5923</v>
      </c>
      <c r="AA542">
        <v>1.3244</v>
      </c>
      <c r="AB542">
        <v>15.5824</v>
      </c>
      <c r="AC542">
        <v>15.5824</v>
      </c>
      <c r="AD542">
        <v>14.3849</v>
      </c>
      <c r="AE542">
        <v>14.385</v>
      </c>
      <c r="AF542" t="s">
        <v>183</v>
      </c>
      <c r="AG542" t="s">
        <v>183</v>
      </c>
      <c r="AH542" t="s">
        <v>3894</v>
      </c>
      <c r="AI542" t="s">
        <v>3894</v>
      </c>
      <c r="AJ542" t="s">
        <v>3895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3896</v>
      </c>
      <c r="AT542" t="s">
        <v>3890</v>
      </c>
      <c r="AU542" t="s">
        <v>3956</v>
      </c>
      <c r="AV542" t="s">
        <v>3898</v>
      </c>
      <c r="AW542">
        <v>2</v>
      </c>
      <c r="AX542">
        <v>0</v>
      </c>
    </row>
    <row r="543" spans="1:50" x14ac:dyDescent="0.25">
      <c r="A543" t="s">
        <v>4514</v>
      </c>
      <c r="B543" t="s">
        <v>3947</v>
      </c>
      <c r="C543" t="s">
        <v>3890</v>
      </c>
      <c r="D543">
        <v>28.071000000000002</v>
      </c>
      <c r="E543">
        <v>28.048999999999999</v>
      </c>
      <c r="F543" s="2">
        <v>1E-3</v>
      </c>
      <c r="G543" t="s">
        <v>3505</v>
      </c>
      <c r="H543" t="s">
        <v>3509</v>
      </c>
      <c r="I543">
        <v>440398.47509999998</v>
      </c>
      <c r="J543">
        <v>1827531.7672999999</v>
      </c>
      <c r="K543">
        <v>440420.81079999998</v>
      </c>
      <c r="L543">
        <v>1827531.784</v>
      </c>
      <c r="M543" t="s">
        <v>56</v>
      </c>
      <c r="N543" t="s">
        <v>57</v>
      </c>
      <c r="O543">
        <v>1050</v>
      </c>
      <c r="P543" t="s">
        <v>3918</v>
      </c>
      <c r="Q543" t="s">
        <v>3930</v>
      </c>
      <c r="R543" t="s">
        <v>141</v>
      </c>
      <c r="S543" t="s">
        <v>4479</v>
      </c>
      <c r="T543" t="s">
        <v>3511</v>
      </c>
      <c r="U543">
        <v>0.21690000000000001</v>
      </c>
      <c r="V543">
        <v>0.23350000000000001</v>
      </c>
      <c r="W543" t="s">
        <v>52</v>
      </c>
      <c r="X543">
        <v>1.2195</v>
      </c>
      <c r="Y543">
        <v>1.4020999999999999</v>
      </c>
      <c r="Z543">
        <v>1.2803</v>
      </c>
      <c r="AA543">
        <v>1.2195</v>
      </c>
      <c r="AB543">
        <v>22.634699999999999</v>
      </c>
      <c r="AC543">
        <v>22.634699999999999</v>
      </c>
      <c r="AD543">
        <v>21.436</v>
      </c>
      <c r="AE543">
        <v>21.4361</v>
      </c>
      <c r="AF543" t="s">
        <v>4515</v>
      </c>
      <c r="AG543" t="s">
        <v>4515</v>
      </c>
      <c r="AH543" t="s">
        <v>3894</v>
      </c>
      <c r="AI543" t="s">
        <v>3894</v>
      </c>
      <c r="AJ543" t="s">
        <v>3895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3896</v>
      </c>
      <c r="AT543" t="s">
        <v>3890</v>
      </c>
      <c r="AU543" t="s">
        <v>3950</v>
      </c>
      <c r="AV543" t="s">
        <v>3898</v>
      </c>
      <c r="AW543">
        <v>2</v>
      </c>
      <c r="AX543">
        <v>0</v>
      </c>
    </row>
    <row r="544" spans="1:50" x14ac:dyDescent="0.25">
      <c r="A544" t="s">
        <v>4516</v>
      </c>
      <c r="B544" t="s">
        <v>3889</v>
      </c>
      <c r="C544" t="s">
        <v>3890</v>
      </c>
      <c r="D544">
        <v>28.594999999999999</v>
      </c>
      <c r="E544">
        <v>28.542999999999999</v>
      </c>
      <c r="F544" s="2">
        <v>3.0000000000000001E-3</v>
      </c>
      <c r="G544" t="s">
        <v>2748</v>
      </c>
      <c r="H544" t="s">
        <v>2762</v>
      </c>
      <c r="I544">
        <v>440502.87310000003</v>
      </c>
      <c r="J544">
        <v>1827778.6757</v>
      </c>
      <c r="K544">
        <v>440520.32510000002</v>
      </c>
      <c r="L544">
        <v>1827778.6757</v>
      </c>
      <c r="M544" t="s">
        <v>56</v>
      </c>
      <c r="N544" t="s">
        <v>57</v>
      </c>
      <c r="O544">
        <v>450</v>
      </c>
      <c r="P544" t="s">
        <v>3891</v>
      </c>
      <c r="Q544" t="s">
        <v>3892</v>
      </c>
      <c r="R544" t="s">
        <v>200</v>
      </c>
      <c r="S544" t="s">
        <v>2750</v>
      </c>
      <c r="T544" t="s">
        <v>2764</v>
      </c>
      <c r="U544">
        <v>0.1183</v>
      </c>
      <c r="V544">
        <v>0.1124</v>
      </c>
      <c r="W544" t="s">
        <v>52</v>
      </c>
      <c r="X544">
        <v>0.83489999999999998</v>
      </c>
      <c r="Y544">
        <v>0.9859</v>
      </c>
      <c r="Z544">
        <v>0.88700000000000001</v>
      </c>
      <c r="AA544">
        <v>0.87129999999999996</v>
      </c>
      <c r="AB544">
        <v>17.452000000000002</v>
      </c>
      <c r="AC544">
        <v>17.452100000000002</v>
      </c>
      <c r="AD544">
        <v>16.254100000000001</v>
      </c>
      <c r="AE544">
        <v>16.254200000000001</v>
      </c>
      <c r="AF544" t="s">
        <v>183</v>
      </c>
      <c r="AG544" t="s">
        <v>183</v>
      </c>
      <c r="AH544" t="s">
        <v>3894</v>
      </c>
      <c r="AI544" t="s">
        <v>3894</v>
      </c>
      <c r="AJ544" t="s">
        <v>3895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3896</v>
      </c>
      <c r="AT544" t="s">
        <v>3890</v>
      </c>
      <c r="AU544" t="s">
        <v>3897</v>
      </c>
      <c r="AV544" t="s">
        <v>3898</v>
      </c>
      <c r="AW544">
        <v>2</v>
      </c>
      <c r="AX544">
        <v>0</v>
      </c>
    </row>
    <row r="545" spans="1:50" x14ac:dyDescent="0.25">
      <c r="A545" t="s">
        <v>4517</v>
      </c>
      <c r="B545" t="s">
        <v>3889</v>
      </c>
      <c r="C545" t="s">
        <v>3890</v>
      </c>
      <c r="D545">
        <v>31.44</v>
      </c>
      <c r="E545">
        <v>31.38</v>
      </c>
      <c r="F545" s="2">
        <v>3.0000000000000001E-3</v>
      </c>
      <c r="G545" t="s">
        <v>3309</v>
      </c>
      <c r="H545" t="s">
        <v>331</v>
      </c>
      <c r="I545">
        <v>440183.07490000001</v>
      </c>
      <c r="J545">
        <v>1827294.4693</v>
      </c>
      <c r="K545">
        <v>440183.07490000001</v>
      </c>
      <c r="L545">
        <v>1827314.5144</v>
      </c>
      <c r="M545" t="s">
        <v>56</v>
      </c>
      <c r="N545" t="s">
        <v>57</v>
      </c>
      <c r="O545">
        <v>450</v>
      </c>
      <c r="P545" t="s">
        <v>3891</v>
      </c>
      <c r="Q545" t="s">
        <v>3892</v>
      </c>
      <c r="R545" t="s">
        <v>333</v>
      </c>
      <c r="S545" t="s">
        <v>3311</v>
      </c>
      <c r="T545" t="s">
        <v>334</v>
      </c>
      <c r="U545">
        <v>-2.4199999999999999E-2</v>
      </c>
      <c r="V545">
        <v>-2.4199999999999999E-2</v>
      </c>
      <c r="W545" t="s">
        <v>52</v>
      </c>
      <c r="X545">
        <v>0.89839999999999998</v>
      </c>
      <c r="Y545">
        <v>0.90159999999999996</v>
      </c>
      <c r="Z545">
        <v>0.90159999999999996</v>
      </c>
      <c r="AA545">
        <v>0.89839999999999998</v>
      </c>
      <c r="AB545">
        <v>20.045100000000001</v>
      </c>
      <c r="AC545">
        <v>20.045200000000001</v>
      </c>
      <c r="AD545">
        <v>18.847200000000001</v>
      </c>
      <c r="AE545">
        <v>18.847300000000001</v>
      </c>
      <c r="AF545" t="s">
        <v>3973</v>
      </c>
      <c r="AG545" t="s">
        <v>3973</v>
      </c>
      <c r="AH545" t="s">
        <v>3894</v>
      </c>
      <c r="AI545" t="s">
        <v>3894</v>
      </c>
      <c r="AJ545" t="s">
        <v>3895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3896</v>
      </c>
      <c r="AT545" t="s">
        <v>3890</v>
      </c>
      <c r="AU545" t="s">
        <v>3897</v>
      </c>
      <c r="AV545" t="s">
        <v>3898</v>
      </c>
      <c r="AW545">
        <v>2</v>
      </c>
      <c r="AX545">
        <v>0</v>
      </c>
    </row>
    <row r="546" spans="1:50" x14ac:dyDescent="0.25">
      <c r="A546" t="s">
        <v>4518</v>
      </c>
      <c r="B546" t="s">
        <v>4004</v>
      </c>
      <c r="C546" t="s">
        <v>3890</v>
      </c>
      <c r="D546">
        <v>28.437000000000001</v>
      </c>
      <c r="E546">
        <v>28.419</v>
      </c>
      <c r="F546" s="2">
        <v>1.1000000000000001E-3</v>
      </c>
      <c r="G546" t="s">
        <v>2630</v>
      </c>
      <c r="H546" t="s">
        <v>2654</v>
      </c>
      <c r="I546">
        <v>440568.5673</v>
      </c>
      <c r="J546">
        <v>1827884.9859</v>
      </c>
      <c r="K546">
        <v>440585.68099999998</v>
      </c>
      <c r="L546">
        <v>1827884.9859</v>
      </c>
      <c r="M546" t="s">
        <v>56</v>
      </c>
      <c r="N546" t="s">
        <v>57</v>
      </c>
      <c r="O546">
        <v>600</v>
      </c>
      <c r="P546" t="s">
        <v>58</v>
      </c>
      <c r="Q546" t="s">
        <v>3892</v>
      </c>
      <c r="R546" t="s">
        <v>844</v>
      </c>
      <c r="S546" t="s">
        <v>2632</v>
      </c>
      <c r="T546" t="s">
        <v>4519</v>
      </c>
      <c r="U546">
        <v>0</v>
      </c>
      <c r="V546">
        <v>0</v>
      </c>
      <c r="W546" t="s">
        <v>52</v>
      </c>
      <c r="X546">
        <v>0.93620000000000003</v>
      </c>
      <c r="Y546">
        <v>1.3989</v>
      </c>
      <c r="Z546">
        <v>1.3989</v>
      </c>
      <c r="AA546">
        <v>0.95299999999999996</v>
      </c>
      <c r="AB546">
        <v>17.2789</v>
      </c>
      <c r="AC546">
        <v>17.2789</v>
      </c>
      <c r="AD546">
        <v>16.079799999999999</v>
      </c>
      <c r="AE546">
        <v>16.079799999999999</v>
      </c>
      <c r="AF546" t="s">
        <v>3899</v>
      </c>
      <c r="AG546" t="s">
        <v>3899</v>
      </c>
      <c r="AH546" t="s">
        <v>3894</v>
      </c>
      <c r="AI546" t="s">
        <v>3894</v>
      </c>
      <c r="AJ546" t="s">
        <v>3895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3896</v>
      </c>
      <c r="AT546" t="s">
        <v>3890</v>
      </c>
      <c r="AU546" t="s">
        <v>4006</v>
      </c>
      <c r="AV546" t="s">
        <v>3898</v>
      </c>
      <c r="AW546">
        <v>2</v>
      </c>
      <c r="AX546">
        <v>0</v>
      </c>
    </row>
    <row r="547" spans="1:50" x14ac:dyDescent="0.25">
      <c r="A547" t="s">
        <v>4520</v>
      </c>
      <c r="B547" t="s">
        <v>3889</v>
      </c>
      <c r="C547" t="s">
        <v>3890</v>
      </c>
      <c r="D547">
        <v>28.739000000000001</v>
      </c>
      <c r="E547">
        <v>28.7</v>
      </c>
      <c r="F547" s="2">
        <v>2.2000000000000001E-3</v>
      </c>
      <c r="G547" t="s">
        <v>2770</v>
      </c>
      <c r="H547" t="s">
        <v>2766</v>
      </c>
      <c r="I547">
        <v>440529.67509999999</v>
      </c>
      <c r="J547">
        <v>1827809.7609000001</v>
      </c>
      <c r="K547">
        <v>440529.67509999999</v>
      </c>
      <c r="L547">
        <v>1827827.2064</v>
      </c>
      <c r="M547" t="s">
        <v>56</v>
      </c>
      <c r="N547" t="s">
        <v>57</v>
      </c>
      <c r="O547">
        <v>450</v>
      </c>
      <c r="P547" t="s">
        <v>3891</v>
      </c>
      <c r="Q547" t="s">
        <v>3892</v>
      </c>
      <c r="R547" t="s">
        <v>2583</v>
      </c>
      <c r="S547" t="s">
        <v>440</v>
      </c>
      <c r="T547" t="s">
        <v>2768</v>
      </c>
      <c r="U547">
        <v>0</v>
      </c>
      <c r="V547">
        <v>0</v>
      </c>
      <c r="W547" t="s">
        <v>52</v>
      </c>
      <c r="X547">
        <v>1.0692999999999999</v>
      </c>
      <c r="Y547">
        <v>1.2544999999999999</v>
      </c>
      <c r="Z547">
        <v>1.0692999999999999</v>
      </c>
      <c r="AA547">
        <v>1.2544999999999999</v>
      </c>
      <c r="AB547">
        <v>17.445499999999999</v>
      </c>
      <c r="AC547">
        <v>17.445499999999999</v>
      </c>
      <c r="AD547">
        <v>16.2471</v>
      </c>
      <c r="AE547">
        <v>16.2471</v>
      </c>
      <c r="AF547" t="s">
        <v>67</v>
      </c>
      <c r="AG547" t="s">
        <v>67</v>
      </c>
      <c r="AH547" t="s">
        <v>3894</v>
      </c>
      <c r="AI547" t="s">
        <v>3894</v>
      </c>
      <c r="AJ547" t="s">
        <v>3895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3896</v>
      </c>
      <c r="AT547" t="s">
        <v>3890</v>
      </c>
      <c r="AU547" t="s">
        <v>3897</v>
      </c>
      <c r="AV547" t="s">
        <v>3898</v>
      </c>
      <c r="AW547">
        <v>2</v>
      </c>
      <c r="AX547">
        <v>0</v>
      </c>
    </row>
    <row r="548" spans="1:50" x14ac:dyDescent="0.25">
      <c r="A548" t="s">
        <v>4521</v>
      </c>
      <c r="B548" t="s">
        <v>3996</v>
      </c>
      <c r="C548" t="s">
        <v>3890</v>
      </c>
      <c r="D548">
        <v>27.084</v>
      </c>
      <c r="E548">
        <v>27.062999999999999</v>
      </c>
      <c r="F548" s="2">
        <v>1E-3</v>
      </c>
      <c r="G548" t="s">
        <v>3770</v>
      </c>
      <c r="H548" t="s">
        <v>3780</v>
      </c>
      <c r="I548">
        <v>440488.03009999997</v>
      </c>
      <c r="J548">
        <v>1827549.9661000001</v>
      </c>
      <c r="K548">
        <v>440509.22450000001</v>
      </c>
      <c r="L548">
        <v>1827549.9782</v>
      </c>
      <c r="M548" t="s">
        <v>56</v>
      </c>
      <c r="N548" t="s">
        <v>57</v>
      </c>
      <c r="O548">
        <v>1350</v>
      </c>
      <c r="P548" t="s">
        <v>3997</v>
      </c>
      <c r="Q548" t="s">
        <v>3998</v>
      </c>
      <c r="R548" t="s">
        <v>180</v>
      </c>
      <c r="S548" t="s">
        <v>3772</v>
      </c>
      <c r="T548" t="s">
        <v>3782</v>
      </c>
      <c r="U548">
        <v>-0.56769999999999998</v>
      </c>
      <c r="V548">
        <v>-0.55559999999999998</v>
      </c>
      <c r="W548" t="s">
        <v>52</v>
      </c>
      <c r="X548">
        <v>1.0584</v>
      </c>
      <c r="Y548">
        <v>1.1575</v>
      </c>
      <c r="Z548">
        <v>1.1575</v>
      </c>
      <c r="AA548">
        <v>1.0584</v>
      </c>
      <c r="AB548">
        <v>21.194400000000002</v>
      </c>
      <c r="AC548">
        <v>21.194400000000002</v>
      </c>
      <c r="AD548">
        <v>19.996200000000002</v>
      </c>
      <c r="AE548">
        <v>19.996200000000002</v>
      </c>
      <c r="AF548" t="s">
        <v>4522</v>
      </c>
      <c r="AG548" t="s">
        <v>4522</v>
      </c>
      <c r="AH548" t="s">
        <v>3894</v>
      </c>
      <c r="AI548" t="s">
        <v>3894</v>
      </c>
      <c r="AJ548" t="s">
        <v>3895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3896</v>
      </c>
      <c r="AT548" t="s">
        <v>3890</v>
      </c>
      <c r="AU548" t="s">
        <v>4000</v>
      </c>
      <c r="AV548" t="s">
        <v>3898</v>
      </c>
      <c r="AW548">
        <v>2</v>
      </c>
      <c r="AX548">
        <v>0</v>
      </c>
    </row>
    <row r="549" spans="1:50" x14ac:dyDescent="0.25">
      <c r="A549" t="s">
        <v>4523</v>
      </c>
      <c r="B549" t="s">
        <v>3889</v>
      </c>
      <c r="C549" t="s">
        <v>3890</v>
      </c>
      <c r="D549">
        <v>28.92</v>
      </c>
      <c r="E549">
        <v>28.859000000000002</v>
      </c>
      <c r="F549" s="2">
        <v>3.0000000000000001E-3</v>
      </c>
      <c r="G549" t="s">
        <v>3059</v>
      </c>
      <c r="H549" t="s">
        <v>3063</v>
      </c>
      <c r="I549">
        <v>440585.57510000002</v>
      </c>
      <c r="J549">
        <v>1827334.8918000001</v>
      </c>
      <c r="K549">
        <v>440585.57510000002</v>
      </c>
      <c r="L549">
        <v>1827355.0075000001</v>
      </c>
      <c r="M549" t="s">
        <v>56</v>
      </c>
      <c r="N549" t="s">
        <v>57</v>
      </c>
      <c r="O549">
        <v>450</v>
      </c>
      <c r="P549" t="s">
        <v>3891</v>
      </c>
      <c r="Q549" t="s">
        <v>3892</v>
      </c>
      <c r="R549" t="s">
        <v>357</v>
      </c>
      <c r="S549" t="s">
        <v>3061</v>
      </c>
      <c r="T549" t="s">
        <v>3051</v>
      </c>
      <c r="U549">
        <v>0.11650000000000001</v>
      </c>
      <c r="V549">
        <v>0.10539999999999999</v>
      </c>
      <c r="W549" t="s">
        <v>52</v>
      </c>
      <c r="X549">
        <v>0.90029999999999999</v>
      </c>
      <c r="Y549">
        <v>0.95089999999999997</v>
      </c>
      <c r="Z549">
        <v>0.95089999999999997</v>
      </c>
      <c r="AA549">
        <v>0.90029999999999999</v>
      </c>
      <c r="AB549">
        <v>20.1157</v>
      </c>
      <c r="AC549">
        <v>20.1158</v>
      </c>
      <c r="AD549">
        <v>18.917899999999999</v>
      </c>
      <c r="AE549">
        <v>18.917899999999999</v>
      </c>
      <c r="AF549" t="s">
        <v>3973</v>
      </c>
      <c r="AG549" t="s">
        <v>3973</v>
      </c>
      <c r="AH549" t="s">
        <v>3894</v>
      </c>
      <c r="AI549" t="s">
        <v>3894</v>
      </c>
      <c r="AJ549" t="s">
        <v>3895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3896</v>
      </c>
      <c r="AT549" t="s">
        <v>3890</v>
      </c>
      <c r="AU549" t="s">
        <v>3897</v>
      </c>
      <c r="AV549" t="s">
        <v>3898</v>
      </c>
      <c r="AW549">
        <v>2</v>
      </c>
      <c r="AX549">
        <v>0</v>
      </c>
    </row>
    <row r="550" spans="1:50" x14ac:dyDescent="0.25">
      <c r="A550" t="s">
        <v>4524</v>
      </c>
      <c r="B550" t="s">
        <v>3928</v>
      </c>
      <c r="C550" t="s">
        <v>3890</v>
      </c>
      <c r="D550">
        <v>29.215</v>
      </c>
      <c r="E550">
        <v>29.152000000000001</v>
      </c>
      <c r="F550" s="2">
        <v>3.0999999999999999E-3</v>
      </c>
      <c r="G550" t="s">
        <v>2064</v>
      </c>
      <c r="H550" t="s">
        <v>2069</v>
      </c>
      <c r="I550">
        <v>440170.06030000001</v>
      </c>
      <c r="J550">
        <v>1827550.2588</v>
      </c>
      <c r="K550">
        <v>440184.61300000001</v>
      </c>
      <c r="L550">
        <v>1827564.8114</v>
      </c>
      <c r="M550" t="s">
        <v>56</v>
      </c>
      <c r="N550" t="s">
        <v>57</v>
      </c>
      <c r="O550">
        <v>900</v>
      </c>
      <c r="P550" t="s">
        <v>3929</v>
      </c>
      <c r="Q550" t="s">
        <v>3930</v>
      </c>
      <c r="R550" t="s">
        <v>2072</v>
      </c>
      <c r="S550" t="s">
        <v>4525</v>
      </c>
      <c r="T550" t="s">
        <v>4440</v>
      </c>
      <c r="U550">
        <v>7.2999999999999995E-2</v>
      </c>
      <c r="V550">
        <v>14.602399999999999</v>
      </c>
      <c r="W550" t="s">
        <v>52</v>
      </c>
      <c r="X550">
        <v>1.2751999999999999</v>
      </c>
      <c r="Y550">
        <v>1.3635999999999999</v>
      </c>
      <c r="Z550">
        <v>1.3007</v>
      </c>
      <c r="AA550">
        <v>1.2751999999999999</v>
      </c>
      <c r="AB550">
        <v>20.5806</v>
      </c>
      <c r="AC550">
        <v>20.5807</v>
      </c>
      <c r="AD550">
        <v>19.384399999999999</v>
      </c>
      <c r="AE550">
        <v>19.384499999999999</v>
      </c>
      <c r="AF550" t="s">
        <v>4442</v>
      </c>
      <c r="AG550" t="s">
        <v>4442</v>
      </c>
      <c r="AH550" t="s">
        <v>3894</v>
      </c>
      <c r="AI550" t="s">
        <v>3894</v>
      </c>
      <c r="AJ550" t="s">
        <v>3895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3896</v>
      </c>
      <c r="AT550" t="s">
        <v>3890</v>
      </c>
      <c r="AU550" t="s">
        <v>3931</v>
      </c>
      <c r="AV550" t="s">
        <v>3898</v>
      </c>
      <c r="AW550">
        <v>2</v>
      </c>
      <c r="AX550">
        <v>0</v>
      </c>
    </row>
    <row r="551" spans="1:50" x14ac:dyDescent="0.25">
      <c r="A551" t="s">
        <v>4526</v>
      </c>
      <c r="B551" t="s">
        <v>3889</v>
      </c>
      <c r="C551" t="s">
        <v>3890</v>
      </c>
      <c r="D551">
        <v>31.207999999999998</v>
      </c>
      <c r="E551">
        <v>31.158000000000001</v>
      </c>
      <c r="F551" s="2">
        <v>3.0000000000000001E-3</v>
      </c>
      <c r="G551" t="s">
        <v>678</v>
      </c>
      <c r="H551" t="s">
        <v>682</v>
      </c>
      <c r="I551">
        <v>440127.17499999999</v>
      </c>
      <c r="J551">
        <v>1827462.595</v>
      </c>
      <c r="K551">
        <v>440127.17499999999</v>
      </c>
      <c r="L551">
        <v>1827479.4831999999</v>
      </c>
      <c r="M551" t="s">
        <v>56</v>
      </c>
      <c r="N551" t="s">
        <v>57</v>
      </c>
      <c r="O551">
        <v>450</v>
      </c>
      <c r="P551" t="s">
        <v>3891</v>
      </c>
      <c r="Q551" t="s">
        <v>3892</v>
      </c>
      <c r="R551" t="s">
        <v>307</v>
      </c>
      <c r="S551" t="s">
        <v>680</v>
      </c>
      <c r="T551" s="1" t="s">
        <v>448</v>
      </c>
      <c r="U551">
        <v>-0.15840000000000001</v>
      </c>
      <c r="V551">
        <v>-0.16250000000000001</v>
      </c>
      <c r="W551" t="s">
        <v>52</v>
      </c>
      <c r="X551">
        <v>0.88190000000000002</v>
      </c>
      <c r="Y551">
        <v>0.91790000000000005</v>
      </c>
      <c r="Z551">
        <v>0.91790000000000005</v>
      </c>
      <c r="AA551">
        <v>0.88190000000000002</v>
      </c>
      <c r="AB551">
        <v>16.888100000000001</v>
      </c>
      <c r="AC551">
        <v>16.888200000000001</v>
      </c>
      <c r="AD551">
        <v>15.690200000000001</v>
      </c>
      <c r="AE551">
        <v>15.690300000000001</v>
      </c>
      <c r="AF551" t="s">
        <v>67</v>
      </c>
      <c r="AG551" t="s">
        <v>67</v>
      </c>
      <c r="AH551" t="s">
        <v>3894</v>
      </c>
      <c r="AI551" t="s">
        <v>3894</v>
      </c>
      <c r="AJ551" t="s">
        <v>3895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3896</v>
      </c>
      <c r="AT551" t="s">
        <v>3890</v>
      </c>
      <c r="AU551" t="s">
        <v>3897</v>
      </c>
      <c r="AV551" t="s">
        <v>3898</v>
      </c>
      <c r="AW551">
        <v>2</v>
      </c>
      <c r="AX551">
        <v>0</v>
      </c>
    </row>
    <row r="552" spans="1:50" x14ac:dyDescent="0.25">
      <c r="A552" t="s">
        <v>4527</v>
      </c>
      <c r="B552" t="s">
        <v>3889</v>
      </c>
      <c r="C552" t="s">
        <v>3890</v>
      </c>
      <c r="D552">
        <v>28.815999999999999</v>
      </c>
      <c r="E552">
        <v>28.765000000000001</v>
      </c>
      <c r="F552" s="2">
        <v>2.5000000000000001E-3</v>
      </c>
      <c r="G552" t="s">
        <v>3049</v>
      </c>
      <c r="H552" t="s">
        <v>3215</v>
      </c>
      <c r="I552">
        <v>440595.27510000003</v>
      </c>
      <c r="J552">
        <v>1827355.0075000001</v>
      </c>
      <c r="K552">
        <v>440595.27510000003</v>
      </c>
      <c r="L552">
        <v>1827375.1736000001</v>
      </c>
      <c r="M552" t="s">
        <v>56</v>
      </c>
      <c r="N552" t="s">
        <v>57</v>
      </c>
      <c r="O552">
        <v>450</v>
      </c>
      <c r="P552" t="s">
        <v>3891</v>
      </c>
      <c r="Q552" t="s">
        <v>3892</v>
      </c>
      <c r="R552" t="s">
        <v>797</v>
      </c>
      <c r="S552" t="s">
        <v>3051</v>
      </c>
      <c r="T552" t="s">
        <v>4528</v>
      </c>
      <c r="U552">
        <v>3.3099999999999997E-2</v>
      </c>
      <c r="V552">
        <v>3.3099999999999997E-2</v>
      </c>
      <c r="W552" t="s">
        <v>52</v>
      </c>
      <c r="X552">
        <v>0.88239999999999996</v>
      </c>
      <c r="Y552">
        <v>0.94330000000000003</v>
      </c>
      <c r="Z552">
        <v>0.94330000000000003</v>
      </c>
      <c r="AA552">
        <v>0.88239999999999996</v>
      </c>
      <c r="AB552">
        <v>20.0411</v>
      </c>
      <c r="AC552">
        <v>20.0412</v>
      </c>
      <c r="AD552">
        <v>19.142900000000001</v>
      </c>
      <c r="AE552">
        <v>19.142900000000001</v>
      </c>
      <c r="AF552" t="s">
        <v>3973</v>
      </c>
      <c r="AG552" t="s">
        <v>3973</v>
      </c>
      <c r="AH552" t="s">
        <v>3894</v>
      </c>
      <c r="AI552" t="s">
        <v>3894</v>
      </c>
      <c r="AJ552" t="s">
        <v>3895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3896</v>
      </c>
      <c r="AT552" t="s">
        <v>3890</v>
      </c>
      <c r="AU552" t="s">
        <v>3897</v>
      </c>
      <c r="AV552" t="s">
        <v>3898</v>
      </c>
      <c r="AW552">
        <v>2</v>
      </c>
      <c r="AX552">
        <v>0</v>
      </c>
    </row>
    <row r="553" spans="1:50" x14ac:dyDescent="0.25">
      <c r="A553" t="s">
        <v>4529</v>
      </c>
      <c r="B553" t="s">
        <v>3889</v>
      </c>
      <c r="C553" t="s">
        <v>3890</v>
      </c>
      <c r="D553">
        <v>28.672999999999998</v>
      </c>
      <c r="E553">
        <v>28.622</v>
      </c>
      <c r="F553" s="2">
        <v>2.5000000000000001E-3</v>
      </c>
      <c r="G553" t="s">
        <v>3063</v>
      </c>
      <c r="H553" t="s">
        <v>3211</v>
      </c>
      <c r="I553">
        <v>440585.57510000002</v>
      </c>
      <c r="J553">
        <v>1827355.0075000001</v>
      </c>
      <c r="K553">
        <v>440585.57510000002</v>
      </c>
      <c r="L553">
        <v>1827375.0486000001</v>
      </c>
      <c r="M553" t="s">
        <v>56</v>
      </c>
      <c r="N553" t="s">
        <v>57</v>
      </c>
      <c r="O553">
        <v>450</v>
      </c>
      <c r="P553" t="s">
        <v>3891</v>
      </c>
      <c r="Q553" t="s">
        <v>3892</v>
      </c>
      <c r="R553" t="s">
        <v>357</v>
      </c>
      <c r="S553" t="s">
        <v>3051</v>
      </c>
      <c r="T553" t="s">
        <v>4530</v>
      </c>
      <c r="U553">
        <v>0.10539999999999999</v>
      </c>
      <c r="V553">
        <v>9.4299999999999995E-2</v>
      </c>
      <c r="W553" t="s">
        <v>52</v>
      </c>
      <c r="X553">
        <v>0.86070000000000002</v>
      </c>
      <c r="Y553">
        <v>1.0863</v>
      </c>
      <c r="Z553">
        <v>1.0863</v>
      </c>
      <c r="AA553">
        <v>0.88219999999999998</v>
      </c>
      <c r="AB553">
        <v>20.041399999999999</v>
      </c>
      <c r="AC553">
        <v>20.041499999999999</v>
      </c>
      <c r="AD553">
        <v>19.142900000000001</v>
      </c>
      <c r="AE553">
        <v>19.142900000000001</v>
      </c>
      <c r="AF553" t="s">
        <v>67</v>
      </c>
      <c r="AG553" t="s">
        <v>67</v>
      </c>
      <c r="AH553" t="s">
        <v>3894</v>
      </c>
      <c r="AI553" t="s">
        <v>3894</v>
      </c>
      <c r="AJ553" t="s">
        <v>3895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3896</v>
      </c>
      <c r="AT553" t="s">
        <v>3890</v>
      </c>
      <c r="AU553" t="s">
        <v>3897</v>
      </c>
      <c r="AV553" t="s">
        <v>3898</v>
      </c>
      <c r="AW553">
        <v>2</v>
      </c>
      <c r="AX553">
        <v>0</v>
      </c>
    </row>
    <row r="554" spans="1:50" x14ac:dyDescent="0.25">
      <c r="A554" t="s">
        <v>4531</v>
      </c>
      <c r="B554" t="s">
        <v>3963</v>
      </c>
      <c r="C554" t="s">
        <v>3890</v>
      </c>
      <c r="D554">
        <v>28.437000000000001</v>
      </c>
      <c r="E554">
        <v>28.405000000000001</v>
      </c>
      <c r="F554" s="2">
        <v>3.0999999999999999E-3</v>
      </c>
      <c r="G554" t="s">
        <v>2916</v>
      </c>
      <c r="H554" t="s">
        <v>2920</v>
      </c>
      <c r="I554">
        <v>440444.15010000003</v>
      </c>
      <c r="J554">
        <v>1827692.7645</v>
      </c>
      <c r="K554">
        <v>440454.3751</v>
      </c>
      <c r="L554">
        <v>1827692.7645</v>
      </c>
      <c r="M554" t="s">
        <v>56</v>
      </c>
      <c r="N554" t="s">
        <v>57</v>
      </c>
      <c r="O554">
        <v>600</v>
      </c>
      <c r="P554" t="s">
        <v>3891</v>
      </c>
      <c r="Q554" t="s">
        <v>3892</v>
      </c>
      <c r="R554" t="s">
        <v>1112</v>
      </c>
      <c r="S554" t="s">
        <v>2918</v>
      </c>
      <c r="T554" t="s">
        <v>2294</v>
      </c>
      <c r="U554">
        <v>-4.3799999999999999E-2</v>
      </c>
      <c r="V554">
        <v>-4.1300000000000003E-2</v>
      </c>
      <c r="W554" t="s">
        <v>52</v>
      </c>
      <c r="X554">
        <v>0.84599999999999997</v>
      </c>
      <c r="Y554">
        <v>1.0448</v>
      </c>
      <c r="Z554">
        <v>1.0448</v>
      </c>
      <c r="AA554">
        <v>0.86599999999999999</v>
      </c>
      <c r="AB554">
        <v>10.225</v>
      </c>
      <c r="AC554">
        <v>10.225</v>
      </c>
      <c r="AD554">
        <v>9.0275999999999996</v>
      </c>
      <c r="AE554">
        <v>9.0276999999999994</v>
      </c>
      <c r="AF554" t="s">
        <v>183</v>
      </c>
      <c r="AG554" t="s">
        <v>183</v>
      </c>
      <c r="AH554" t="s">
        <v>3894</v>
      </c>
      <c r="AI554" t="s">
        <v>3894</v>
      </c>
      <c r="AJ554" t="s">
        <v>3895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3896</v>
      </c>
      <c r="AT554" t="s">
        <v>3890</v>
      </c>
      <c r="AU554" t="s">
        <v>3964</v>
      </c>
      <c r="AV554" t="s">
        <v>3898</v>
      </c>
      <c r="AW554">
        <v>2</v>
      </c>
      <c r="AX554">
        <v>0</v>
      </c>
    </row>
    <row r="555" spans="1:50" x14ac:dyDescent="0.25">
      <c r="A555" t="s">
        <v>754</v>
      </c>
      <c r="B555" t="s">
        <v>3889</v>
      </c>
      <c r="C555" t="s">
        <v>3890</v>
      </c>
      <c r="D555">
        <v>30.847999999999999</v>
      </c>
      <c r="E555">
        <v>30.798999999999999</v>
      </c>
      <c r="F555" s="2">
        <v>3.0000000000000001E-3</v>
      </c>
      <c r="G555" t="s">
        <v>753</v>
      </c>
      <c r="H555" t="s">
        <v>756</v>
      </c>
      <c r="I555">
        <v>440183.07490000001</v>
      </c>
      <c r="J555">
        <v>1827439.4838</v>
      </c>
      <c r="K555">
        <v>440183.07490000001</v>
      </c>
      <c r="L555">
        <v>1827455.8842</v>
      </c>
      <c r="M555" t="s">
        <v>56</v>
      </c>
      <c r="N555" t="s">
        <v>57</v>
      </c>
      <c r="O555">
        <v>450</v>
      </c>
      <c r="P555" t="s">
        <v>3891</v>
      </c>
      <c r="Q555" t="s">
        <v>3892</v>
      </c>
      <c r="R555" t="s">
        <v>293</v>
      </c>
      <c r="S555" t="s">
        <v>440</v>
      </c>
      <c r="T555" t="s">
        <v>758</v>
      </c>
      <c r="U555">
        <v>-4.53E-2</v>
      </c>
      <c r="V555">
        <v>-4.53E-2</v>
      </c>
      <c r="W555" t="s">
        <v>52</v>
      </c>
      <c r="X555">
        <v>0.88239999999999996</v>
      </c>
      <c r="Y555">
        <v>0.94489999999999996</v>
      </c>
      <c r="Z555">
        <v>0.94489999999999996</v>
      </c>
      <c r="AA555">
        <v>0.88239999999999996</v>
      </c>
      <c r="AB555">
        <v>16.400500000000001</v>
      </c>
      <c r="AC555">
        <v>16.400500000000001</v>
      </c>
      <c r="AD555">
        <v>15.202500000000001</v>
      </c>
      <c r="AE555">
        <v>15.2026</v>
      </c>
      <c r="AF555" t="s">
        <v>67</v>
      </c>
      <c r="AG555" t="s">
        <v>67</v>
      </c>
      <c r="AH555" t="s">
        <v>3894</v>
      </c>
      <c r="AI555" t="s">
        <v>3894</v>
      </c>
      <c r="AJ555" t="s">
        <v>3895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3896</v>
      </c>
      <c r="AT555" t="s">
        <v>3890</v>
      </c>
      <c r="AU555" t="s">
        <v>3897</v>
      </c>
      <c r="AV555" t="s">
        <v>3898</v>
      </c>
      <c r="AW555">
        <v>2</v>
      </c>
      <c r="AX555">
        <v>0</v>
      </c>
    </row>
    <row r="556" spans="1:50" x14ac:dyDescent="0.25">
      <c r="A556" t="s">
        <v>4532</v>
      </c>
      <c r="B556" t="s">
        <v>3889</v>
      </c>
      <c r="C556" t="s">
        <v>3890</v>
      </c>
      <c r="D556">
        <v>30.34</v>
      </c>
      <c r="E556">
        <v>30.292999999999999</v>
      </c>
      <c r="F556" s="2">
        <v>2.3999999999999998E-3</v>
      </c>
      <c r="G556" t="s">
        <v>3404</v>
      </c>
      <c r="H556" t="s">
        <v>3407</v>
      </c>
      <c r="I556">
        <v>440314.27490000002</v>
      </c>
      <c r="J556">
        <v>1827355.1608</v>
      </c>
      <c r="K556">
        <v>440314.27490000002</v>
      </c>
      <c r="L556">
        <v>1827375.1236</v>
      </c>
      <c r="M556" t="s">
        <v>56</v>
      </c>
      <c r="N556" t="s">
        <v>57</v>
      </c>
      <c r="O556">
        <v>450</v>
      </c>
      <c r="P556" t="s">
        <v>3891</v>
      </c>
      <c r="Q556" t="s">
        <v>3892</v>
      </c>
      <c r="R556" t="s">
        <v>343</v>
      </c>
      <c r="S556" s="1" t="s">
        <v>3085</v>
      </c>
      <c r="T556" t="s">
        <v>4533</v>
      </c>
      <c r="U556">
        <v>7.4999999999999997E-2</v>
      </c>
      <c r="V556">
        <v>7.4999999999999997E-2</v>
      </c>
      <c r="W556" t="s">
        <v>52</v>
      </c>
      <c r="X556">
        <v>0.83799999999999997</v>
      </c>
      <c r="Y556">
        <v>1.0034000000000001</v>
      </c>
      <c r="Z556">
        <v>1.0034000000000001</v>
      </c>
      <c r="AA556">
        <v>0.86890000000000001</v>
      </c>
      <c r="AB556">
        <v>19.962800000000001</v>
      </c>
      <c r="AC556">
        <v>19.962900000000001</v>
      </c>
      <c r="AD556">
        <v>18.9894</v>
      </c>
      <c r="AE556">
        <v>18.9895</v>
      </c>
      <c r="AF556" t="s">
        <v>67</v>
      </c>
      <c r="AG556" t="s">
        <v>67</v>
      </c>
      <c r="AH556" t="s">
        <v>3894</v>
      </c>
      <c r="AI556" t="s">
        <v>3894</v>
      </c>
      <c r="AJ556" t="s">
        <v>3895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3896</v>
      </c>
      <c r="AT556" t="s">
        <v>3890</v>
      </c>
      <c r="AU556" t="s">
        <v>3897</v>
      </c>
      <c r="AV556" t="s">
        <v>3898</v>
      </c>
      <c r="AW556">
        <v>2</v>
      </c>
      <c r="AX556">
        <v>0</v>
      </c>
    </row>
    <row r="557" spans="1:50" x14ac:dyDescent="0.25">
      <c r="A557" t="s">
        <v>4534</v>
      </c>
      <c r="B557" t="s">
        <v>3889</v>
      </c>
      <c r="C557" t="s">
        <v>3890</v>
      </c>
      <c r="D557">
        <v>29.087</v>
      </c>
      <c r="E557">
        <v>29.041</v>
      </c>
      <c r="F557" s="2">
        <v>2.3E-3</v>
      </c>
      <c r="G557" t="s">
        <v>3183</v>
      </c>
      <c r="H557" t="s">
        <v>3187</v>
      </c>
      <c r="I557">
        <v>440519.97509999998</v>
      </c>
      <c r="J557">
        <v>1827355.2019</v>
      </c>
      <c r="K557">
        <v>440519.97509999998</v>
      </c>
      <c r="L557">
        <v>1827375.1486</v>
      </c>
      <c r="M557" t="s">
        <v>56</v>
      </c>
      <c r="N557" t="s">
        <v>57</v>
      </c>
      <c r="O557">
        <v>450</v>
      </c>
      <c r="P557" t="s">
        <v>3891</v>
      </c>
      <c r="Q557" t="s">
        <v>3892</v>
      </c>
      <c r="R557" t="s">
        <v>3168</v>
      </c>
      <c r="S557" t="s">
        <v>3185</v>
      </c>
      <c r="T557" t="s">
        <v>2498</v>
      </c>
      <c r="U557">
        <v>-4.7000000000000002E-3</v>
      </c>
      <c r="V557">
        <v>-4.7000000000000002E-3</v>
      </c>
      <c r="W557" t="s">
        <v>52</v>
      </c>
      <c r="X557">
        <v>0.83750000000000002</v>
      </c>
      <c r="Y557">
        <v>0.99399999999999999</v>
      </c>
      <c r="Z557">
        <v>0.98640000000000005</v>
      </c>
      <c r="AA557">
        <v>0.86890000000000001</v>
      </c>
      <c r="AB557">
        <v>19.847300000000001</v>
      </c>
      <c r="AC557">
        <v>19.847300000000001</v>
      </c>
      <c r="AD557">
        <v>18.9483</v>
      </c>
      <c r="AE557">
        <v>18.948399999999999</v>
      </c>
      <c r="AF557" t="s">
        <v>67</v>
      </c>
      <c r="AG557" t="s">
        <v>67</v>
      </c>
      <c r="AH557" t="s">
        <v>3894</v>
      </c>
      <c r="AI557" t="s">
        <v>3894</v>
      </c>
      <c r="AJ557" t="s">
        <v>3895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3896</v>
      </c>
      <c r="AT557" t="s">
        <v>3890</v>
      </c>
      <c r="AU557" t="s">
        <v>3897</v>
      </c>
      <c r="AV557" t="s">
        <v>3898</v>
      </c>
      <c r="AW557">
        <v>2</v>
      </c>
      <c r="AX557">
        <v>0</v>
      </c>
    </row>
    <row r="558" spans="1:50" x14ac:dyDescent="0.25">
      <c r="A558" t="s">
        <v>4535</v>
      </c>
      <c r="B558" t="s">
        <v>3889</v>
      </c>
      <c r="C558" t="s">
        <v>3890</v>
      </c>
      <c r="D558">
        <v>29.013999999999999</v>
      </c>
      <c r="E558">
        <v>28.968</v>
      </c>
      <c r="F558" s="2">
        <v>2.3E-3</v>
      </c>
      <c r="G558" t="s">
        <v>3197</v>
      </c>
      <c r="H558" t="s">
        <v>3200</v>
      </c>
      <c r="I558">
        <v>440529.67509999999</v>
      </c>
      <c r="J558">
        <v>1827355.2019</v>
      </c>
      <c r="K558">
        <v>440529.67509999999</v>
      </c>
      <c r="L558">
        <v>1827375.1486</v>
      </c>
      <c r="M558" t="s">
        <v>56</v>
      </c>
      <c r="N558" t="s">
        <v>57</v>
      </c>
      <c r="O558">
        <v>450</v>
      </c>
      <c r="P558" t="s">
        <v>3891</v>
      </c>
      <c r="Q558" t="s">
        <v>3892</v>
      </c>
      <c r="R558" t="s">
        <v>352</v>
      </c>
      <c r="S558" t="s">
        <v>3185</v>
      </c>
      <c r="T558" t="s">
        <v>2498</v>
      </c>
      <c r="U558">
        <v>0</v>
      </c>
      <c r="V558">
        <v>0</v>
      </c>
      <c r="W558" t="s">
        <v>52</v>
      </c>
      <c r="X558">
        <v>0.82940000000000003</v>
      </c>
      <c r="Y558">
        <v>1.0616000000000001</v>
      </c>
      <c r="Z558">
        <v>1.0593999999999999</v>
      </c>
      <c r="AA558">
        <v>0.85</v>
      </c>
      <c r="AB558">
        <v>19.847300000000001</v>
      </c>
      <c r="AC558">
        <v>19.847300000000001</v>
      </c>
      <c r="AD558">
        <v>18.9483</v>
      </c>
      <c r="AE558">
        <v>18.948399999999999</v>
      </c>
      <c r="AF558" t="s">
        <v>67</v>
      </c>
      <c r="AG558" t="s">
        <v>67</v>
      </c>
      <c r="AH558" t="s">
        <v>3894</v>
      </c>
      <c r="AI558" t="s">
        <v>3894</v>
      </c>
      <c r="AJ558" t="s">
        <v>3895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3896</v>
      </c>
      <c r="AT558" t="s">
        <v>3890</v>
      </c>
      <c r="AU558" t="s">
        <v>3897</v>
      </c>
      <c r="AV558" t="s">
        <v>3898</v>
      </c>
      <c r="AW558">
        <v>2</v>
      </c>
      <c r="AX558">
        <v>0</v>
      </c>
    </row>
    <row r="559" spans="1:50" x14ac:dyDescent="0.25">
      <c r="A559" t="s">
        <v>4536</v>
      </c>
      <c r="B559" t="s">
        <v>3889</v>
      </c>
      <c r="C559" t="s">
        <v>3890</v>
      </c>
      <c r="D559">
        <v>29.486000000000001</v>
      </c>
      <c r="E559">
        <v>29.44</v>
      </c>
      <c r="F559" s="2">
        <v>2.3E-3</v>
      </c>
      <c r="G559" t="s">
        <v>3133</v>
      </c>
      <c r="H559" t="s">
        <v>3137</v>
      </c>
      <c r="I559">
        <v>440454.3751</v>
      </c>
      <c r="J559">
        <v>1827355.041</v>
      </c>
      <c r="K559">
        <v>440454.3751</v>
      </c>
      <c r="L559">
        <v>1827375.0874000001</v>
      </c>
      <c r="M559" t="s">
        <v>56</v>
      </c>
      <c r="N559" t="s">
        <v>57</v>
      </c>
      <c r="O559">
        <v>450</v>
      </c>
      <c r="P559" t="s">
        <v>3891</v>
      </c>
      <c r="Q559" t="s">
        <v>3892</v>
      </c>
      <c r="R559" t="s">
        <v>3118</v>
      </c>
      <c r="S559" t="s">
        <v>3135</v>
      </c>
      <c r="T559" t="s">
        <v>4537</v>
      </c>
      <c r="U559">
        <v>-9.2799999999999994E-2</v>
      </c>
      <c r="V559">
        <v>-9.2799999999999994E-2</v>
      </c>
      <c r="W559" t="s">
        <v>52</v>
      </c>
      <c r="X559">
        <v>0.83809999999999996</v>
      </c>
      <c r="Y559">
        <v>0.99460000000000004</v>
      </c>
      <c r="Z559">
        <v>0.98860000000000003</v>
      </c>
      <c r="AA559">
        <v>0.86829999999999996</v>
      </c>
      <c r="AB559">
        <v>20.047000000000001</v>
      </c>
      <c r="AC559">
        <v>20.0471</v>
      </c>
      <c r="AD559">
        <v>19.148099999999999</v>
      </c>
      <c r="AE559">
        <v>19.148099999999999</v>
      </c>
      <c r="AF559" t="s">
        <v>67</v>
      </c>
      <c r="AG559" t="s">
        <v>67</v>
      </c>
      <c r="AH559" t="s">
        <v>3894</v>
      </c>
      <c r="AI559" t="s">
        <v>3894</v>
      </c>
      <c r="AJ559" t="s">
        <v>3895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3896</v>
      </c>
      <c r="AT559" t="s">
        <v>3890</v>
      </c>
      <c r="AU559" t="s">
        <v>3897</v>
      </c>
      <c r="AV559" t="s">
        <v>3898</v>
      </c>
      <c r="AW559">
        <v>2</v>
      </c>
      <c r="AX559">
        <v>0</v>
      </c>
    </row>
    <row r="560" spans="1:50" x14ac:dyDescent="0.25">
      <c r="A560" t="s">
        <v>4538</v>
      </c>
      <c r="B560" t="s">
        <v>3889</v>
      </c>
      <c r="C560" t="s">
        <v>3890</v>
      </c>
      <c r="D560">
        <v>29.414000000000001</v>
      </c>
      <c r="E560">
        <v>29.367000000000001</v>
      </c>
      <c r="F560" s="2">
        <v>2.3E-3</v>
      </c>
      <c r="G560" t="s">
        <v>3152</v>
      </c>
      <c r="H560" t="s">
        <v>3155</v>
      </c>
      <c r="I560">
        <v>440464.07510000002</v>
      </c>
      <c r="J560">
        <v>1827355.041</v>
      </c>
      <c r="K560">
        <v>440464.07510000002</v>
      </c>
      <c r="L560">
        <v>1827375.0486000001</v>
      </c>
      <c r="M560" t="s">
        <v>56</v>
      </c>
      <c r="N560" t="s">
        <v>57</v>
      </c>
      <c r="O560">
        <v>450</v>
      </c>
      <c r="P560" t="s">
        <v>3891</v>
      </c>
      <c r="Q560" t="s">
        <v>3892</v>
      </c>
      <c r="R560" t="s">
        <v>3142</v>
      </c>
      <c r="S560" t="s">
        <v>3135</v>
      </c>
      <c r="T560" t="s">
        <v>3650</v>
      </c>
      <c r="U560">
        <v>0</v>
      </c>
      <c r="V560">
        <v>0</v>
      </c>
      <c r="W560" t="s">
        <v>52</v>
      </c>
      <c r="X560">
        <v>0.83</v>
      </c>
      <c r="Y560">
        <v>1.0629</v>
      </c>
      <c r="Z560">
        <v>1.0606</v>
      </c>
      <c r="AA560">
        <v>0.84870000000000001</v>
      </c>
      <c r="AB560">
        <v>20.008199999999999</v>
      </c>
      <c r="AC560">
        <v>20.008199999999999</v>
      </c>
      <c r="AD560">
        <v>19.109300000000001</v>
      </c>
      <c r="AE560">
        <v>19.109300000000001</v>
      </c>
      <c r="AF560" t="s">
        <v>67</v>
      </c>
      <c r="AG560" t="s">
        <v>67</v>
      </c>
      <c r="AH560" t="s">
        <v>3894</v>
      </c>
      <c r="AI560" t="s">
        <v>3894</v>
      </c>
      <c r="AJ560" t="s">
        <v>3895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3896</v>
      </c>
      <c r="AT560" t="s">
        <v>3890</v>
      </c>
      <c r="AU560" t="s">
        <v>3897</v>
      </c>
      <c r="AV560" t="s">
        <v>3898</v>
      </c>
      <c r="AW560">
        <v>2</v>
      </c>
      <c r="AX560">
        <v>0</v>
      </c>
    </row>
    <row r="561" spans="1:50" x14ac:dyDescent="0.25">
      <c r="A561" t="s">
        <v>4539</v>
      </c>
      <c r="B561" t="s">
        <v>3889</v>
      </c>
      <c r="C561" t="s">
        <v>3890</v>
      </c>
      <c r="D561">
        <v>30.266999999999999</v>
      </c>
      <c r="E561">
        <v>30.22</v>
      </c>
      <c r="F561" s="2">
        <v>2.3999999999999998E-3</v>
      </c>
      <c r="G561" t="s">
        <v>3083</v>
      </c>
      <c r="H561" t="s">
        <v>3087</v>
      </c>
      <c r="I561">
        <v>440323.97489999997</v>
      </c>
      <c r="J561">
        <v>1827355.1608</v>
      </c>
      <c r="K561">
        <v>440323.97489999997</v>
      </c>
      <c r="L561">
        <v>1827374.8986</v>
      </c>
      <c r="M561" t="s">
        <v>56</v>
      </c>
      <c r="N561" t="s">
        <v>57</v>
      </c>
      <c r="O561">
        <v>450</v>
      </c>
      <c r="P561" t="s">
        <v>3891</v>
      </c>
      <c r="Q561" t="s">
        <v>3892</v>
      </c>
      <c r="R561" t="s">
        <v>3068</v>
      </c>
      <c r="S561" t="s">
        <v>3085</v>
      </c>
      <c r="T561" t="s">
        <v>2477</v>
      </c>
      <c r="U561">
        <v>-5.74E-2</v>
      </c>
      <c r="V561">
        <v>-3.4799999999999998E-2</v>
      </c>
      <c r="W561" t="s">
        <v>52</v>
      </c>
      <c r="X561">
        <v>0.83040000000000003</v>
      </c>
      <c r="Y561">
        <v>1.0764</v>
      </c>
      <c r="Z561">
        <v>1.0764</v>
      </c>
      <c r="AA561">
        <v>0.86</v>
      </c>
      <c r="AB561">
        <v>19.887799999999999</v>
      </c>
      <c r="AC561">
        <v>19.887799999999999</v>
      </c>
      <c r="AD561">
        <v>18.9895</v>
      </c>
      <c r="AE561">
        <v>18.9895</v>
      </c>
      <c r="AF561" t="s">
        <v>67</v>
      </c>
      <c r="AG561" t="s">
        <v>67</v>
      </c>
      <c r="AH561" t="s">
        <v>3894</v>
      </c>
      <c r="AI561" t="s">
        <v>3894</v>
      </c>
      <c r="AJ561" t="s">
        <v>3895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3896</v>
      </c>
      <c r="AT561" t="s">
        <v>3890</v>
      </c>
      <c r="AU561" t="s">
        <v>3897</v>
      </c>
      <c r="AV561" t="s">
        <v>3898</v>
      </c>
      <c r="AW561">
        <v>2</v>
      </c>
      <c r="AX561">
        <v>0</v>
      </c>
    </row>
    <row r="562" spans="1:50" x14ac:dyDescent="0.25">
      <c r="A562" t="s">
        <v>4540</v>
      </c>
      <c r="B562" t="s">
        <v>3889</v>
      </c>
      <c r="C562" t="s">
        <v>3890</v>
      </c>
      <c r="D562">
        <v>30.666</v>
      </c>
      <c r="E562">
        <v>30.62</v>
      </c>
      <c r="F562" s="2">
        <v>2.3E-3</v>
      </c>
      <c r="G562" t="s">
        <v>3383</v>
      </c>
      <c r="H562" t="s">
        <v>3386</v>
      </c>
      <c r="I562">
        <v>440258.3749</v>
      </c>
      <c r="J562">
        <v>1827355.1909</v>
      </c>
      <c r="K562">
        <v>440258.3749</v>
      </c>
      <c r="L562">
        <v>1827374.9735999999</v>
      </c>
      <c r="M562" t="s">
        <v>56</v>
      </c>
      <c r="N562" t="s">
        <v>57</v>
      </c>
      <c r="O562">
        <v>450</v>
      </c>
      <c r="P562" t="s">
        <v>3891</v>
      </c>
      <c r="Q562" t="s">
        <v>3892</v>
      </c>
      <c r="R562" t="s">
        <v>338</v>
      </c>
      <c r="S562" t="s">
        <v>3369</v>
      </c>
      <c r="T562" t="s">
        <v>4541</v>
      </c>
      <c r="U562">
        <v>0</v>
      </c>
      <c r="V562">
        <v>0</v>
      </c>
      <c r="W562" t="s">
        <v>52</v>
      </c>
      <c r="X562">
        <v>0.82969999999999999</v>
      </c>
      <c r="Y562">
        <v>1.1188</v>
      </c>
      <c r="Z562">
        <v>1.1188</v>
      </c>
      <c r="AA562">
        <v>0.84819999999999995</v>
      </c>
      <c r="AB562">
        <v>19.8582</v>
      </c>
      <c r="AC562">
        <v>19.8583</v>
      </c>
      <c r="AD562">
        <v>18.959299999999999</v>
      </c>
      <c r="AE562">
        <v>18.959299999999999</v>
      </c>
      <c r="AF562" t="s">
        <v>67</v>
      </c>
      <c r="AG562" t="s">
        <v>67</v>
      </c>
      <c r="AH562" t="s">
        <v>3894</v>
      </c>
      <c r="AI562" t="s">
        <v>3894</v>
      </c>
      <c r="AJ562" t="s">
        <v>3895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3896</v>
      </c>
      <c r="AT562" t="s">
        <v>3890</v>
      </c>
      <c r="AU562" t="s">
        <v>3897</v>
      </c>
      <c r="AV562" t="s">
        <v>3898</v>
      </c>
      <c r="AW562">
        <v>2</v>
      </c>
      <c r="AX562">
        <v>0</v>
      </c>
    </row>
    <row r="563" spans="1:50" x14ac:dyDescent="0.25">
      <c r="A563" t="s">
        <v>4542</v>
      </c>
      <c r="B563" t="s">
        <v>3889</v>
      </c>
      <c r="C563" t="s">
        <v>3890</v>
      </c>
      <c r="D563">
        <v>30.739000000000001</v>
      </c>
      <c r="E563">
        <v>30.693000000000001</v>
      </c>
      <c r="F563" s="2">
        <v>2.3E-3</v>
      </c>
      <c r="G563" t="s">
        <v>3367</v>
      </c>
      <c r="H563" t="s">
        <v>3371</v>
      </c>
      <c r="I563">
        <v>440248.67489999998</v>
      </c>
      <c r="J563">
        <v>1827355.1909</v>
      </c>
      <c r="K563">
        <v>440248.67489999998</v>
      </c>
      <c r="L563">
        <v>1827375.0486000001</v>
      </c>
      <c r="M563" t="s">
        <v>56</v>
      </c>
      <c r="N563" t="s">
        <v>57</v>
      </c>
      <c r="O563">
        <v>450</v>
      </c>
      <c r="P563" t="s">
        <v>3891</v>
      </c>
      <c r="Q563" t="s">
        <v>3892</v>
      </c>
      <c r="R563" t="s">
        <v>3352</v>
      </c>
      <c r="S563" s="1" t="s">
        <v>3369</v>
      </c>
      <c r="T563" s="1" t="s">
        <v>3650</v>
      </c>
      <c r="U563">
        <v>-0.17960000000000001</v>
      </c>
      <c r="V563">
        <v>-0.17960000000000001</v>
      </c>
      <c r="W563" t="s">
        <v>52</v>
      </c>
      <c r="X563">
        <v>0.83760000000000001</v>
      </c>
      <c r="Y563">
        <v>1.0458000000000001</v>
      </c>
      <c r="Z563">
        <v>1.0458000000000001</v>
      </c>
      <c r="AA563">
        <v>0.86709999999999998</v>
      </c>
      <c r="AB563">
        <v>19.8582</v>
      </c>
      <c r="AC563">
        <v>19.8583</v>
      </c>
      <c r="AD563">
        <v>18.959299999999999</v>
      </c>
      <c r="AE563">
        <v>18.959299999999999</v>
      </c>
      <c r="AF563" t="s">
        <v>67</v>
      </c>
      <c r="AG563" t="s">
        <v>67</v>
      </c>
      <c r="AH563" t="s">
        <v>3894</v>
      </c>
      <c r="AI563" t="s">
        <v>3894</v>
      </c>
      <c r="AJ563" t="s">
        <v>3895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3896</v>
      </c>
      <c r="AT563" t="s">
        <v>3890</v>
      </c>
      <c r="AU563" t="s">
        <v>3897</v>
      </c>
      <c r="AV563" t="s">
        <v>3898</v>
      </c>
      <c r="AW563">
        <v>2</v>
      </c>
      <c r="AX563">
        <v>0</v>
      </c>
    </row>
    <row r="564" spans="1:50" x14ac:dyDescent="0.25">
      <c r="A564" t="s">
        <v>4543</v>
      </c>
      <c r="B564" t="s">
        <v>3889</v>
      </c>
      <c r="C564" t="s">
        <v>3890</v>
      </c>
      <c r="D564">
        <v>31.065999999999999</v>
      </c>
      <c r="E564">
        <v>31.018999999999998</v>
      </c>
      <c r="F564" s="2">
        <v>2.3E-3</v>
      </c>
      <c r="G564" t="s">
        <v>3337</v>
      </c>
      <c r="H564" t="s">
        <v>3340</v>
      </c>
      <c r="I564">
        <v>440192.77490000002</v>
      </c>
      <c r="J564">
        <v>1827354.4693</v>
      </c>
      <c r="K564">
        <v>440192.77490000002</v>
      </c>
      <c r="L564">
        <v>1827374.8986</v>
      </c>
      <c r="M564" t="s">
        <v>56</v>
      </c>
      <c r="N564" t="s">
        <v>57</v>
      </c>
      <c r="O564">
        <v>450</v>
      </c>
      <c r="P564" t="s">
        <v>3891</v>
      </c>
      <c r="Q564" t="s">
        <v>3892</v>
      </c>
      <c r="R564" t="s">
        <v>3327</v>
      </c>
      <c r="S564" t="s">
        <v>3319</v>
      </c>
      <c r="T564" t="s">
        <v>2477</v>
      </c>
      <c r="U564">
        <v>0</v>
      </c>
      <c r="V564">
        <v>0</v>
      </c>
      <c r="W564" t="s">
        <v>52</v>
      </c>
      <c r="X564">
        <v>0.83030000000000004</v>
      </c>
      <c r="Y564">
        <v>1.0866</v>
      </c>
      <c r="Z564">
        <v>1.0866</v>
      </c>
      <c r="AA564">
        <v>0.8599</v>
      </c>
      <c r="AB564">
        <v>20.579799999999999</v>
      </c>
      <c r="AC564">
        <v>20.579899999999999</v>
      </c>
      <c r="AD564">
        <v>19.680900000000001</v>
      </c>
      <c r="AE564">
        <v>19.680900000000001</v>
      </c>
      <c r="AF564" t="s">
        <v>3973</v>
      </c>
      <c r="AG564" t="s">
        <v>3973</v>
      </c>
      <c r="AH564" t="s">
        <v>3894</v>
      </c>
      <c r="AI564" t="s">
        <v>3894</v>
      </c>
      <c r="AJ564" t="s">
        <v>3895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3896</v>
      </c>
      <c r="AT564" t="s">
        <v>3890</v>
      </c>
      <c r="AU564" t="s">
        <v>3897</v>
      </c>
      <c r="AV564" t="s">
        <v>3898</v>
      </c>
      <c r="AW564">
        <v>2</v>
      </c>
      <c r="AX564">
        <v>0</v>
      </c>
    </row>
    <row r="565" spans="1:50" x14ac:dyDescent="0.25">
      <c r="A565" t="s">
        <v>4544</v>
      </c>
      <c r="B565" t="s">
        <v>3889</v>
      </c>
      <c r="C565" t="s">
        <v>3890</v>
      </c>
      <c r="D565">
        <v>31.007000000000001</v>
      </c>
      <c r="E565">
        <v>30.95</v>
      </c>
      <c r="F565" s="2">
        <v>3.0999999999999999E-3</v>
      </c>
      <c r="G565" t="s">
        <v>2376</v>
      </c>
      <c r="H565" t="s">
        <v>2380</v>
      </c>
      <c r="I565">
        <v>440387.3751</v>
      </c>
      <c r="J565">
        <v>1828037.8473</v>
      </c>
      <c r="K565">
        <v>440387.3751</v>
      </c>
      <c r="L565">
        <v>1828019.3914999999</v>
      </c>
      <c r="M565" t="s">
        <v>56</v>
      </c>
      <c r="N565" t="s">
        <v>57</v>
      </c>
      <c r="O565">
        <v>450</v>
      </c>
      <c r="P565" t="s">
        <v>3891</v>
      </c>
      <c r="Q565" t="s">
        <v>3892</v>
      </c>
      <c r="R565" t="s">
        <v>246</v>
      </c>
      <c r="S565" t="s">
        <v>2477</v>
      </c>
      <c r="T565" t="s">
        <v>2382</v>
      </c>
      <c r="U565">
        <v>0</v>
      </c>
      <c r="V565">
        <v>0</v>
      </c>
      <c r="W565" t="s">
        <v>52</v>
      </c>
      <c r="X565">
        <v>0.89639999999999997</v>
      </c>
      <c r="Y565">
        <v>1.0879000000000001</v>
      </c>
      <c r="Z565">
        <v>0.90759999999999996</v>
      </c>
      <c r="AA565">
        <v>0.89639999999999997</v>
      </c>
      <c r="AB565">
        <v>18.607099999999999</v>
      </c>
      <c r="AC565">
        <v>18.607199999999999</v>
      </c>
      <c r="AD565">
        <v>17.707899999999999</v>
      </c>
      <c r="AE565">
        <v>17.707999999999998</v>
      </c>
      <c r="AF565" t="s">
        <v>2233</v>
      </c>
      <c r="AG565" t="s">
        <v>2233</v>
      </c>
      <c r="AH565" t="s">
        <v>3894</v>
      </c>
      <c r="AI565" t="s">
        <v>3894</v>
      </c>
      <c r="AJ565" t="s">
        <v>3895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3896</v>
      </c>
      <c r="AT565" t="s">
        <v>3890</v>
      </c>
      <c r="AU565" t="s">
        <v>3897</v>
      </c>
      <c r="AV565" t="s">
        <v>3898</v>
      </c>
      <c r="AW565">
        <v>2</v>
      </c>
      <c r="AX565">
        <v>0</v>
      </c>
    </row>
    <row r="566" spans="1:50" x14ac:dyDescent="0.25">
      <c r="A566" t="s">
        <v>4545</v>
      </c>
      <c r="B566" t="s">
        <v>4010</v>
      </c>
      <c r="C566" t="s">
        <v>3890</v>
      </c>
      <c r="D566">
        <v>31.164000000000001</v>
      </c>
      <c r="E566">
        <v>31.117000000000001</v>
      </c>
      <c r="F566" s="2">
        <v>3.0999999999999999E-3</v>
      </c>
      <c r="G566" t="s">
        <v>1592</v>
      </c>
      <c r="H566" t="s">
        <v>1603</v>
      </c>
      <c r="I566">
        <v>439951.42479999998</v>
      </c>
      <c r="J566">
        <v>1827565.8171000001</v>
      </c>
      <c r="K566">
        <v>439951.42479999998</v>
      </c>
      <c r="L566">
        <v>1827550.5338000001</v>
      </c>
      <c r="M566" t="s">
        <v>56</v>
      </c>
      <c r="N566" t="s">
        <v>57</v>
      </c>
      <c r="O566">
        <v>900</v>
      </c>
      <c r="P566" t="s">
        <v>109</v>
      </c>
      <c r="Q566" t="s">
        <v>3919</v>
      </c>
      <c r="R566" t="s">
        <v>1510</v>
      </c>
      <c r="S566" t="s">
        <v>563</v>
      </c>
      <c r="T566" t="s">
        <v>4546</v>
      </c>
      <c r="U566">
        <v>-2.5000000000000001E-2</v>
      </c>
      <c r="V566">
        <v>-2.5000000000000001E-2</v>
      </c>
      <c r="W566" t="s">
        <v>52</v>
      </c>
      <c r="X566">
        <v>0.82889999999999997</v>
      </c>
      <c r="Y566">
        <v>1.0152000000000001</v>
      </c>
      <c r="Z566">
        <v>1.0127999999999999</v>
      </c>
      <c r="AA566">
        <v>0.84640000000000004</v>
      </c>
      <c r="AB566">
        <v>15.5083</v>
      </c>
      <c r="AC566">
        <v>15.5084</v>
      </c>
      <c r="AD566">
        <v>14.537000000000001</v>
      </c>
      <c r="AE566">
        <v>14.537100000000001</v>
      </c>
      <c r="AF566" t="s">
        <v>4011</v>
      </c>
      <c r="AG566" t="s">
        <v>4011</v>
      </c>
      <c r="AH566" t="s">
        <v>3894</v>
      </c>
      <c r="AI566" t="s">
        <v>3894</v>
      </c>
      <c r="AJ566" t="s">
        <v>3895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3896</v>
      </c>
      <c r="AT566" t="s">
        <v>3890</v>
      </c>
      <c r="AU566" t="s">
        <v>4012</v>
      </c>
      <c r="AV566" t="s">
        <v>3898</v>
      </c>
      <c r="AW566">
        <v>2</v>
      </c>
      <c r="AX566">
        <v>0</v>
      </c>
    </row>
    <row r="567" spans="1:50" x14ac:dyDescent="0.25">
      <c r="A567" t="s">
        <v>4547</v>
      </c>
      <c r="B567" t="s">
        <v>3917</v>
      </c>
      <c r="C567" t="s">
        <v>3890</v>
      </c>
      <c r="D567">
        <v>29.236000000000001</v>
      </c>
      <c r="E567">
        <v>29.173999999999999</v>
      </c>
      <c r="F567" s="2">
        <v>3.3E-3</v>
      </c>
      <c r="G567" t="s">
        <v>671</v>
      </c>
      <c r="H567" t="s">
        <v>730</v>
      </c>
      <c r="I567">
        <v>440108.22489999997</v>
      </c>
      <c r="J567">
        <v>1827531.6088</v>
      </c>
      <c r="K567">
        <v>440127</v>
      </c>
      <c r="L567">
        <v>1827531.6088</v>
      </c>
      <c r="M567" t="s">
        <v>56</v>
      </c>
      <c r="N567" t="s">
        <v>57</v>
      </c>
      <c r="O567">
        <v>750</v>
      </c>
      <c r="P567" t="s">
        <v>3918</v>
      </c>
      <c r="Q567" t="s">
        <v>3919</v>
      </c>
      <c r="R567" t="s">
        <v>127</v>
      </c>
      <c r="S567" t="s">
        <v>597</v>
      </c>
      <c r="T567" t="s">
        <v>732</v>
      </c>
      <c r="U567">
        <v>5.8299999999999998E-2</v>
      </c>
      <c r="V567">
        <v>5.8299999999999998E-2</v>
      </c>
      <c r="W567" t="s">
        <v>52</v>
      </c>
      <c r="X567">
        <v>1.7637</v>
      </c>
      <c r="Y567">
        <v>1.8086</v>
      </c>
      <c r="Z567">
        <v>1.8086</v>
      </c>
      <c r="AA567">
        <v>1.7637</v>
      </c>
      <c r="AB567">
        <v>18.775099999999998</v>
      </c>
      <c r="AC567">
        <v>18.775200000000002</v>
      </c>
      <c r="AD567">
        <v>17.578600000000002</v>
      </c>
      <c r="AE567">
        <v>17.578700000000001</v>
      </c>
      <c r="AF567" t="s">
        <v>3920</v>
      </c>
      <c r="AG567" t="s">
        <v>3920</v>
      </c>
      <c r="AH567" t="s">
        <v>3894</v>
      </c>
      <c r="AI567" t="s">
        <v>3894</v>
      </c>
      <c r="AJ567" t="s">
        <v>3895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3896</v>
      </c>
      <c r="AT567" t="s">
        <v>3890</v>
      </c>
      <c r="AU567" t="s">
        <v>3921</v>
      </c>
      <c r="AV567" t="s">
        <v>3898</v>
      </c>
      <c r="AW567">
        <v>2</v>
      </c>
      <c r="AX567">
        <v>0</v>
      </c>
    </row>
    <row r="568" spans="1:50" x14ac:dyDescent="0.25">
      <c r="A568" t="s">
        <v>4548</v>
      </c>
      <c r="B568" t="s">
        <v>4010</v>
      </c>
      <c r="C568" t="s">
        <v>3890</v>
      </c>
      <c r="D568">
        <v>29.186</v>
      </c>
      <c r="E568">
        <v>29.126000000000001</v>
      </c>
      <c r="F568" s="2">
        <v>3.0000000000000001E-3</v>
      </c>
      <c r="G568" t="s">
        <v>2423</v>
      </c>
      <c r="H568" t="s">
        <v>2427</v>
      </c>
      <c r="I568">
        <v>440558.8983</v>
      </c>
      <c r="J568">
        <v>1827925.7609000001</v>
      </c>
      <c r="K568">
        <v>440578.6911</v>
      </c>
      <c r="L568">
        <v>1827925.7609000001</v>
      </c>
      <c r="M568" t="s">
        <v>56</v>
      </c>
      <c r="N568" t="s">
        <v>57</v>
      </c>
      <c r="O568">
        <v>900</v>
      </c>
      <c r="P568" t="s">
        <v>109</v>
      </c>
      <c r="Q568" t="s">
        <v>3919</v>
      </c>
      <c r="R568" t="s">
        <v>2395</v>
      </c>
      <c r="S568" t="s">
        <v>2425</v>
      </c>
      <c r="T568" t="s">
        <v>2429</v>
      </c>
      <c r="U568">
        <v>2.7300000000000001E-2</v>
      </c>
      <c r="V568">
        <v>1.89E-2</v>
      </c>
      <c r="W568" t="s">
        <v>52</v>
      </c>
      <c r="X568">
        <v>0.8508</v>
      </c>
      <c r="Y568">
        <v>1.0367999999999999</v>
      </c>
      <c r="Z568">
        <v>1.0367999999999999</v>
      </c>
      <c r="AA568">
        <v>0.8508</v>
      </c>
      <c r="AB568">
        <v>19.7927</v>
      </c>
      <c r="AC568">
        <v>19.7928</v>
      </c>
      <c r="AD568">
        <v>18.596399999999999</v>
      </c>
      <c r="AE568">
        <v>18.596499999999999</v>
      </c>
      <c r="AF568" t="s">
        <v>183</v>
      </c>
      <c r="AG568" t="s">
        <v>183</v>
      </c>
      <c r="AH568" t="s">
        <v>3894</v>
      </c>
      <c r="AI568" t="s">
        <v>3894</v>
      </c>
      <c r="AJ568" t="s">
        <v>3895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3896</v>
      </c>
      <c r="AT568" t="s">
        <v>3890</v>
      </c>
      <c r="AU568" t="s">
        <v>4012</v>
      </c>
      <c r="AV568" t="s">
        <v>3898</v>
      </c>
      <c r="AW568">
        <v>2</v>
      </c>
      <c r="AX568">
        <v>0</v>
      </c>
    </row>
    <row r="569" spans="1:50" x14ac:dyDescent="0.25">
      <c r="A569" t="s">
        <v>4549</v>
      </c>
      <c r="B569" t="s">
        <v>3889</v>
      </c>
      <c r="C569" t="s">
        <v>3890</v>
      </c>
      <c r="D569">
        <v>28.724</v>
      </c>
      <c r="E569">
        <v>28.664000000000001</v>
      </c>
      <c r="F569" s="2">
        <v>3.0999999999999999E-3</v>
      </c>
      <c r="G569" t="s">
        <v>2741</v>
      </c>
      <c r="H569" t="s">
        <v>2744</v>
      </c>
      <c r="I569">
        <v>440464.07510000002</v>
      </c>
      <c r="J569">
        <v>1827778.6757</v>
      </c>
      <c r="K569">
        <v>440483.5687</v>
      </c>
      <c r="L569">
        <v>1827778.6757</v>
      </c>
      <c r="M569" t="s">
        <v>56</v>
      </c>
      <c r="N569" t="s">
        <v>57</v>
      </c>
      <c r="O569">
        <v>450</v>
      </c>
      <c r="P569" t="s">
        <v>3891</v>
      </c>
      <c r="Q569" t="s">
        <v>3892</v>
      </c>
      <c r="R569" t="s">
        <v>200</v>
      </c>
      <c r="S569" t="s">
        <v>2316</v>
      </c>
      <c r="T569" t="s">
        <v>2746</v>
      </c>
      <c r="U569">
        <v>0.13150000000000001</v>
      </c>
      <c r="V569">
        <v>0.1249</v>
      </c>
      <c r="W569" t="s">
        <v>52</v>
      </c>
      <c r="X569">
        <v>0.8841</v>
      </c>
      <c r="Y569">
        <v>1.0697000000000001</v>
      </c>
      <c r="Z569">
        <v>0.91139999999999999</v>
      </c>
      <c r="AA569">
        <v>0.8841</v>
      </c>
      <c r="AB569">
        <v>19.493600000000001</v>
      </c>
      <c r="AC569">
        <v>19.4937</v>
      </c>
      <c r="AD569">
        <v>18.2957</v>
      </c>
      <c r="AE569">
        <v>18.2958</v>
      </c>
      <c r="AF569" t="s">
        <v>183</v>
      </c>
      <c r="AG569" t="s">
        <v>183</v>
      </c>
      <c r="AH569" t="s">
        <v>3894</v>
      </c>
      <c r="AI569" t="s">
        <v>3894</v>
      </c>
      <c r="AJ569" t="s">
        <v>3895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3896</v>
      </c>
      <c r="AT569" t="s">
        <v>3890</v>
      </c>
      <c r="AU569" t="s">
        <v>3897</v>
      </c>
      <c r="AV569" t="s">
        <v>3898</v>
      </c>
      <c r="AW569">
        <v>2</v>
      </c>
      <c r="AX569">
        <v>0</v>
      </c>
    </row>
    <row r="570" spans="1:50" x14ac:dyDescent="0.25">
      <c r="A570" t="s">
        <v>4550</v>
      </c>
      <c r="B570" t="s">
        <v>3889</v>
      </c>
      <c r="C570" t="s">
        <v>3890</v>
      </c>
      <c r="D570">
        <v>29.923999999999999</v>
      </c>
      <c r="E570">
        <v>29.888000000000002</v>
      </c>
      <c r="F570" s="2">
        <v>3.0000000000000001E-3</v>
      </c>
      <c r="G570" t="s">
        <v>1096</v>
      </c>
      <c r="H570" t="s">
        <v>1099</v>
      </c>
      <c r="I570">
        <v>440248.67489999998</v>
      </c>
      <c r="J570">
        <v>1827715.5748000001</v>
      </c>
      <c r="K570">
        <v>440248.67489999998</v>
      </c>
      <c r="L570">
        <v>1827703.6144999999</v>
      </c>
      <c r="M570" t="s">
        <v>56</v>
      </c>
      <c r="N570" t="s">
        <v>57</v>
      </c>
      <c r="O570">
        <v>450</v>
      </c>
      <c r="P570" t="s">
        <v>3891</v>
      </c>
      <c r="Q570" t="s">
        <v>3892</v>
      </c>
      <c r="R570" t="s">
        <v>1087</v>
      </c>
      <c r="S570" t="s">
        <v>597</v>
      </c>
      <c r="T570" t="s">
        <v>4551</v>
      </c>
      <c r="U570">
        <v>0.15</v>
      </c>
      <c r="V570">
        <v>0.15</v>
      </c>
      <c r="W570" t="s">
        <v>52</v>
      </c>
      <c r="X570">
        <v>0.83889999999999998</v>
      </c>
      <c r="Y570">
        <v>0.99180000000000001</v>
      </c>
      <c r="Z570">
        <v>0.99180000000000001</v>
      </c>
      <c r="AA570">
        <v>0.86299999999999999</v>
      </c>
      <c r="AB570">
        <v>12.011200000000001</v>
      </c>
      <c r="AC570">
        <v>12.011200000000001</v>
      </c>
      <c r="AD570">
        <v>11.0373</v>
      </c>
      <c r="AE570">
        <v>11.0374</v>
      </c>
      <c r="AF570" t="s">
        <v>2233</v>
      </c>
      <c r="AG570" t="s">
        <v>2233</v>
      </c>
      <c r="AH570" t="s">
        <v>3894</v>
      </c>
      <c r="AI570" t="s">
        <v>3894</v>
      </c>
      <c r="AJ570" t="s">
        <v>3895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3896</v>
      </c>
      <c r="AT570" t="s">
        <v>3890</v>
      </c>
      <c r="AU570" t="s">
        <v>3897</v>
      </c>
      <c r="AV570" t="s">
        <v>3898</v>
      </c>
      <c r="AW570">
        <v>2</v>
      </c>
      <c r="AX570">
        <v>0</v>
      </c>
    </row>
    <row r="571" spans="1:50" x14ac:dyDescent="0.25">
      <c r="A571" t="s">
        <v>4552</v>
      </c>
      <c r="B571" t="s">
        <v>3889</v>
      </c>
      <c r="C571" t="s">
        <v>3890</v>
      </c>
      <c r="D571">
        <v>28.713000000000001</v>
      </c>
      <c r="E571">
        <v>28.683</v>
      </c>
      <c r="F571" s="2">
        <v>3.0999999999999999E-3</v>
      </c>
      <c r="G571" t="s">
        <v>3598</v>
      </c>
      <c r="H571" t="s">
        <v>3601</v>
      </c>
      <c r="I571">
        <v>440510.42509999999</v>
      </c>
      <c r="J571">
        <v>1827425.1986</v>
      </c>
      <c r="K571">
        <v>440519.97509999998</v>
      </c>
      <c r="L571">
        <v>1827425.1986</v>
      </c>
      <c r="M571" t="s">
        <v>56</v>
      </c>
      <c r="N571" t="s">
        <v>57</v>
      </c>
      <c r="O571">
        <v>450</v>
      </c>
      <c r="P571" t="s">
        <v>3891</v>
      </c>
      <c r="Q571" t="s">
        <v>3892</v>
      </c>
      <c r="R571" t="s">
        <v>80</v>
      </c>
      <c r="S571" t="s">
        <v>440</v>
      </c>
      <c r="T571" s="1" t="s">
        <v>2333</v>
      </c>
      <c r="U571">
        <v>-4.7100000000000003E-2</v>
      </c>
      <c r="V571">
        <v>-5.0299999999999997E-2</v>
      </c>
      <c r="W571" t="s">
        <v>52</v>
      </c>
      <c r="X571">
        <v>0.84750000000000003</v>
      </c>
      <c r="Y571">
        <v>1.1565000000000001</v>
      </c>
      <c r="Z571">
        <v>1.1565000000000001</v>
      </c>
      <c r="AA571">
        <v>0.86499999999999999</v>
      </c>
      <c r="AB571">
        <v>9.7011000000000003</v>
      </c>
      <c r="AC571">
        <v>9.7012</v>
      </c>
      <c r="AD571">
        <v>8.8021999999999991</v>
      </c>
      <c r="AE571">
        <v>8.8021999999999991</v>
      </c>
      <c r="AF571" t="s">
        <v>183</v>
      </c>
      <c r="AG571" t="s">
        <v>183</v>
      </c>
      <c r="AH571" t="s">
        <v>3894</v>
      </c>
      <c r="AI571" t="s">
        <v>3894</v>
      </c>
      <c r="AJ571" t="s">
        <v>3895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3896</v>
      </c>
      <c r="AT571" t="s">
        <v>3890</v>
      </c>
      <c r="AU571" t="s">
        <v>3897</v>
      </c>
      <c r="AV571" t="s">
        <v>3898</v>
      </c>
      <c r="AW571">
        <v>2</v>
      </c>
      <c r="AX571">
        <v>0</v>
      </c>
    </row>
    <row r="572" spans="1:50" x14ac:dyDescent="0.25">
      <c r="A572" t="s">
        <v>4553</v>
      </c>
      <c r="B572" t="s">
        <v>3889</v>
      </c>
      <c r="C572" t="s">
        <v>3890</v>
      </c>
      <c r="D572">
        <v>28.954000000000001</v>
      </c>
      <c r="E572">
        <v>28.923999999999999</v>
      </c>
      <c r="F572" s="2">
        <v>3.0999999999999999E-3</v>
      </c>
      <c r="G572" t="s">
        <v>3587</v>
      </c>
      <c r="H572" t="s">
        <v>3590</v>
      </c>
      <c r="I572">
        <v>440510.42509999999</v>
      </c>
      <c r="J572">
        <v>1827415.4986</v>
      </c>
      <c r="K572">
        <v>440520.1251</v>
      </c>
      <c r="L572">
        <v>1827415.4986</v>
      </c>
      <c r="M572" t="s">
        <v>56</v>
      </c>
      <c r="N572" t="s">
        <v>57</v>
      </c>
      <c r="O572">
        <v>450</v>
      </c>
      <c r="P572" t="s">
        <v>3891</v>
      </c>
      <c r="Q572" t="s">
        <v>3892</v>
      </c>
      <c r="R572" t="s">
        <v>85</v>
      </c>
      <c r="S572" t="s">
        <v>440</v>
      </c>
      <c r="T572" t="s">
        <v>2350</v>
      </c>
      <c r="U572">
        <v>-8.4599999999999995E-2</v>
      </c>
      <c r="V572">
        <v>-8.3500000000000005E-2</v>
      </c>
      <c r="W572" t="s">
        <v>52</v>
      </c>
      <c r="X572">
        <v>0.88370000000000004</v>
      </c>
      <c r="Y572">
        <v>0.91549999999999998</v>
      </c>
      <c r="Z572">
        <v>0.91549999999999998</v>
      </c>
      <c r="AA572">
        <v>0.88370000000000004</v>
      </c>
      <c r="AB572">
        <v>9.7045999999999992</v>
      </c>
      <c r="AC572">
        <v>9.7047000000000008</v>
      </c>
      <c r="AD572">
        <v>8.8021999999999991</v>
      </c>
      <c r="AE572">
        <v>8.8021999999999991</v>
      </c>
      <c r="AF572" t="s">
        <v>183</v>
      </c>
      <c r="AG572" t="s">
        <v>183</v>
      </c>
      <c r="AH572" t="s">
        <v>3894</v>
      </c>
      <c r="AI572" t="s">
        <v>3894</v>
      </c>
      <c r="AJ572" t="s">
        <v>3895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3896</v>
      </c>
      <c r="AT572" t="s">
        <v>3890</v>
      </c>
      <c r="AU572" t="s">
        <v>3897</v>
      </c>
      <c r="AV572" t="s">
        <v>3898</v>
      </c>
      <c r="AW572">
        <v>2</v>
      </c>
      <c r="AX572">
        <v>0</v>
      </c>
    </row>
    <row r="573" spans="1:50" x14ac:dyDescent="0.25">
      <c r="A573" t="s">
        <v>4554</v>
      </c>
      <c r="B573" t="s">
        <v>3889</v>
      </c>
      <c r="C573" t="s">
        <v>3890</v>
      </c>
      <c r="D573">
        <v>30.48</v>
      </c>
      <c r="E573">
        <v>30.45</v>
      </c>
      <c r="F573" s="2">
        <v>3.0999999999999999E-3</v>
      </c>
      <c r="G573" t="s">
        <v>2328</v>
      </c>
      <c r="H573" t="s">
        <v>2331</v>
      </c>
      <c r="I573">
        <v>440510.42509999999</v>
      </c>
      <c r="J573">
        <v>1828037.8473</v>
      </c>
      <c r="K573">
        <v>440519.97509999998</v>
      </c>
      <c r="L573">
        <v>1828037.8473</v>
      </c>
      <c r="M573" t="s">
        <v>56</v>
      </c>
      <c r="N573" t="s">
        <v>57</v>
      </c>
      <c r="O573">
        <v>450</v>
      </c>
      <c r="P573" t="s">
        <v>3891</v>
      </c>
      <c r="Q573" t="s">
        <v>3892</v>
      </c>
      <c r="R573" t="s">
        <v>2263</v>
      </c>
      <c r="S573" t="s">
        <v>440</v>
      </c>
      <c r="T573" t="s">
        <v>2333</v>
      </c>
      <c r="U573">
        <v>-6.7400000000000002E-2</v>
      </c>
      <c r="V573">
        <v>-6.7400000000000002E-2</v>
      </c>
      <c r="W573" t="s">
        <v>52</v>
      </c>
      <c r="X573">
        <v>0.84450000000000003</v>
      </c>
      <c r="Y573">
        <v>1.0281</v>
      </c>
      <c r="Z573">
        <v>1.0281</v>
      </c>
      <c r="AA573">
        <v>0.86519999999999997</v>
      </c>
      <c r="AB573">
        <v>9.5511999999999997</v>
      </c>
      <c r="AC573">
        <v>9.5511999999999997</v>
      </c>
      <c r="AD573">
        <v>8.3521999999999998</v>
      </c>
      <c r="AE573">
        <v>8.3521999999999998</v>
      </c>
      <c r="AF573" t="s">
        <v>183</v>
      </c>
      <c r="AG573" t="s">
        <v>183</v>
      </c>
      <c r="AH573" t="s">
        <v>3894</v>
      </c>
      <c r="AI573" t="s">
        <v>3894</v>
      </c>
      <c r="AJ573" t="s">
        <v>3895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3896</v>
      </c>
      <c r="AT573" t="s">
        <v>3890</v>
      </c>
      <c r="AU573" t="s">
        <v>3897</v>
      </c>
      <c r="AV573" t="s">
        <v>3898</v>
      </c>
      <c r="AW573">
        <v>2</v>
      </c>
      <c r="AX573">
        <v>0</v>
      </c>
    </row>
    <row r="574" spans="1:50" x14ac:dyDescent="0.25">
      <c r="A574" t="s">
        <v>4555</v>
      </c>
      <c r="B574" t="s">
        <v>4004</v>
      </c>
      <c r="C574" t="s">
        <v>3890</v>
      </c>
      <c r="D574">
        <v>30.036999999999999</v>
      </c>
      <c r="E574">
        <v>29.984000000000002</v>
      </c>
      <c r="F574" s="2">
        <v>3.0000000000000001E-3</v>
      </c>
      <c r="G574" t="s">
        <v>3390</v>
      </c>
      <c r="H574" t="s">
        <v>3394</v>
      </c>
      <c r="I574">
        <v>440277.99300000002</v>
      </c>
      <c r="J574">
        <v>1827374.9735999999</v>
      </c>
      <c r="K574">
        <v>440295.8308</v>
      </c>
      <c r="L574">
        <v>1827374.9735999999</v>
      </c>
      <c r="M574" t="s">
        <v>56</v>
      </c>
      <c r="N574" t="s">
        <v>57</v>
      </c>
      <c r="O574">
        <v>600</v>
      </c>
      <c r="P574" t="s">
        <v>58</v>
      </c>
      <c r="Q574" t="s">
        <v>3892</v>
      </c>
      <c r="R574" t="s">
        <v>3089</v>
      </c>
      <c r="S574" s="1" t="s">
        <v>3392</v>
      </c>
      <c r="T574" t="s">
        <v>3396</v>
      </c>
      <c r="U574">
        <v>-0.2</v>
      </c>
      <c r="V574">
        <v>-0.2</v>
      </c>
      <c r="W574" t="s">
        <v>52</v>
      </c>
      <c r="X574">
        <v>1.2802</v>
      </c>
      <c r="Y574">
        <v>1.3358000000000001</v>
      </c>
      <c r="Z574">
        <v>1.3358000000000001</v>
      </c>
      <c r="AA574">
        <v>1.2802</v>
      </c>
      <c r="AB574">
        <v>17.837700000000002</v>
      </c>
      <c r="AC574">
        <v>17.837800000000001</v>
      </c>
      <c r="AD574">
        <v>16.6403</v>
      </c>
      <c r="AE574">
        <v>16.6403</v>
      </c>
      <c r="AF574" t="s">
        <v>183</v>
      </c>
      <c r="AG574" t="s">
        <v>183</v>
      </c>
      <c r="AH574" t="s">
        <v>3894</v>
      </c>
      <c r="AI574" t="s">
        <v>3894</v>
      </c>
      <c r="AJ574" t="s">
        <v>3895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3896</v>
      </c>
      <c r="AT574" t="s">
        <v>3890</v>
      </c>
      <c r="AU574" t="s">
        <v>4006</v>
      </c>
      <c r="AV574" t="s">
        <v>3898</v>
      </c>
      <c r="AW574">
        <v>2</v>
      </c>
      <c r="AX574">
        <v>0</v>
      </c>
    </row>
    <row r="575" spans="1:50" x14ac:dyDescent="0.25">
      <c r="A575" t="s">
        <v>4556</v>
      </c>
      <c r="B575" t="s">
        <v>3889</v>
      </c>
      <c r="C575" t="s">
        <v>3890</v>
      </c>
      <c r="D575">
        <v>28.989000000000001</v>
      </c>
      <c r="E575">
        <v>28.943999999999999</v>
      </c>
      <c r="F575" s="2">
        <v>3.0000000000000001E-3</v>
      </c>
      <c r="G575" t="s">
        <v>2703</v>
      </c>
      <c r="H575" t="s">
        <v>2706</v>
      </c>
      <c r="I575">
        <v>440454.3751</v>
      </c>
      <c r="J575">
        <v>1827802.6987000001</v>
      </c>
      <c r="K575">
        <v>440454.3751</v>
      </c>
      <c r="L575">
        <v>1827787.8023000001</v>
      </c>
      <c r="M575" t="s">
        <v>56</v>
      </c>
      <c r="N575" t="s">
        <v>57</v>
      </c>
      <c r="O575">
        <v>450</v>
      </c>
      <c r="P575" t="s">
        <v>3891</v>
      </c>
      <c r="Q575" t="s">
        <v>3892</v>
      </c>
      <c r="R575" t="s">
        <v>232</v>
      </c>
      <c r="S575" t="s">
        <v>525</v>
      </c>
      <c r="T575" t="s">
        <v>2708</v>
      </c>
      <c r="U575">
        <v>0.1784</v>
      </c>
      <c r="V575">
        <v>0.1784</v>
      </c>
      <c r="W575" t="s">
        <v>52</v>
      </c>
      <c r="X575">
        <v>0.8831</v>
      </c>
      <c r="Y575">
        <v>0.91090000000000004</v>
      </c>
      <c r="Z575">
        <v>0.91090000000000004</v>
      </c>
      <c r="AA575">
        <v>0.8831</v>
      </c>
      <c r="AB575">
        <v>14.8963</v>
      </c>
      <c r="AC575">
        <v>14.8964</v>
      </c>
      <c r="AD575">
        <v>13.698399999999999</v>
      </c>
      <c r="AE575">
        <v>13.698499999999999</v>
      </c>
      <c r="AF575" t="s">
        <v>3905</v>
      </c>
      <c r="AG575" t="s">
        <v>3905</v>
      </c>
      <c r="AH575" t="s">
        <v>3894</v>
      </c>
      <c r="AI575" t="s">
        <v>3894</v>
      </c>
      <c r="AJ575" t="s">
        <v>3895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3896</v>
      </c>
      <c r="AT575" t="s">
        <v>3890</v>
      </c>
      <c r="AU575" t="s">
        <v>3897</v>
      </c>
      <c r="AV575" t="s">
        <v>3898</v>
      </c>
      <c r="AW575">
        <v>2</v>
      </c>
      <c r="AX575">
        <v>0</v>
      </c>
    </row>
    <row r="576" spans="1:50" x14ac:dyDescent="0.25">
      <c r="A576" t="s">
        <v>4557</v>
      </c>
      <c r="B576" t="s">
        <v>3889</v>
      </c>
      <c r="C576" t="s">
        <v>3890</v>
      </c>
      <c r="D576">
        <v>30.440999999999999</v>
      </c>
      <c r="E576">
        <v>30.384</v>
      </c>
      <c r="F576" s="2">
        <v>3.0000000000000001E-3</v>
      </c>
      <c r="G576" t="s">
        <v>2279</v>
      </c>
      <c r="H576" t="s">
        <v>2283</v>
      </c>
      <c r="I576">
        <v>440454.3751</v>
      </c>
      <c r="J576">
        <v>1828001.9399000001</v>
      </c>
      <c r="K576">
        <v>440454.3751</v>
      </c>
      <c r="L576">
        <v>1827982.6987000001</v>
      </c>
      <c r="M576" t="s">
        <v>56</v>
      </c>
      <c r="N576" t="s">
        <v>57</v>
      </c>
      <c r="O576">
        <v>450</v>
      </c>
      <c r="P576" t="s">
        <v>3891</v>
      </c>
      <c r="Q576" t="s">
        <v>3892</v>
      </c>
      <c r="R576" t="s">
        <v>232</v>
      </c>
      <c r="S576" t="s">
        <v>2281</v>
      </c>
      <c r="T576" t="s">
        <v>444</v>
      </c>
      <c r="U576">
        <v>0.1784</v>
      </c>
      <c r="V576">
        <v>0.1784</v>
      </c>
      <c r="W576" t="s">
        <v>52</v>
      </c>
      <c r="X576">
        <v>0.88160000000000005</v>
      </c>
      <c r="Y576">
        <v>0.97799999999999998</v>
      </c>
      <c r="Z576">
        <v>0.97799999999999998</v>
      </c>
      <c r="AA576">
        <v>0.88160000000000005</v>
      </c>
      <c r="AB576">
        <v>19.241199999999999</v>
      </c>
      <c r="AC576">
        <v>19.241299999999999</v>
      </c>
      <c r="AD576">
        <v>18.043299999999999</v>
      </c>
      <c r="AE576">
        <v>18.043399999999998</v>
      </c>
      <c r="AF576" t="s">
        <v>3905</v>
      </c>
      <c r="AG576" t="s">
        <v>3905</v>
      </c>
      <c r="AH576" t="s">
        <v>3894</v>
      </c>
      <c r="AI576" t="s">
        <v>3894</v>
      </c>
      <c r="AJ576" t="s">
        <v>3895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3896</v>
      </c>
      <c r="AT576" t="s">
        <v>3890</v>
      </c>
      <c r="AU576" t="s">
        <v>3897</v>
      </c>
      <c r="AV576" t="s">
        <v>3898</v>
      </c>
      <c r="AW576">
        <v>2</v>
      </c>
      <c r="AX576">
        <v>0</v>
      </c>
    </row>
    <row r="577" spans="1:50" x14ac:dyDescent="0.25">
      <c r="A577" t="s">
        <v>4558</v>
      </c>
      <c r="B577" t="s">
        <v>3917</v>
      </c>
      <c r="C577" t="s">
        <v>3890</v>
      </c>
      <c r="D577">
        <v>29.579000000000001</v>
      </c>
      <c r="E577">
        <v>29.518999999999998</v>
      </c>
      <c r="F577" s="2">
        <v>3.0000000000000001E-3</v>
      </c>
      <c r="G577" t="s">
        <v>662</v>
      </c>
      <c r="H577" t="s">
        <v>665</v>
      </c>
      <c r="I577">
        <v>440048.22489999997</v>
      </c>
      <c r="J577">
        <v>1827531.6088</v>
      </c>
      <c r="K577">
        <v>440068.22489999997</v>
      </c>
      <c r="L577">
        <v>1827531.6088</v>
      </c>
      <c r="M577" t="s">
        <v>56</v>
      </c>
      <c r="N577" t="s">
        <v>57</v>
      </c>
      <c r="O577">
        <v>750</v>
      </c>
      <c r="P577" t="s">
        <v>3918</v>
      </c>
      <c r="Q577" t="s">
        <v>3919</v>
      </c>
      <c r="R577" t="s">
        <v>127</v>
      </c>
      <c r="S577" t="s">
        <v>424</v>
      </c>
      <c r="T577" t="s">
        <v>428</v>
      </c>
      <c r="U577">
        <v>5.8299999999999998E-2</v>
      </c>
      <c r="V577">
        <v>5.8299999999999998E-2</v>
      </c>
      <c r="W577" t="s">
        <v>52</v>
      </c>
      <c r="X577">
        <v>1.7532000000000001</v>
      </c>
      <c r="Y577">
        <v>1.7945</v>
      </c>
      <c r="Z577">
        <v>1.7945</v>
      </c>
      <c r="AA577">
        <v>1.7532000000000001</v>
      </c>
      <c r="AB577">
        <v>20</v>
      </c>
      <c r="AC577">
        <v>20.0001</v>
      </c>
      <c r="AD577">
        <v>18.803100000000001</v>
      </c>
      <c r="AE577">
        <v>18.8032</v>
      </c>
      <c r="AF577" t="s">
        <v>3920</v>
      </c>
      <c r="AG577" t="s">
        <v>3920</v>
      </c>
      <c r="AH577" t="s">
        <v>3894</v>
      </c>
      <c r="AI577" t="s">
        <v>3894</v>
      </c>
      <c r="AJ577" t="s">
        <v>3895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3896</v>
      </c>
      <c r="AT577" t="s">
        <v>3890</v>
      </c>
      <c r="AU577" t="s">
        <v>3921</v>
      </c>
      <c r="AV577" t="s">
        <v>3898</v>
      </c>
      <c r="AW577">
        <v>2</v>
      </c>
      <c r="AX577">
        <v>0</v>
      </c>
    </row>
    <row r="578" spans="1:50" x14ac:dyDescent="0.25">
      <c r="A578" t="s">
        <v>4559</v>
      </c>
      <c r="B578" t="s">
        <v>3917</v>
      </c>
      <c r="C578" t="s">
        <v>3890</v>
      </c>
      <c r="D578">
        <v>29.009</v>
      </c>
      <c r="E578">
        <v>28.95</v>
      </c>
      <c r="F578" s="2">
        <v>3.2000000000000002E-3</v>
      </c>
      <c r="G578" t="s">
        <v>734</v>
      </c>
      <c r="H578" t="s">
        <v>737</v>
      </c>
      <c r="I578">
        <v>440148.22489999997</v>
      </c>
      <c r="J578">
        <v>1827531.6088</v>
      </c>
      <c r="K578">
        <v>440166.79350000003</v>
      </c>
      <c r="L578">
        <v>1827531.6088</v>
      </c>
      <c r="M578" t="s">
        <v>56</v>
      </c>
      <c r="N578" t="s">
        <v>57</v>
      </c>
      <c r="O578">
        <v>750</v>
      </c>
      <c r="P578" t="s">
        <v>3918</v>
      </c>
      <c r="Q578" t="s">
        <v>3919</v>
      </c>
      <c r="R578" t="s">
        <v>127</v>
      </c>
      <c r="S578" t="s">
        <v>444</v>
      </c>
      <c r="T578" t="s">
        <v>739</v>
      </c>
      <c r="U578">
        <v>5.8400000000000001E-2</v>
      </c>
      <c r="V578">
        <v>5.8400000000000001E-2</v>
      </c>
      <c r="W578" t="s">
        <v>52</v>
      </c>
      <c r="X578">
        <v>1.7613000000000001</v>
      </c>
      <c r="Y578">
        <v>1.8079000000000001</v>
      </c>
      <c r="Z578">
        <v>1.8079000000000001</v>
      </c>
      <c r="AA578">
        <v>1.7613000000000001</v>
      </c>
      <c r="AB578">
        <v>18.5687</v>
      </c>
      <c r="AC578">
        <v>18.5688</v>
      </c>
      <c r="AD578">
        <v>17.372</v>
      </c>
      <c r="AE578">
        <v>17.3721</v>
      </c>
      <c r="AF578" t="s">
        <v>3920</v>
      </c>
      <c r="AG578" t="s">
        <v>3920</v>
      </c>
      <c r="AH578" t="s">
        <v>3894</v>
      </c>
      <c r="AI578" t="s">
        <v>3894</v>
      </c>
      <c r="AJ578" t="s">
        <v>3895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3896</v>
      </c>
      <c r="AT578" t="s">
        <v>3890</v>
      </c>
      <c r="AU578" t="s">
        <v>3921</v>
      </c>
      <c r="AV578" t="s">
        <v>3898</v>
      </c>
      <c r="AW578">
        <v>2</v>
      </c>
      <c r="AX578">
        <v>0</v>
      </c>
    </row>
    <row r="579" spans="1:50" x14ac:dyDescent="0.25">
      <c r="A579" t="s">
        <v>4560</v>
      </c>
      <c r="B579" t="s">
        <v>3889</v>
      </c>
      <c r="C579" t="s">
        <v>3890</v>
      </c>
      <c r="D579">
        <v>31.132000000000001</v>
      </c>
      <c r="E579">
        <v>31.099</v>
      </c>
      <c r="F579" s="2">
        <v>3.0999999999999999E-3</v>
      </c>
      <c r="G579" t="s">
        <v>656</v>
      </c>
      <c r="H579" t="s">
        <v>658</v>
      </c>
      <c r="I579">
        <v>440031.87520000001</v>
      </c>
      <c r="J579">
        <v>1827520.9838</v>
      </c>
      <c r="K579">
        <v>440031.87520000001</v>
      </c>
      <c r="L579">
        <v>1827531.6088</v>
      </c>
      <c r="M579" t="s">
        <v>56</v>
      </c>
      <c r="N579" t="s">
        <v>57</v>
      </c>
      <c r="O579">
        <v>450</v>
      </c>
      <c r="P579" t="s">
        <v>3891</v>
      </c>
      <c r="Q579" t="s">
        <v>3892</v>
      </c>
      <c r="R579" t="s">
        <v>645</v>
      </c>
      <c r="S579" t="s">
        <v>452</v>
      </c>
      <c r="T579" t="s">
        <v>1300</v>
      </c>
      <c r="U579">
        <v>2.8500000000000001E-2</v>
      </c>
      <c r="V579">
        <v>2.8500000000000001E-2</v>
      </c>
      <c r="W579" t="s">
        <v>52</v>
      </c>
      <c r="X579">
        <v>0.85160000000000002</v>
      </c>
      <c r="Y579">
        <v>1.0842000000000001</v>
      </c>
      <c r="Z579">
        <v>1.0842000000000001</v>
      </c>
      <c r="AA579">
        <v>0.86739999999999995</v>
      </c>
      <c r="AB579">
        <v>10.675000000000001</v>
      </c>
      <c r="AC579">
        <v>10.6751</v>
      </c>
      <c r="AD579">
        <v>9.7021999999999995</v>
      </c>
      <c r="AE579">
        <v>9.7021999999999995</v>
      </c>
      <c r="AF579" t="s">
        <v>67</v>
      </c>
      <c r="AG579" t="s">
        <v>67</v>
      </c>
      <c r="AH579" t="s">
        <v>3894</v>
      </c>
      <c r="AI579" t="s">
        <v>3894</v>
      </c>
      <c r="AJ579" t="s">
        <v>3895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3896</v>
      </c>
      <c r="AT579" t="s">
        <v>3890</v>
      </c>
      <c r="AU579" t="s">
        <v>3897</v>
      </c>
      <c r="AV579" t="s">
        <v>3898</v>
      </c>
      <c r="AW579">
        <v>2</v>
      </c>
      <c r="AX579">
        <v>0</v>
      </c>
    </row>
    <row r="580" spans="1:50" x14ac:dyDescent="0.25">
      <c r="A580" t="s">
        <v>4561</v>
      </c>
      <c r="B580" t="s">
        <v>3928</v>
      </c>
      <c r="C580" t="s">
        <v>3890</v>
      </c>
      <c r="D580">
        <v>29.62</v>
      </c>
      <c r="E580">
        <v>29.562000000000001</v>
      </c>
      <c r="F580" s="2">
        <v>3.0000000000000001E-3</v>
      </c>
      <c r="G580" t="s">
        <v>1695</v>
      </c>
      <c r="H580" t="s">
        <v>1699</v>
      </c>
      <c r="I580">
        <v>440093.88890000002</v>
      </c>
      <c r="J580">
        <v>1827550.2588</v>
      </c>
      <c r="K580">
        <v>440113.3921</v>
      </c>
      <c r="L580">
        <v>1827550.2588</v>
      </c>
      <c r="M580" t="s">
        <v>56</v>
      </c>
      <c r="N580" t="s">
        <v>57</v>
      </c>
      <c r="O580">
        <v>900</v>
      </c>
      <c r="P580" t="s">
        <v>3929</v>
      </c>
      <c r="Q580" t="s">
        <v>3930</v>
      </c>
      <c r="R580" t="s">
        <v>132</v>
      </c>
      <c r="S580" t="s">
        <v>1697</v>
      </c>
      <c r="T580" t="s">
        <v>1701</v>
      </c>
      <c r="U580">
        <v>-0.05</v>
      </c>
      <c r="V580">
        <v>-0.05</v>
      </c>
      <c r="W580" t="s">
        <v>52</v>
      </c>
      <c r="X580">
        <v>1.2762</v>
      </c>
      <c r="Y580">
        <v>1.3290999999999999</v>
      </c>
      <c r="Z580">
        <v>1.3290999999999999</v>
      </c>
      <c r="AA580">
        <v>1.2762</v>
      </c>
      <c r="AB580">
        <v>19.5032</v>
      </c>
      <c r="AC580">
        <v>19.5032</v>
      </c>
      <c r="AD580">
        <v>18.306899999999999</v>
      </c>
      <c r="AE580">
        <v>18.306999999999999</v>
      </c>
      <c r="AF580" t="s">
        <v>3920</v>
      </c>
      <c r="AG580" t="s">
        <v>3920</v>
      </c>
      <c r="AH580" t="s">
        <v>3894</v>
      </c>
      <c r="AI580" t="s">
        <v>3894</v>
      </c>
      <c r="AJ580" t="s">
        <v>3895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3896</v>
      </c>
      <c r="AT580" t="s">
        <v>3890</v>
      </c>
      <c r="AU580" t="s">
        <v>3931</v>
      </c>
      <c r="AV580" t="s">
        <v>3898</v>
      </c>
      <c r="AW580">
        <v>2</v>
      </c>
      <c r="AX580">
        <v>0</v>
      </c>
    </row>
    <row r="581" spans="1:50" x14ac:dyDescent="0.25">
      <c r="A581" t="s">
        <v>4562</v>
      </c>
      <c r="B581" t="s">
        <v>3889</v>
      </c>
      <c r="C581" t="s">
        <v>3890</v>
      </c>
      <c r="D581">
        <v>29.366</v>
      </c>
      <c r="E581">
        <v>29.305</v>
      </c>
      <c r="F581" s="2">
        <v>3.0000000000000001E-3</v>
      </c>
      <c r="G581" t="s">
        <v>3495</v>
      </c>
      <c r="H581" t="s">
        <v>115</v>
      </c>
      <c r="I581">
        <v>440387.3751</v>
      </c>
      <c r="J581">
        <v>1827489.7609000001</v>
      </c>
      <c r="K581">
        <v>440387.3751</v>
      </c>
      <c r="L581">
        <v>1827510.1510000001</v>
      </c>
      <c r="M581" t="s">
        <v>56</v>
      </c>
      <c r="N581" t="s">
        <v>57</v>
      </c>
      <c r="O581">
        <v>450</v>
      </c>
      <c r="P581" t="s">
        <v>3891</v>
      </c>
      <c r="Q581" t="s">
        <v>3892</v>
      </c>
      <c r="R581" t="s">
        <v>117</v>
      </c>
      <c r="S581" t="s">
        <v>865</v>
      </c>
      <c r="T581" t="s">
        <v>118</v>
      </c>
      <c r="U581">
        <v>3.6400000000000002E-2</v>
      </c>
      <c r="V581">
        <v>3.6400000000000002E-2</v>
      </c>
      <c r="W581" t="s">
        <v>52</v>
      </c>
      <c r="X581">
        <v>0.88139999999999996</v>
      </c>
      <c r="Y581">
        <v>0.92390000000000005</v>
      </c>
      <c r="Z581">
        <v>0.92390000000000005</v>
      </c>
      <c r="AA581">
        <v>0.88139999999999996</v>
      </c>
      <c r="AB581">
        <v>20.3901</v>
      </c>
      <c r="AC581">
        <v>20.3902</v>
      </c>
      <c r="AD581">
        <v>19.1922</v>
      </c>
      <c r="AE581">
        <v>19.192299999999999</v>
      </c>
      <c r="AF581" t="s">
        <v>67</v>
      </c>
      <c r="AG581" t="s">
        <v>67</v>
      </c>
      <c r="AH581" t="s">
        <v>3894</v>
      </c>
      <c r="AI581" t="s">
        <v>3894</v>
      </c>
      <c r="AJ581" t="s">
        <v>3895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3896</v>
      </c>
      <c r="AT581" t="s">
        <v>3890</v>
      </c>
      <c r="AU581" t="s">
        <v>3897</v>
      </c>
      <c r="AV581" t="s">
        <v>3898</v>
      </c>
      <c r="AW581">
        <v>2</v>
      </c>
      <c r="AX581">
        <v>0</v>
      </c>
    </row>
    <row r="582" spans="1:50" x14ac:dyDescent="0.25">
      <c r="A582" t="s">
        <v>4563</v>
      </c>
      <c r="B582" t="s">
        <v>3889</v>
      </c>
      <c r="C582" t="s">
        <v>3890</v>
      </c>
      <c r="D582">
        <v>28.76</v>
      </c>
      <c r="E582">
        <v>28.741</v>
      </c>
      <c r="F582" s="2">
        <v>3.0999999999999999E-3</v>
      </c>
      <c r="G582" t="s">
        <v>3845</v>
      </c>
      <c r="H582" t="s">
        <v>3848</v>
      </c>
      <c r="I582">
        <v>440398.47509999998</v>
      </c>
      <c r="J582">
        <v>1827709.7609000001</v>
      </c>
      <c r="K582">
        <v>440398.47509999998</v>
      </c>
      <c r="L582">
        <v>1827703.7145</v>
      </c>
      <c r="M582" t="s">
        <v>56</v>
      </c>
      <c r="N582" t="s">
        <v>57</v>
      </c>
      <c r="O582">
        <v>450</v>
      </c>
      <c r="P582" t="s">
        <v>3891</v>
      </c>
      <c r="Q582" t="s">
        <v>3892</v>
      </c>
      <c r="R582" t="s">
        <v>107</v>
      </c>
      <c r="S582" t="s">
        <v>420</v>
      </c>
      <c r="T582" t="s">
        <v>4564</v>
      </c>
      <c r="U582">
        <v>-2.0000000000000001E-4</v>
      </c>
      <c r="V582">
        <v>-2.0000000000000001E-4</v>
      </c>
      <c r="W582" t="s">
        <v>52</v>
      </c>
      <c r="X582">
        <v>0.86939999999999995</v>
      </c>
      <c r="Y582">
        <v>1.0724</v>
      </c>
      <c r="Z582">
        <v>1.0724</v>
      </c>
      <c r="AA582">
        <v>0.88280000000000003</v>
      </c>
      <c r="AB582">
        <v>6.1974</v>
      </c>
      <c r="AC582">
        <v>6.1974</v>
      </c>
      <c r="AD582">
        <v>5.2236000000000002</v>
      </c>
      <c r="AE582">
        <v>5.2236000000000002</v>
      </c>
      <c r="AF582" t="s">
        <v>2233</v>
      </c>
      <c r="AG582" t="s">
        <v>2233</v>
      </c>
      <c r="AH582" t="s">
        <v>3894</v>
      </c>
      <c r="AI582" t="s">
        <v>3894</v>
      </c>
      <c r="AJ582" t="s">
        <v>3895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3896</v>
      </c>
      <c r="AT582" t="s">
        <v>3890</v>
      </c>
      <c r="AU582" t="s">
        <v>3897</v>
      </c>
      <c r="AV582" t="s">
        <v>3898</v>
      </c>
      <c r="AW582">
        <v>2</v>
      </c>
      <c r="AX582">
        <v>0</v>
      </c>
    </row>
    <row r="583" spans="1:50" x14ac:dyDescent="0.25">
      <c r="A583" t="s">
        <v>4565</v>
      </c>
      <c r="B583" t="s">
        <v>3889</v>
      </c>
      <c r="C583" t="s">
        <v>3890</v>
      </c>
      <c r="D583">
        <v>27.663</v>
      </c>
      <c r="E583">
        <v>27.622</v>
      </c>
      <c r="F583" s="2">
        <v>3.0999999999999999E-3</v>
      </c>
      <c r="G583" t="s">
        <v>3675</v>
      </c>
      <c r="H583" t="s">
        <v>3678</v>
      </c>
      <c r="I583">
        <v>440585.57510000002</v>
      </c>
      <c r="J583">
        <v>1827518.2394999999</v>
      </c>
      <c r="K583">
        <v>440585.57510000002</v>
      </c>
      <c r="L583">
        <v>1827531.6588000001</v>
      </c>
      <c r="M583" t="s">
        <v>56</v>
      </c>
      <c r="N583" t="s">
        <v>57</v>
      </c>
      <c r="O583">
        <v>450</v>
      </c>
      <c r="P583" t="s">
        <v>3891</v>
      </c>
      <c r="Q583" t="s">
        <v>3892</v>
      </c>
      <c r="R583" t="s">
        <v>357</v>
      </c>
      <c r="S583" t="s">
        <v>420</v>
      </c>
      <c r="T583" t="s">
        <v>4566</v>
      </c>
      <c r="U583">
        <v>1.5299999999999999E-2</v>
      </c>
      <c r="V583">
        <v>7.9000000000000008E-3</v>
      </c>
      <c r="W583" t="s">
        <v>52</v>
      </c>
      <c r="X583">
        <v>0.84109999999999996</v>
      </c>
      <c r="Y583">
        <v>0.99119999999999997</v>
      </c>
      <c r="Z583">
        <v>0.94179999999999997</v>
      </c>
      <c r="AA583">
        <v>0.87129999999999996</v>
      </c>
      <c r="AB583">
        <v>13.4201</v>
      </c>
      <c r="AC583">
        <v>13.420199999999999</v>
      </c>
      <c r="AD583">
        <v>12.446400000000001</v>
      </c>
      <c r="AE583">
        <v>12.4465</v>
      </c>
      <c r="AF583" t="s">
        <v>67</v>
      </c>
      <c r="AG583" t="s">
        <v>67</v>
      </c>
      <c r="AH583" t="s">
        <v>3894</v>
      </c>
      <c r="AI583" t="s">
        <v>3894</v>
      </c>
      <c r="AJ583" t="s">
        <v>3895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3896</v>
      </c>
      <c r="AT583" t="s">
        <v>3890</v>
      </c>
      <c r="AU583" t="s">
        <v>3897</v>
      </c>
      <c r="AV583" t="s">
        <v>3898</v>
      </c>
      <c r="AW583">
        <v>2</v>
      </c>
      <c r="AX583">
        <v>0</v>
      </c>
    </row>
    <row r="584" spans="1:50" x14ac:dyDescent="0.25">
      <c r="A584" t="s">
        <v>4567</v>
      </c>
      <c r="B584" t="s">
        <v>3889</v>
      </c>
      <c r="C584" t="s">
        <v>3890</v>
      </c>
      <c r="D584">
        <v>27.643000000000001</v>
      </c>
      <c r="E584">
        <v>27.603000000000002</v>
      </c>
      <c r="F584" s="2">
        <v>3.0000000000000001E-3</v>
      </c>
      <c r="G584" t="s">
        <v>3694</v>
      </c>
      <c r="H584" t="s">
        <v>3697</v>
      </c>
      <c r="I584">
        <v>440595.27510000003</v>
      </c>
      <c r="J584">
        <v>1827518.2394999999</v>
      </c>
      <c r="K584">
        <v>440595.27510000003</v>
      </c>
      <c r="L584">
        <v>1827531.5088</v>
      </c>
      <c r="M584" t="s">
        <v>56</v>
      </c>
      <c r="N584" t="s">
        <v>57</v>
      </c>
      <c r="O584">
        <v>450</v>
      </c>
      <c r="P584" t="s">
        <v>3891</v>
      </c>
      <c r="Q584" t="s">
        <v>3892</v>
      </c>
      <c r="R584" t="s">
        <v>797</v>
      </c>
      <c r="S584" t="s">
        <v>420</v>
      </c>
      <c r="T584" t="s">
        <v>4568</v>
      </c>
      <c r="U584">
        <v>3.3099999999999997E-2</v>
      </c>
      <c r="V584">
        <v>3.3099999999999997E-2</v>
      </c>
      <c r="W584" t="s">
        <v>52</v>
      </c>
      <c r="X584">
        <v>0.84199999999999997</v>
      </c>
      <c r="Y584">
        <v>1.0001</v>
      </c>
      <c r="Z584">
        <v>0.96179999999999999</v>
      </c>
      <c r="AA584">
        <v>0.86599999999999999</v>
      </c>
      <c r="AB584">
        <v>13.4201</v>
      </c>
      <c r="AC584">
        <v>13.420199999999999</v>
      </c>
      <c r="AD584">
        <v>12.446400000000001</v>
      </c>
      <c r="AE584">
        <v>12.4465</v>
      </c>
      <c r="AF584" t="s">
        <v>67</v>
      </c>
      <c r="AG584" t="s">
        <v>67</v>
      </c>
      <c r="AH584" t="s">
        <v>3894</v>
      </c>
      <c r="AI584" t="s">
        <v>3894</v>
      </c>
      <c r="AJ584" t="s">
        <v>3895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3896</v>
      </c>
      <c r="AT584" t="s">
        <v>3890</v>
      </c>
      <c r="AU584" t="s">
        <v>3897</v>
      </c>
      <c r="AV584" t="s">
        <v>3898</v>
      </c>
      <c r="AW584">
        <v>2</v>
      </c>
      <c r="AX584">
        <v>0</v>
      </c>
    </row>
    <row r="585" spans="1:50" x14ac:dyDescent="0.25">
      <c r="A585" t="s">
        <v>4569</v>
      </c>
      <c r="B585" t="s">
        <v>3917</v>
      </c>
      <c r="C585" t="s">
        <v>3890</v>
      </c>
      <c r="D585">
        <v>28.678999999999998</v>
      </c>
      <c r="E585">
        <v>28.643000000000001</v>
      </c>
      <c r="F585" s="2">
        <v>3.0000000000000001E-3</v>
      </c>
      <c r="G585" t="s">
        <v>772</v>
      </c>
      <c r="H585" t="s">
        <v>776</v>
      </c>
      <c r="I585">
        <v>440208.22489999997</v>
      </c>
      <c r="J585">
        <v>1827531.6088</v>
      </c>
      <c r="K585">
        <v>440220.25550000003</v>
      </c>
      <c r="L585">
        <v>1827531.6088</v>
      </c>
      <c r="M585" t="s">
        <v>56</v>
      </c>
      <c r="N585" t="s">
        <v>57</v>
      </c>
      <c r="O585">
        <v>750</v>
      </c>
      <c r="P585" t="s">
        <v>3918</v>
      </c>
      <c r="Q585" t="s">
        <v>3919</v>
      </c>
      <c r="R585" t="s">
        <v>141</v>
      </c>
      <c r="S585" t="s">
        <v>4570</v>
      </c>
      <c r="T585" t="s">
        <v>778</v>
      </c>
      <c r="U585">
        <v>5.8400000000000001E-2</v>
      </c>
      <c r="V585">
        <v>5.8400000000000001E-2</v>
      </c>
      <c r="W585" t="s">
        <v>52</v>
      </c>
      <c r="X585">
        <v>1.7533000000000001</v>
      </c>
      <c r="Y585">
        <v>1.784</v>
      </c>
      <c r="Z585">
        <v>1.784</v>
      </c>
      <c r="AA585">
        <v>1.7533000000000001</v>
      </c>
      <c r="AB585">
        <v>12.0306</v>
      </c>
      <c r="AC585">
        <v>12.0306</v>
      </c>
      <c r="AD585">
        <v>10.8337</v>
      </c>
      <c r="AE585">
        <v>10.8338</v>
      </c>
      <c r="AF585" t="s">
        <v>3920</v>
      </c>
      <c r="AG585" t="s">
        <v>3920</v>
      </c>
      <c r="AH585" t="s">
        <v>3894</v>
      </c>
      <c r="AI585" t="s">
        <v>3894</v>
      </c>
      <c r="AJ585" t="s">
        <v>3895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3896</v>
      </c>
      <c r="AT585" t="s">
        <v>3890</v>
      </c>
      <c r="AU585" t="s">
        <v>3921</v>
      </c>
      <c r="AV585" t="s">
        <v>3898</v>
      </c>
      <c r="AW585">
        <v>2</v>
      </c>
      <c r="AX585">
        <v>0</v>
      </c>
    </row>
    <row r="586" spans="1:50" x14ac:dyDescent="0.25">
      <c r="A586" t="s">
        <v>4571</v>
      </c>
      <c r="B586" t="s">
        <v>4010</v>
      </c>
      <c r="C586" t="s">
        <v>3890</v>
      </c>
      <c r="D586">
        <v>31.198</v>
      </c>
      <c r="E586">
        <v>31.141999999999999</v>
      </c>
      <c r="F586" s="2">
        <v>3.0000000000000001E-3</v>
      </c>
      <c r="G586" t="s">
        <v>1861</v>
      </c>
      <c r="H586" t="s">
        <v>1889</v>
      </c>
      <c r="I586">
        <v>440121.92450000002</v>
      </c>
      <c r="J586">
        <v>1827882.8171999999</v>
      </c>
      <c r="K586">
        <v>440121.92450000002</v>
      </c>
      <c r="L586">
        <v>1827864.2250000001</v>
      </c>
      <c r="M586" t="s">
        <v>56</v>
      </c>
      <c r="N586" t="s">
        <v>57</v>
      </c>
      <c r="O586">
        <v>900</v>
      </c>
      <c r="P586" t="s">
        <v>109</v>
      </c>
      <c r="Q586" t="s">
        <v>3919</v>
      </c>
      <c r="R586" t="s">
        <v>395</v>
      </c>
      <c r="S586" t="s">
        <v>1065</v>
      </c>
      <c r="T586" t="s">
        <v>4377</v>
      </c>
      <c r="U586">
        <v>-0.1721</v>
      </c>
      <c r="V586">
        <v>-0.1721</v>
      </c>
      <c r="W586" t="s">
        <v>52</v>
      </c>
      <c r="X586">
        <v>0.82330000000000003</v>
      </c>
      <c r="Y586">
        <v>1.0159</v>
      </c>
      <c r="Z586">
        <v>1.0159</v>
      </c>
      <c r="AA586">
        <v>0.84670000000000001</v>
      </c>
      <c r="AB586">
        <v>18.592300000000002</v>
      </c>
      <c r="AC586">
        <v>18.592400000000001</v>
      </c>
      <c r="AD586">
        <v>17.395900000000001</v>
      </c>
      <c r="AE586">
        <v>17.396000000000001</v>
      </c>
      <c r="AF586" t="s">
        <v>2233</v>
      </c>
      <c r="AG586" t="s">
        <v>2233</v>
      </c>
      <c r="AH586" t="s">
        <v>3894</v>
      </c>
      <c r="AI586" t="s">
        <v>3894</v>
      </c>
      <c r="AJ586" t="s">
        <v>3895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3896</v>
      </c>
      <c r="AT586" t="s">
        <v>3890</v>
      </c>
      <c r="AU586" t="s">
        <v>4012</v>
      </c>
      <c r="AV586" t="s">
        <v>3898</v>
      </c>
      <c r="AW586">
        <v>2</v>
      </c>
      <c r="AX586">
        <v>0</v>
      </c>
    </row>
    <row r="587" spans="1:50" x14ac:dyDescent="0.25">
      <c r="A587" t="s">
        <v>4572</v>
      </c>
      <c r="B587" t="s">
        <v>3889</v>
      </c>
      <c r="C587" t="s">
        <v>3890</v>
      </c>
      <c r="D587">
        <v>31.927</v>
      </c>
      <c r="E587">
        <v>31.870999999999999</v>
      </c>
      <c r="F587" s="2">
        <v>2.5999999999999999E-3</v>
      </c>
      <c r="G587" t="s">
        <v>1903</v>
      </c>
      <c r="H587" t="s">
        <v>1907</v>
      </c>
      <c r="I587">
        <v>440032.88530000002</v>
      </c>
      <c r="J587">
        <v>1827853.3740999999</v>
      </c>
      <c r="K587">
        <v>440054.70250000001</v>
      </c>
      <c r="L587">
        <v>1827853.3740999999</v>
      </c>
      <c r="M587" t="s">
        <v>56</v>
      </c>
      <c r="N587" t="s">
        <v>57</v>
      </c>
      <c r="O587">
        <v>450</v>
      </c>
      <c r="P587" t="s">
        <v>3891</v>
      </c>
      <c r="Q587" t="s">
        <v>3892</v>
      </c>
      <c r="R587" t="s">
        <v>227</v>
      </c>
      <c r="S587" t="s">
        <v>1905</v>
      </c>
      <c r="T587" t="s">
        <v>1909</v>
      </c>
      <c r="U587">
        <v>0</v>
      </c>
      <c r="V587">
        <v>0</v>
      </c>
      <c r="W587" t="s">
        <v>52</v>
      </c>
      <c r="X587">
        <v>0.78659999999999997</v>
      </c>
      <c r="Y587">
        <v>1.0603</v>
      </c>
      <c r="Z587">
        <v>1.0603</v>
      </c>
      <c r="AA587">
        <v>0.93720000000000003</v>
      </c>
      <c r="AB587">
        <v>21.817299999999999</v>
      </c>
      <c r="AC587">
        <v>21.817299999999999</v>
      </c>
      <c r="AD587">
        <v>20.6191</v>
      </c>
      <c r="AE587">
        <v>20.6191</v>
      </c>
      <c r="AF587" t="s">
        <v>183</v>
      </c>
      <c r="AG587" t="s">
        <v>183</v>
      </c>
      <c r="AH587" t="s">
        <v>3894</v>
      </c>
      <c r="AI587" t="s">
        <v>3894</v>
      </c>
      <c r="AJ587" t="s">
        <v>3895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3896</v>
      </c>
      <c r="AT587" t="s">
        <v>3890</v>
      </c>
      <c r="AU587" t="s">
        <v>3897</v>
      </c>
      <c r="AV587" t="s">
        <v>3898</v>
      </c>
      <c r="AW587">
        <v>2</v>
      </c>
      <c r="AX587">
        <v>0</v>
      </c>
    </row>
    <row r="588" spans="1:50" x14ac:dyDescent="0.25">
      <c r="A588" t="s">
        <v>4573</v>
      </c>
      <c r="B588" t="s">
        <v>3928</v>
      </c>
      <c r="C588" t="s">
        <v>3890</v>
      </c>
      <c r="D588">
        <v>29.733000000000001</v>
      </c>
      <c r="E588">
        <v>29.672999999999998</v>
      </c>
      <c r="F588" s="2">
        <v>3.0000000000000001E-3</v>
      </c>
      <c r="G588" t="s">
        <v>1691</v>
      </c>
      <c r="H588" t="s">
        <v>1695</v>
      </c>
      <c r="I588">
        <v>440073.78950000001</v>
      </c>
      <c r="J588">
        <v>1827550.2588</v>
      </c>
      <c r="K588">
        <v>440093.88890000002</v>
      </c>
      <c r="L588">
        <v>1827550.2588</v>
      </c>
      <c r="M588" t="s">
        <v>56</v>
      </c>
      <c r="N588" t="s">
        <v>57</v>
      </c>
      <c r="O588">
        <v>900</v>
      </c>
      <c r="P588" t="s">
        <v>3929</v>
      </c>
      <c r="Q588" t="s">
        <v>3930</v>
      </c>
      <c r="R588" t="s">
        <v>132</v>
      </c>
      <c r="S588" t="s">
        <v>1693</v>
      </c>
      <c r="T588" t="s">
        <v>1697</v>
      </c>
      <c r="U588">
        <v>-0.05</v>
      </c>
      <c r="V588">
        <v>-0.05</v>
      </c>
      <c r="W588" t="s">
        <v>52</v>
      </c>
      <c r="X588">
        <v>1.2761</v>
      </c>
      <c r="Y588">
        <v>1.3305</v>
      </c>
      <c r="Z588">
        <v>1.3305</v>
      </c>
      <c r="AA588">
        <v>1.2761</v>
      </c>
      <c r="AB588">
        <v>20.099399999999999</v>
      </c>
      <c r="AC588">
        <v>20.099499999999999</v>
      </c>
      <c r="AD588">
        <v>18.903099999999998</v>
      </c>
      <c r="AE588">
        <v>18.903199999999998</v>
      </c>
      <c r="AF588" t="s">
        <v>3920</v>
      </c>
      <c r="AG588" t="s">
        <v>3920</v>
      </c>
      <c r="AH588" t="s">
        <v>3894</v>
      </c>
      <c r="AI588" t="s">
        <v>3894</v>
      </c>
      <c r="AJ588" t="s">
        <v>3895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3896</v>
      </c>
      <c r="AT588" t="s">
        <v>3890</v>
      </c>
      <c r="AU588" t="s">
        <v>3931</v>
      </c>
      <c r="AV588" t="s">
        <v>3898</v>
      </c>
      <c r="AW588">
        <v>2</v>
      </c>
      <c r="AX588">
        <v>0</v>
      </c>
    </row>
    <row r="589" spans="1:50" x14ac:dyDescent="0.25">
      <c r="A589" t="s">
        <v>4574</v>
      </c>
      <c r="B589" t="s">
        <v>3889</v>
      </c>
      <c r="C589" t="s">
        <v>3890</v>
      </c>
      <c r="D589">
        <v>32.484000000000002</v>
      </c>
      <c r="E589">
        <v>32.429000000000002</v>
      </c>
      <c r="F589" s="2">
        <v>3.0000000000000001E-3</v>
      </c>
      <c r="G589" t="s">
        <v>539</v>
      </c>
      <c r="H589" t="s">
        <v>543</v>
      </c>
      <c r="I589">
        <v>440020.77519999997</v>
      </c>
      <c r="J589">
        <v>1827295.8409</v>
      </c>
      <c r="K589">
        <v>440020.77519999997</v>
      </c>
      <c r="L589">
        <v>1827314.3154</v>
      </c>
      <c r="M589" t="s">
        <v>56</v>
      </c>
      <c r="N589" t="s">
        <v>57</v>
      </c>
      <c r="O589">
        <v>450</v>
      </c>
      <c r="P589" t="s">
        <v>3891</v>
      </c>
      <c r="Q589" t="s">
        <v>3892</v>
      </c>
      <c r="R589" t="s">
        <v>536</v>
      </c>
      <c r="S589" t="s">
        <v>541</v>
      </c>
      <c r="T589" t="s">
        <v>545</v>
      </c>
      <c r="U589">
        <v>0.15</v>
      </c>
      <c r="V589">
        <v>0.15</v>
      </c>
      <c r="W589" t="s">
        <v>52</v>
      </c>
      <c r="X589">
        <v>0.89910000000000001</v>
      </c>
      <c r="Y589">
        <v>0.90880000000000005</v>
      </c>
      <c r="Z589">
        <v>0.90880000000000005</v>
      </c>
      <c r="AA589">
        <v>0.89910000000000001</v>
      </c>
      <c r="AB589">
        <v>18.474499999999999</v>
      </c>
      <c r="AC589">
        <v>18.474599999999999</v>
      </c>
      <c r="AD589">
        <v>17.276599999999998</v>
      </c>
      <c r="AE589">
        <v>17.276599999999998</v>
      </c>
      <c r="AF589" t="s">
        <v>4102</v>
      </c>
      <c r="AG589" t="s">
        <v>4102</v>
      </c>
      <c r="AH589" t="s">
        <v>3894</v>
      </c>
      <c r="AI589" t="s">
        <v>3894</v>
      </c>
      <c r="AJ589" t="s">
        <v>3895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3896</v>
      </c>
      <c r="AT589" t="s">
        <v>3890</v>
      </c>
      <c r="AU589" t="s">
        <v>3897</v>
      </c>
      <c r="AV589" t="s">
        <v>3898</v>
      </c>
      <c r="AW589">
        <v>2</v>
      </c>
      <c r="AX589">
        <v>0</v>
      </c>
    </row>
    <row r="590" spans="1:50" x14ac:dyDescent="0.25">
      <c r="A590" t="s">
        <v>3639</v>
      </c>
      <c r="B590" t="s">
        <v>3889</v>
      </c>
      <c r="C590" t="s">
        <v>3890</v>
      </c>
      <c r="D590">
        <v>28.783999999999999</v>
      </c>
      <c r="E590">
        <v>28.733000000000001</v>
      </c>
      <c r="F590" s="2">
        <v>3.0000000000000001E-3</v>
      </c>
      <c r="G590" t="s">
        <v>3638</v>
      </c>
      <c r="H590" t="s">
        <v>3642</v>
      </c>
      <c r="I590">
        <v>440533.44410000002</v>
      </c>
      <c r="J590">
        <v>1827415.4986</v>
      </c>
      <c r="K590">
        <v>440550.42509999999</v>
      </c>
      <c r="L590">
        <v>1827415.4986</v>
      </c>
      <c r="M590" t="s">
        <v>56</v>
      </c>
      <c r="N590" t="s">
        <v>57</v>
      </c>
      <c r="O590">
        <v>450</v>
      </c>
      <c r="P590" t="s">
        <v>3891</v>
      </c>
      <c r="Q590" t="s">
        <v>3892</v>
      </c>
      <c r="R590" t="s">
        <v>85</v>
      </c>
      <c r="S590" t="s">
        <v>3640</v>
      </c>
      <c r="T590" t="s">
        <v>448</v>
      </c>
      <c r="U590">
        <v>-8.2000000000000003E-2</v>
      </c>
      <c r="V590">
        <v>-8.0199999999999994E-2</v>
      </c>
      <c r="W590" t="s">
        <v>52</v>
      </c>
      <c r="X590">
        <v>0.88170000000000004</v>
      </c>
      <c r="Y590">
        <v>0.93889999999999996</v>
      </c>
      <c r="Z590">
        <v>0.93889999999999996</v>
      </c>
      <c r="AA590">
        <v>0.88170000000000004</v>
      </c>
      <c r="AB590">
        <v>16.981000000000002</v>
      </c>
      <c r="AC590">
        <v>16.981100000000001</v>
      </c>
      <c r="AD590">
        <v>15.783099999999999</v>
      </c>
      <c r="AE590">
        <v>15.783200000000001</v>
      </c>
      <c r="AF590" t="s">
        <v>183</v>
      </c>
      <c r="AG590" t="s">
        <v>183</v>
      </c>
      <c r="AH590" t="s">
        <v>3894</v>
      </c>
      <c r="AI590" t="s">
        <v>3894</v>
      </c>
      <c r="AJ590" t="s">
        <v>3895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3896</v>
      </c>
      <c r="AT590" t="s">
        <v>3890</v>
      </c>
      <c r="AU590" t="s">
        <v>3897</v>
      </c>
      <c r="AV590" t="s">
        <v>3898</v>
      </c>
      <c r="AW590">
        <v>2</v>
      </c>
      <c r="AX590">
        <v>0</v>
      </c>
    </row>
    <row r="591" spans="1:50" x14ac:dyDescent="0.25">
      <c r="A591" t="s">
        <v>4575</v>
      </c>
      <c r="B591" t="s">
        <v>3933</v>
      </c>
      <c r="C591" t="s">
        <v>3890</v>
      </c>
      <c r="D591">
        <v>30.379000000000001</v>
      </c>
      <c r="E591">
        <v>30.318999999999999</v>
      </c>
      <c r="F591" s="2">
        <v>3.0000000000000001E-3</v>
      </c>
      <c r="G591" t="s">
        <v>1017</v>
      </c>
      <c r="H591" t="s">
        <v>1021</v>
      </c>
      <c r="I591">
        <v>440217.59980000003</v>
      </c>
      <c r="J591">
        <v>1827861.9717000001</v>
      </c>
      <c r="K591">
        <v>440217.59980000003</v>
      </c>
      <c r="L591">
        <v>1827841.8171000001</v>
      </c>
      <c r="M591" t="s">
        <v>56</v>
      </c>
      <c r="N591" t="s">
        <v>57</v>
      </c>
      <c r="O591">
        <v>750</v>
      </c>
      <c r="P591" t="s">
        <v>58</v>
      </c>
      <c r="Q591" t="s">
        <v>3919</v>
      </c>
      <c r="R591" t="s">
        <v>151</v>
      </c>
      <c r="S591" t="s">
        <v>1019</v>
      </c>
      <c r="T591" t="s">
        <v>1023</v>
      </c>
      <c r="U591">
        <v>5.4199999999999998E-2</v>
      </c>
      <c r="V591">
        <v>4.3299999999999998E-2</v>
      </c>
      <c r="W591" t="s">
        <v>52</v>
      </c>
      <c r="X591">
        <v>1.3502000000000001</v>
      </c>
      <c r="Y591">
        <v>1.3782000000000001</v>
      </c>
      <c r="Z591">
        <v>1.3782000000000001</v>
      </c>
      <c r="AA591">
        <v>1.3533999999999999</v>
      </c>
      <c r="AB591">
        <v>20.154599999999999</v>
      </c>
      <c r="AC591">
        <v>20.154699999999998</v>
      </c>
      <c r="AD591">
        <v>18.957699999999999</v>
      </c>
      <c r="AE591">
        <v>18.957799999999999</v>
      </c>
      <c r="AF591" t="s">
        <v>2233</v>
      </c>
      <c r="AG591" t="s">
        <v>2233</v>
      </c>
      <c r="AH591" t="s">
        <v>3894</v>
      </c>
      <c r="AI591" t="s">
        <v>3894</v>
      </c>
      <c r="AJ591" t="s">
        <v>3895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3896</v>
      </c>
      <c r="AT591" t="s">
        <v>3890</v>
      </c>
      <c r="AU591" t="s">
        <v>3935</v>
      </c>
      <c r="AV591" t="s">
        <v>3898</v>
      </c>
      <c r="AW591">
        <v>2</v>
      </c>
      <c r="AX591">
        <v>0</v>
      </c>
    </row>
    <row r="592" spans="1:50" x14ac:dyDescent="0.25">
      <c r="A592" t="s">
        <v>4576</v>
      </c>
      <c r="B592" t="s">
        <v>3924</v>
      </c>
      <c r="C592" t="s">
        <v>3890</v>
      </c>
      <c r="D592">
        <v>29.42</v>
      </c>
      <c r="E592">
        <v>29.378</v>
      </c>
      <c r="F592" s="2">
        <v>3.0000000000000001E-3</v>
      </c>
      <c r="G592" t="s">
        <v>3108</v>
      </c>
      <c r="H592" t="s">
        <v>3112</v>
      </c>
      <c r="I592">
        <v>440424.1496</v>
      </c>
      <c r="J592">
        <v>1827375.0486000001</v>
      </c>
      <c r="K592">
        <v>440438.20919999998</v>
      </c>
      <c r="L592">
        <v>1827375.0486000001</v>
      </c>
      <c r="M592" t="s">
        <v>56</v>
      </c>
      <c r="N592" t="s">
        <v>57</v>
      </c>
      <c r="O592">
        <v>750</v>
      </c>
      <c r="P592" t="s">
        <v>3891</v>
      </c>
      <c r="Q592" t="s">
        <v>3892</v>
      </c>
      <c r="R592" t="s">
        <v>3089</v>
      </c>
      <c r="S592" t="s">
        <v>3110</v>
      </c>
      <c r="T592" t="s">
        <v>3114</v>
      </c>
      <c r="U592">
        <v>-0.125</v>
      </c>
      <c r="V592">
        <v>-0.125</v>
      </c>
      <c r="W592" t="s">
        <v>52</v>
      </c>
      <c r="X592">
        <v>1.1677999999999999</v>
      </c>
      <c r="Y592">
        <v>1.2114</v>
      </c>
      <c r="Z592">
        <v>1.2114</v>
      </c>
      <c r="AA592">
        <v>1.1677999999999999</v>
      </c>
      <c r="AB592">
        <v>14.0596</v>
      </c>
      <c r="AC592">
        <v>14.059699999999999</v>
      </c>
      <c r="AD592">
        <v>12.8626</v>
      </c>
      <c r="AE592">
        <v>12.8627</v>
      </c>
      <c r="AF592" t="s">
        <v>183</v>
      </c>
      <c r="AG592" t="s">
        <v>183</v>
      </c>
      <c r="AH592" t="s">
        <v>3894</v>
      </c>
      <c r="AI592" t="s">
        <v>3894</v>
      </c>
      <c r="AJ592" t="s">
        <v>3895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3896</v>
      </c>
      <c r="AT592" t="s">
        <v>3890</v>
      </c>
      <c r="AU592" t="s">
        <v>3926</v>
      </c>
      <c r="AV592" t="s">
        <v>3898</v>
      </c>
      <c r="AW592">
        <v>2</v>
      </c>
      <c r="AX592">
        <v>0</v>
      </c>
    </row>
    <row r="593" spans="1:50" x14ac:dyDescent="0.25">
      <c r="A593" t="s">
        <v>4577</v>
      </c>
      <c r="B593" t="s">
        <v>4065</v>
      </c>
      <c r="C593" t="s">
        <v>3890</v>
      </c>
      <c r="D593">
        <v>28.48</v>
      </c>
      <c r="E593">
        <v>28.465</v>
      </c>
      <c r="F593" s="2">
        <v>8.0000000000000004E-4</v>
      </c>
      <c r="G593" t="s">
        <v>3162</v>
      </c>
      <c r="H593" t="s">
        <v>3187</v>
      </c>
      <c r="I593">
        <v>440501.75569999998</v>
      </c>
      <c r="J593">
        <v>1827375.1486</v>
      </c>
      <c r="K593">
        <v>440519.97509999998</v>
      </c>
      <c r="L593">
        <v>1827375.1486</v>
      </c>
      <c r="M593" t="s">
        <v>56</v>
      </c>
      <c r="N593" t="s">
        <v>57</v>
      </c>
      <c r="O593">
        <v>900</v>
      </c>
      <c r="P593" t="s">
        <v>58</v>
      </c>
      <c r="Q593" t="s">
        <v>3919</v>
      </c>
      <c r="R593" t="s">
        <v>3089</v>
      </c>
      <c r="S593" t="s">
        <v>3164</v>
      </c>
      <c r="T593" t="s">
        <v>2333</v>
      </c>
      <c r="U593">
        <v>-2.5000000000000001E-2</v>
      </c>
      <c r="V593">
        <v>-2.5000000000000001E-2</v>
      </c>
      <c r="W593" t="s">
        <v>52</v>
      </c>
      <c r="X593">
        <v>1.2506999999999999</v>
      </c>
      <c r="Y593">
        <v>1.5019</v>
      </c>
      <c r="Z593">
        <v>1.5019</v>
      </c>
      <c r="AA593">
        <v>1.2699</v>
      </c>
      <c r="AB593">
        <v>18.2194</v>
      </c>
      <c r="AC593">
        <v>18.2194</v>
      </c>
      <c r="AD593">
        <v>17.020399999999999</v>
      </c>
      <c r="AE593">
        <v>17.020399999999999</v>
      </c>
      <c r="AF593" t="s">
        <v>183</v>
      </c>
      <c r="AG593" t="s">
        <v>183</v>
      </c>
      <c r="AH593" t="s">
        <v>3894</v>
      </c>
      <c r="AI593" t="s">
        <v>3894</v>
      </c>
      <c r="AJ593" t="s">
        <v>3895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3896</v>
      </c>
      <c r="AT593" t="s">
        <v>3890</v>
      </c>
      <c r="AU593" t="s">
        <v>4066</v>
      </c>
      <c r="AV593" t="s">
        <v>3898</v>
      </c>
      <c r="AW593">
        <v>2</v>
      </c>
      <c r="AX593">
        <v>0</v>
      </c>
    </row>
    <row r="594" spans="1:50" x14ac:dyDescent="0.25">
      <c r="A594" t="s">
        <v>4578</v>
      </c>
      <c r="B594" t="s">
        <v>4065</v>
      </c>
      <c r="C594" t="s">
        <v>3890</v>
      </c>
      <c r="D594">
        <v>29.623999999999999</v>
      </c>
      <c r="E594">
        <v>29.571000000000002</v>
      </c>
      <c r="F594" s="2">
        <v>3.0999999999999999E-3</v>
      </c>
      <c r="G594" t="s">
        <v>2318</v>
      </c>
      <c r="H594" t="s">
        <v>2348</v>
      </c>
      <c r="I594">
        <v>440502.63459999999</v>
      </c>
      <c r="J594">
        <v>1827934.9609000001</v>
      </c>
      <c r="K594">
        <v>440519.97509999998</v>
      </c>
      <c r="L594">
        <v>1827934.9609000001</v>
      </c>
      <c r="M594" t="s">
        <v>56</v>
      </c>
      <c r="N594" t="s">
        <v>57</v>
      </c>
      <c r="O594">
        <v>900</v>
      </c>
      <c r="P594" t="s">
        <v>58</v>
      </c>
      <c r="Q594" t="s">
        <v>3919</v>
      </c>
      <c r="R594" t="s">
        <v>241</v>
      </c>
      <c r="S594" t="s">
        <v>2320</v>
      </c>
      <c r="T594" t="s">
        <v>2333</v>
      </c>
      <c r="U594">
        <v>0</v>
      </c>
      <c r="V594">
        <v>0</v>
      </c>
      <c r="W594" t="s">
        <v>52</v>
      </c>
      <c r="X594">
        <v>0.80930000000000002</v>
      </c>
      <c r="Y594">
        <v>0.96050000000000002</v>
      </c>
      <c r="Z594">
        <v>0.94579999999999997</v>
      </c>
      <c r="AA594">
        <v>0.82979999999999998</v>
      </c>
      <c r="AB594">
        <v>17.4908</v>
      </c>
      <c r="AC594">
        <v>17.4909</v>
      </c>
      <c r="AD594">
        <v>16.594200000000001</v>
      </c>
      <c r="AE594">
        <v>16.594200000000001</v>
      </c>
      <c r="AF594" t="s">
        <v>183</v>
      </c>
      <c r="AG594" t="s">
        <v>183</v>
      </c>
      <c r="AH594" t="s">
        <v>3894</v>
      </c>
      <c r="AI594" t="s">
        <v>3894</v>
      </c>
      <c r="AJ594" t="s">
        <v>3895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3896</v>
      </c>
      <c r="AT594" t="s">
        <v>3890</v>
      </c>
      <c r="AU594" t="s">
        <v>4066</v>
      </c>
      <c r="AV594" t="s">
        <v>3898</v>
      </c>
      <c r="AW594">
        <v>2</v>
      </c>
      <c r="AX594">
        <v>0</v>
      </c>
    </row>
    <row r="595" spans="1:50" x14ac:dyDescent="0.25">
      <c r="A595" t="s">
        <v>3277</v>
      </c>
      <c r="B595" t="s">
        <v>3889</v>
      </c>
      <c r="C595" t="s">
        <v>3890</v>
      </c>
      <c r="D595">
        <v>32.392000000000003</v>
      </c>
      <c r="E595">
        <v>32.329000000000001</v>
      </c>
      <c r="F595" s="2">
        <v>3.0000000000000001E-3</v>
      </c>
      <c r="G595" t="s">
        <v>3276</v>
      </c>
      <c r="H595" t="s">
        <v>3280</v>
      </c>
      <c r="I595">
        <v>440127.17489999998</v>
      </c>
      <c r="J595">
        <v>1827267.8488</v>
      </c>
      <c r="K595">
        <v>440127.17489999998</v>
      </c>
      <c r="L595">
        <v>1827288.5919000001</v>
      </c>
      <c r="M595" t="s">
        <v>56</v>
      </c>
      <c r="N595" t="s">
        <v>57</v>
      </c>
      <c r="O595">
        <v>450</v>
      </c>
      <c r="P595" t="s">
        <v>3891</v>
      </c>
      <c r="Q595" t="s">
        <v>3892</v>
      </c>
      <c r="R595" t="s">
        <v>3278</v>
      </c>
      <c r="S595" t="s">
        <v>3221</v>
      </c>
      <c r="T595" t="s">
        <v>3282</v>
      </c>
      <c r="U595">
        <v>-6.9999999999999999E-4</v>
      </c>
      <c r="V595">
        <v>-6.9999999999999999E-4</v>
      </c>
      <c r="W595" t="s">
        <v>52</v>
      </c>
      <c r="X595">
        <v>0.88249999999999995</v>
      </c>
      <c r="Y595">
        <v>1.0445</v>
      </c>
      <c r="Z595">
        <v>1.0445</v>
      </c>
      <c r="AA595">
        <v>0.88249999999999995</v>
      </c>
      <c r="AB595">
        <v>20.743099999999998</v>
      </c>
      <c r="AC595">
        <v>20.743200000000002</v>
      </c>
      <c r="AD595">
        <v>19.545300000000001</v>
      </c>
      <c r="AE595">
        <v>19.545300000000001</v>
      </c>
      <c r="AF595" t="s">
        <v>3973</v>
      </c>
      <c r="AG595" t="s">
        <v>3973</v>
      </c>
      <c r="AH595" t="s">
        <v>3894</v>
      </c>
      <c r="AI595" t="s">
        <v>3894</v>
      </c>
      <c r="AJ595" t="s">
        <v>3895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3896</v>
      </c>
      <c r="AT595" t="s">
        <v>3890</v>
      </c>
      <c r="AU595" t="s">
        <v>3897</v>
      </c>
      <c r="AV595" t="s">
        <v>3898</v>
      </c>
      <c r="AW595">
        <v>2</v>
      </c>
      <c r="AX595">
        <v>0</v>
      </c>
    </row>
    <row r="596" spans="1:50" x14ac:dyDescent="0.25">
      <c r="A596" t="s">
        <v>4579</v>
      </c>
      <c r="B596" t="s">
        <v>4004</v>
      </c>
      <c r="C596" t="s">
        <v>3890</v>
      </c>
      <c r="D596">
        <v>30.3</v>
      </c>
      <c r="E596">
        <v>30.277000000000001</v>
      </c>
      <c r="F596" s="2">
        <v>1.2999999999999999E-3</v>
      </c>
      <c r="G596" t="s">
        <v>3347</v>
      </c>
      <c r="H596" t="s">
        <v>3371</v>
      </c>
      <c r="I596">
        <v>440230.42509999999</v>
      </c>
      <c r="J596">
        <v>1827374.9735999999</v>
      </c>
      <c r="K596">
        <v>440248.67489999998</v>
      </c>
      <c r="L596">
        <v>1827374.9735999999</v>
      </c>
      <c r="M596" t="s">
        <v>56</v>
      </c>
      <c r="N596" t="s">
        <v>57</v>
      </c>
      <c r="O596">
        <v>600</v>
      </c>
      <c r="P596" t="s">
        <v>58</v>
      </c>
      <c r="Q596" t="s">
        <v>3892</v>
      </c>
      <c r="R596" t="s">
        <v>3089</v>
      </c>
      <c r="S596" t="s">
        <v>853</v>
      </c>
      <c r="T596" t="s">
        <v>1101</v>
      </c>
      <c r="U596">
        <v>-0.2</v>
      </c>
      <c r="V596">
        <v>-0.2</v>
      </c>
      <c r="W596" t="s">
        <v>52</v>
      </c>
      <c r="X596">
        <v>1.1138999999999999</v>
      </c>
      <c r="Y596">
        <v>1.3625</v>
      </c>
      <c r="Z596">
        <v>1.3625</v>
      </c>
      <c r="AA596">
        <v>1.1305000000000001</v>
      </c>
      <c r="AB596">
        <v>18.2498</v>
      </c>
      <c r="AC596">
        <v>18.2498</v>
      </c>
      <c r="AD596">
        <v>17.050899999999999</v>
      </c>
      <c r="AE596">
        <v>17.050899999999999</v>
      </c>
      <c r="AF596" t="s">
        <v>183</v>
      </c>
      <c r="AG596" t="s">
        <v>183</v>
      </c>
      <c r="AH596" t="s">
        <v>3894</v>
      </c>
      <c r="AI596" t="s">
        <v>3894</v>
      </c>
      <c r="AJ596" t="s">
        <v>3895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3896</v>
      </c>
      <c r="AT596" t="s">
        <v>3890</v>
      </c>
      <c r="AU596" t="s">
        <v>4006</v>
      </c>
      <c r="AV596" t="s">
        <v>3898</v>
      </c>
      <c r="AW596">
        <v>2</v>
      </c>
      <c r="AX596">
        <v>0</v>
      </c>
    </row>
    <row r="597" spans="1:50" x14ac:dyDescent="0.25">
      <c r="A597" t="s">
        <v>4580</v>
      </c>
      <c r="B597" t="s">
        <v>3889</v>
      </c>
      <c r="C597" t="s">
        <v>3890</v>
      </c>
      <c r="D597">
        <v>30.51</v>
      </c>
      <c r="E597">
        <v>30.454999999999998</v>
      </c>
      <c r="F597" s="2">
        <v>3.0000000000000001E-3</v>
      </c>
      <c r="G597" t="s">
        <v>851</v>
      </c>
      <c r="H597" t="s">
        <v>876</v>
      </c>
      <c r="I597">
        <v>440230.42509999999</v>
      </c>
      <c r="J597">
        <v>1827425.1986</v>
      </c>
      <c r="K597">
        <v>440248.7499</v>
      </c>
      <c r="L597">
        <v>1827425.1986</v>
      </c>
      <c r="M597" t="s">
        <v>56</v>
      </c>
      <c r="N597" t="s">
        <v>57</v>
      </c>
      <c r="O597">
        <v>450</v>
      </c>
      <c r="P597" t="s">
        <v>3891</v>
      </c>
      <c r="Q597" t="s">
        <v>3892</v>
      </c>
      <c r="R597" t="s">
        <v>80</v>
      </c>
      <c r="S597" t="s">
        <v>853</v>
      </c>
      <c r="T597" t="s">
        <v>4581</v>
      </c>
      <c r="U597">
        <v>4.4499999999999998E-2</v>
      </c>
      <c r="V597">
        <v>3.85E-2</v>
      </c>
      <c r="W597" t="s">
        <v>52</v>
      </c>
      <c r="X597">
        <v>0.84330000000000005</v>
      </c>
      <c r="Y597">
        <v>1.1428</v>
      </c>
      <c r="Z597">
        <v>1.1428</v>
      </c>
      <c r="AA597">
        <v>0.8659</v>
      </c>
      <c r="AB597">
        <v>18.400099999999998</v>
      </c>
      <c r="AC597">
        <v>18.400200000000002</v>
      </c>
      <c r="AD597">
        <v>17.501899999999999</v>
      </c>
      <c r="AE597">
        <v>17.501999999999999</v>
      </c>
      <c r="AF597" t="s">
        <v>2299</v>
      </c>
      <c r="AG597" t="s">
        <v>2299</v>
      </c>
      <c r="AH597" t="s">
        <v>3894</v>
      </c>
      <c r="AI597" t="s">
        <v>3894</v>
      </c>
      <c r="AJ597" t="s">
        <v>3895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3896</v>
      </c>
      <c r="AT597" t="s">
        <v>3890</v>
      </c>
      <c r="AU597" t="s">
        <v>3897</v>
      </c>
      <c r="AV597" t="s">
        <v>3898</v>
      </c>
      <c r="AW597">
        <v>2</v>
      </c>
      <c r="AX597">
        <v>0</v>
      </c>
    </row>
    <row r="598" spans="1:50" x14ac:dyDescent="0.25">
      <c r="A598" t="s">
        <v>4582</v>
      </c>
      <c r="B598" t="s">
        <v>3889</v>
      </c>
      <c r="C598" t="s">
        <v>3890</v>
      </c>
      <c r="D598">
        <v>30.707999999999998</v>
      </c>
      <c r="E598">
        <v>30.652000000000001</v>
      </c>
      <c r="F598" s="2">
        <v>3.0999999999999999E-3</v>
      </c>
      <c r="G598" t="s">
        <v>869</v>
      </c>
      <c r="H598" t="s">
        <v>872</v>
      </c>
      <c r="I598">
        <v>440230.42509999999</v>
      </c>
      <c r="J598">
        <v>1827415.4986</v>
      </c>
      <c r="K598">
        <v>440248.67489999998</v>
      </c>
      <c r="L598">
        <v>1827415.4986</v>
      </c>
      <c r="M598" t="s">
        <v>56</v>
      </c>
      <c r="N598" t="s">
        <v>57</v>
      </c>
      <c r="O598">
        <v>450</v>
      </c>
      <c r="P598" t="s">
        <v>3891</v>
      </c>
      <c r="Q598" t="s">
        <v>3892</v>
      </c>
      <c r="R598" t="s">
        <v>85</v>
      </c>
      <c r="S598" t="s">
        <v>853</v>
      </c>
      <c r="T598" t="s">
        <v>1101</v>
      </c>
      <c r="U598">
        <v>-0.115</v>
      </c>
      <c r="V598">
        <v>-0.113</v>
      </c>
      <c r="W598" t="s">
        <v>52</v>
      </c>
      <c r="X598">
        <v>0.88449999999999995</v>
      </c>
      <c r="Y598">
        <v>0.94479999999999997</v>
      </c>
      <c r="Z598">
        <v>0.94479999999999997</v>
      </c>
      <c r="AA598">
        <v>0.88449999999999995</v>
      </c>
      <c r="AB598">
        <v>18.4009</v>
      </c>
      <c r="AC598">
        <v>18.401</v>
      </c>
      <c r="AD598">
        <v>17.501899999999999</v>
      </c>
      <c r="AE598">
        <v>17.501999999999999</v>
      </c>
      <c r="AF598" t="s">
        <v>183</v>
      </c>
      <c r="AG598" t="s">
        <v>183</v>
      </c>
      <c r="AH598" t="s">
        <v>3894</v>
      </c>
      <c r="AI598" t="s">
        <v>3894</v>
      </c>
      <c r="AJ598" t="s">
        <v>3895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3896</v>
      </c>
      <c r="AT598" t="s">
        <v>3890</v>
      </c>
      <c r="AU598" t="s">
        <v>3897</v>
      </c>
      <c r="AV598" t="s">
        <v>3898</v>
      </c>
      <c r="AW598">
        <v>2</v>
      </c>
      <c r="AX598">
        <v>0</v>
      </c>
    </row>
    <row r="599" spans="1:50" x14ac:dyDescent="0.25">
      <c r="A599" t="s">
        <v>4583</v>
      </c>
      <c r="B599" t="s">
        <v>3928</v>
      </c>
      <c r="C599" t="s">
        <v>3890</v>
      </c>
      <c r="D599">
        <v>29.95</v>
      </c>
      <c r="E599">
        <v>29.901</v>
      </c>
      <c r="F599" s="2">
        <v>4.1000000000000003E-3</v>
      </c>
      <c r="G599" t="s">
        <v>1623</v>
      </c>
      <c r="H599" t="s">
        <v>1683</v>
      </c>
      <c r="I599">
        <v>440032.3334</v>
      </c>
      <c r="J599">
        <v>1827550.2588</v>
      </c>
      <c r="K599">
        <v>440044.1495</v>
      </c>
      <c r="L599">
        <v>1827550.2588</v>
      </c>
      <c r="M599" t="s">
        <v>56</v>
      </c>
      <c r="N599" t="s">
        <v>57</v>
      </c>
      <c r="O599">
        <v>900</v>
      </c>
      <c r="P599" t="s">
        <v>3929</v>
      </c>
      <c r="Q599" t="s">
        <v>3930</v>
      </c>
      <c r="R599" t="s">
        <v>132</v>
      </c>
      <c r="S599" t="s">
        <v>1625</v>
      </c>
      <c r="T599" s="1" t="s">
        <v>1685</v>
      </c>
      <c r="U599">
        <v>-0.05</v>
      </c>
      <c r="V599">
        <v>-0.05</v>
      </c>
      <c r="W599" t="s">
        <v>52</v>
      </c>
      <c r="X599">
        <v>1.2378</v>
      </c>
      <c r="Y599">
        <v>1.3877999999999999</v>
      </c>
      <c r="Z599">
        <v>1.3048999999999999</v>
      </c>
      <c r="AA599">
        <v>1.2699</v>
      </c>
      <c r="AB599">
        <v>11.8161</v>
      </c>
      <c r="AC599">
        <v>11.8162</v>
      </c>
      <c r="AD599">
        <v>10.6213</v>
      </c>
      <c r="AE599">
        <v>10.6214</v>
      </c>
      <c r="AF599" t="s">
        <v>3920</v>
      </c>
      <c r="AG599" t="s">
        <v>3920</v>
      </c>
      <c r="AH599" t="s">
        <v>3894</v>
      </c>
      <c r="AI599" t="s">
        <v>3894</v>
      </c>
      <c r="AJ599" t="s">
        <v>3895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3896</v>
      </c>
      <c r="AT599" t="s">
        <v>3890</v>
      </c>
      <c r="AU599" t="s">
        <v>3931</v>
      </c>
      <c r="AV599" t="s">
        <v>3898</v>
      </c>
      <c r="AW599">
        <v>2</v>
      </c>
      <c r="AX599">
        <v>0</v>
      </c>
    </row>
    <row r="600" spans="1:50" x14ac:dyDescent="0.25">
      <c r="A600" t="s">
        <v>4584</v>
      </c>
      <c r="B600" t="s">
        <v>3889</v>
      </c>
      <c r="C600" t="s">
        <v>3890</v>
      </c>
      <c r="D600">
        <v>28.620999999999999</v>
      </c>
      <c r="E600">
        <v>28.573</v>
      </c>
      <c r="F600" s="2">
        <v>1.9E-3</v>
      </c>
      <c r="G600" t="s">
        <v>2686</v>
      </c>
      <c r="H600" t="s">
        <v>2070</v>
      </c>
      <c r="I600">
        <v>440594.92509999999</v>
      </c>
      <c r="J600">
        <v>1827894.6109</v>
      </c>
      <c r="K600">
        <v>440619.58480000001</v>
      </c>
      <c r="L600">
        <v>1827894.6109</v>
      </c>
      <c r="M600" t="s">
        <v>56</v>
      </c>
      <c r="N600" t="s">
        <v>57</v>
      </c>
      <c r="O600">
        <v>450</v>
      </c>
      <c r="P600" t="s">
        <v>3891</v>
      </c>
      <c r="Q600" t="s">
        <v>3892</v>
      </c>
      <c r="R600" t="s">
        <v>260</v>
      </c>
      <c r="S600" s="1" t="s">
        <v>4276</v>
      </c>
      <c r="T600" s="1" t="s">
        <v>4585</v>
      </c>
      <c r="U600">
        <v>2.3199999999999998E-2</v>
      </c>
      <c r="V600">
        <v>8.0999999999999996E-3</v>
      </c>
      <c r="W600" t="s">
        <v>52</v>
      </c>
      <c r="X600">
        <v>1.1587000000000001</v>
      </c>
      <c r="Y600">
        <v>1.2775000000000001</v>
      </c>
      <c r="Z600">
        <v>1.1587000000000001</v>
      </c>
      <c r="AA600">
        <v>-0.35</v>
      </c>
      <c r="AB600">
        <v>24.6601</v>
      </c>
      <c r="AC600">
        <v>24.6602</v>
      </c>
      <c r="AD600">
        <v>24.060300000000002</v>
      </c>
      <c r="AE600">
        <v>24.060400000000001</v>
      </c>
      <c r="AF600" t="s">
        <v>183</v>
      </c>
      <c r="AG600" t="s">
        <v>183</v>
      </c>
      <c r="AH600" t="s">
        <v>3894</v>
      </c>
      <c r="AI600" t="s">
        <v>3894</v>
      </c>
      <c r="AJ600" t="s">
        <v>3895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3896</v>
      </c>
      <c r="AT600" t="s">
        <v>3890</v>
      </c>
      <c r="AU600" t="s">
        <v>3897</v>
      </c>
      <c r="AV600" t="s">
        <v>3898</v>
      </c>
      <c r="AW600">
        <v>3</v>
      </c>
      <c r="AX600">
        <v>0</v>
      </c>
    </row>
    <row r="601" spans="1:50" x14ac:dyDescent="0.25">
      <c r="A601" t="s">
        <v>4586</v>
      </c>
      <c r="B601" t="s">
        <v>4004</v>
      </c>
      <c r="C601" t="s">
        <v>3890</v>
      </c>
      <c r="D601">
        <v>28.167000000000002</v>
      </c>
      <c r="E601">
        <v>28.108000000000001</v>
      </c>
      <c r="F601" s="2">
        <v>3.0000000000000001E-3</v>
      </c>
      <c r="G601" t="s">
        <v>2931</v>
      </c>
      <c r="H601" t="s">
        <v>2935</v>
      </c>
      <c r="I601">
        <v>440500.58769999997</v>
      </c>
      <c r="J601">
        <v>1827692.7645</v>
      </c>
      <c r="K601">
        <v>440519.97509999998</v>
      </c>
      <c r="L601">
        <v>1827692.7645</v>
      </c>
      <c r="M601" t="s">
        <v>56</v>
      </c>
      <c r="N601" t="s">
        <v>57</v>
      </c>
      <c r="O601">
        <v>600</v>
      </c>
      <c r="P601" t="s">
        <v>58</v>
      </c>
      <c r="Q601" t="s">
        <v>3892</v>
      </c>
      <c r="R601" t="s">
        <v>1112</v>
      </c>
      <c r="S601" t="s">
        <v>2933</v>
      </c>
      <c r="T601" t="s">
        <v>2937</v>
      </c>
      <c r="U601">
        <v>-2.9899999999999999E-2</v>
      </c>
      <c r="V601">
        <v>-2.5100000000000001E-2</v>
      </c>
      <c r="W601" t="s">
        <v>52</v>
      </c>
      <c r="X601">
        <v>0.84409999999999996</v>
      </c>
      <c r="Y601">
        <v>1.0374000000000001</v>
      </c>
      <c r="Z601">
        <v>1.0249999999999999</v>
      </c>
      <c r="AA601">
        <v>0.86680000000000001</v>
      </c>
      <c r="AB601">
        <v>19.3874</v>
      </c>
      <c r="AC601">
        <v>19.387499999999999</v>
      </c>
      <c r="AD601">
        <v>18.190000000000001</v>
      </c>
      <c r="AE601">
        <v>18.190100000000001</v>
      </c>
      <c r="AF601" t="s">
        <v>183</v>
      </c>
      <c r="AG601" t="s">
        <v>183</v>
      </c>
      <c r="AH601" t="s">
        <v>3894</v>
      </c>
      <c r="AI601" t="s">
        <v>3894</v>
      </c>
      <c r="AJ601" t="s">
        <v>3895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3896</v>
      </c>
      <c r="AT601" t="s">
        <v>3890</v>
      </c>
      <c r="AU601" t="s">
        <v>4006</v>
      </c>
      <c r="AV601" t="s">
        <v>3898</v>
      </c>
      <c r="AW601">
        <v>2</v>
      </c>
      <c r="AX601">
        <v>0</v>
      </c>
    </row>
    <row r="602" spans="1:50" x14ac:dyDescent="0.25">
      <c r="A602" t="s">
        <v>4587</v>
      </c>
      <c r="B602" t="s">
        <v>3889</v>
      </c>
      <c r="C602" t="s">
        <v>3890</v>
      </c>
      <c r="D602">
        <v>30.844999999999999</v>
      </c>
      <c r="E602">
        <v>30.795000000000002</v>
      </c>
      <c r="F602" s="2">
        <v>3.0000000000000001E-3</v>
      </c>
      <c r="G602" t="s">
        <v>2380</v>
      </c>
      <c r="H602" t="s">
        <v>2384</v>
      </c>
      <c r="I602">
        <v>440387.3751</v>
      </c>
      <c r="J602">
        <v>1828019.3914999999</v>
      </c>
      <c r="K602">
        <v>440387.3751</v>
      </c>
      <c r="L602">
        <v>1828002.6984000001</v>
      </c>
      <c r="M602" t="s">
        <v>56</v>
      </c>
      <c r="N602" t="s">
        <v>57</v>
      </c>
      <c r="O602">
        <v>450</v>
      </c>
      <c r="P602" t="s">
        <v>3891</v>
      </c>
      <c r="Q602" t="s">
        <v>3892</v>
      </c>
      <c r="R602" t="s">
        <v>246</v>
      </c>
      <c r="S602" t="s">
        <v>2382</v>
      </c>
      <c r="T602" t="s">
        <v>448</v>
      </c>
      <c r="U602">
        <v>0</v>
      </c>
      <c r="V602">
        <v>0</v>
      </c>
      <c r="W602" t="s">
        <v>52</v>
      </c>
      <c r="X602">
        <v>0.89629999999999999</v>
      </c>
      <c r="Y602">
        <v>1.0014000000000001</v>
      </c>
      <c r="Z602">
        <v>1.0014000000000001</v>
      </c>
      <c r="AA602">
        <v>0.89629999999999999</v>
      </c>
      <c r="AB602">
        <v>16.693100000000001</v>
      </c>
      <c r="AC602">
        <v>16.693100000000001</v>
      </c>
      <c r="AD602">
        <v>15.495200000000001</v>
      </c>
      <c r="AE602">
        <v>15.495200000000001</v>
      </c>
      <c r="AF602" t="s">
        <v>2233</v>
      </c>
      <c r="AG602" t="s">
        <v>2233</v>
      </c>
      <c r="AH602" t="s">
        <v>3894</v>
      </c>
      <c r="AI602" t="s">
        <v>3894</v>
      </c>
      <c r="AJ602" t="s">
        <v>3895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3896</v>
      </c>
      <c r="AT602" t="s">
        <v>3890</v>
      </c>
      <c r="AU602" t="s">
        <v>3897</v>
      </c>
      <c r="AV602" t="s">
        <v>3898</v>
      </c>
      <c r="AW602">
        <v>2</v>
      </c>
      <c r="AX602">
        <v>0</v>
      </c>
    </row>
    <row r="603" spans="1:50" x14ac:dyDescent="0.25">
      <c r="A603" t="s">
        <v>4588</v>
      </c>
      <c r="B603" t="s">
        <v>3889</v>
      </c>
      <c r="C603" t="s">
        <v>3890</v>
      </c>
      <c r="D603">
        <v>31.931999999999999</v>
      </c>
      <c r="E603">
        <v>31.885000000000002</v>
      </c>
      <c r="F603" s="2">
        <v>3.0000000000000001E-3</v>
      </c>
      <c r="G603" t="s">
        <v>635</v>
      </c>
      <c r="H603" t="s">
        <v>639</v>
      </c>
      <c r="I603">
        <v>440030.47519999999</v>
      </c>
      <c r="J603">
        <v>1827397.2726</v>
      </c>
      <c r="K603">
        <v>440030.47519999999</v>
      </c>
      <c r="L603">
        <v>1827413.1096000001</v>
      </c>
      <c r="M603" t="s">
        <v>56</v>
      </c>
      <c r="N603" t="s">
        <v>57</v>
      </c>
      <c r="O603">
        <v>450</v>
      </c>
      <c r="P603" t="s">
        <v>3891</v>
      </c>
      <c r="Q603" t="s">
        <v>3892</v>
      </c>
      <c r="R603" t="s">
        <v>617</v>
      </c>
      <c r="S603" t="s">
        <v>637</v>
      </c>
      <c r="T603" t="s">
        <v>641</v>
      </c>
      <c r="U603">
        <v>-0.15</v>
      </c>
      <c r="V603">
        <v>8.3999999999999995E-3</v>
      </c>
      <c r="W603" t="s">
        <v>52</v>
      </c>
      <c r="X603">
        <v>1.0089999999999999</v>
      </c>
      <c r="Y603">
        <v>1.1057999999999999</v>
      </c>
      <c r="Z603">
        <v>1.1057999999999999</v>
      </c>
      <c r="AA603">
        <v>1.0089999999999999</v>
      </c>
      <c r="AB603">
        <v>15.837</v>
      </c>
      <c r="AC603">
        <v>15.8371</v>
      </c>
      <c r="AD603">
        <v>14.639099999999999</v>
      </c>
      <c r="AE603">
        <v>14.639200000000001</v>
      </c>
      <c r="AF603" t="s">
        <v>4102</v>
      </c>
      <c r="AG603" t="s">
        <v>4102</v>
      </c>
      <c r="AH603" t="s">
        <v>3894</v>
      </c>
      <c r="AI603" t="s">
        <v>3894</v>
      </c>
      <c r="AJ603" t="s">
        <v>3895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3896</v>
      </c>
      <c r="AT603" t="s">
        <v>3890</v>
      </c>
      <c r="AU603" t="s">
        <v>3897</v>
      </c>
      <c r="AV603" t="s">
        <v>3898</v>
      </c>
      <c r="AW603">
        <v>2</v>
      </c>
      <c r="AX603">
        <v>0</v>
      </c>
    </row>
    <row r="604" spans="1:50" x14ac:dyDescent="0.25">
      <c r="A604" t="s">
        <v>4589</v>
      </c>
      <c r="B604" t="s">
        <v>3889</v>
      </c>
      <c r="C604" t="s">
        <v>3890</v>
      </c>
      <c r="D604">
        <v>32.008000000000003</v>
      </c>
      <c r="E604">
        <v>31.962</v>
      </c>
      <c r="F604" s="2">
        <v>2.3E-3</v>
      </c>
      <c r="G604" t="s">
        <v>557</v>
      </c>
      <c r="H604" t="s">
        <v>577</v>
      </c>
      <c r="I604">
        <v>440020.77519999997</v>
      </c>
      <c r="J604">
        <v>1827395.4184000001</v>
      </c>
      <c r="K604">
        <v>440020.77519999997</v>
      </c>
      <c r="L604">
        <v>1827415.4986</v>
      </c>
      <c r="M604" t="s">
        <v>56</v>
      </c>
      <c r="N604" t="s">
        <v>57</v>
      </c>
      <c r="O604">
        <v>450</v>
      </c>
      <c r="P604" t="s">
        <v>3891</v>
      </c>
      <c r="Q604" t="s">
        <v>3892</v>
      </c>
      <c r="R604" t="s">
        <v>536</v>
      </c>
      <c r="S604" t="s">
        <v>559</v>
      </c>
      <c r="T604" t="s">
        <v>2477</v>
      </c>
      <c r="U604">
        <v>0.15</v>
      </c>
      <c r="V604">
        <v>0.15</v>
      </c>
      <c r="W604" t="s">
        <v>52</v>
      </c>
      <c r="X604">
        <v>0.85519999999999996</v>
      </c>
      <c r="Y604">
        <v>1.0363</v>
      </c>
      <c r="Z604">
        <v>1.0363</v>
      </c>
      <c r="AA604">
        <v>0.87060000000000004</v>
      </c>
      <c r="AB604">
        <v>20.349900000000002</v>
      </c>
      <c r="AC604">
        <v>20.350000000000001</v>
      </c>
      <c r="AD604">
        <v>19.151499999999999</v>
      </c>
      <c r="AE604">
        <v>19.151599999999998</v>
      </c>
      <c r="AF604" t="s">
        <v>4590</v>
      </c>
      <c r="AG604" t="s">
        <v>4590</v>
      </c>
      <c r="AH604" t="s">
        <v>3894</v>
      </c>
      <c r="AI604" t="s">
        <v>3894</v>
      </c>
      <c r="AJ604" t="s">
        <v>3895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3896</v>
      </c>
      <c r="AT604" t="s">
        <v>3890</v>
      </c>
      <c r="AU604" t="s">
        <v>3897</v>
      </c>
      <c r="AV604" t="s">
        <v>3898</v>
      </c>
      <c r="AW604">
        <v>2</v>
      </c>
      <c r="AX604">
        <v>0</v>
      </c>
    </row>
    <row r="605" spans="1:50" x14ac:dyDescent="0.25">
      <c r="A605" t="s">
        <v>4591</v>
      </c>
      <c r="B605" t="s">
        <v>3889</v>
      </c>
      <c r="C605" t="s">
        <v>3890</v>
      </c>
      <c r="D605">
        <v>28.684999999999999</v>
      </c>
      <c r="E605">
        <v>28.634</v>
      </c>
      <c r="F605" s="2">
        <v>3.0000000000000001E-3</v>
      </c>
      <c r="G605" t="s">
        <v>2884</v>
      </c>
      <c r="H605" t="s">
        <v>2900</v>
      </c>
      <c r="I605">
        <v>440370.4252</v>
      </c>
      <c r="J605">
        <v>1827692.6895000001</v>
      </c>
      <c r="K605">
        <v>440387.3751</v>
      </c>
      <c r="L605">
        <v>1827692.6895000001</v>
      </c>
      <c r="M605" t="s">
        <v>56</v>
      </c>
      <c r="N605" t="s">
        <v>57</v>
      </c>
      <c r="O605">
        <v>450</v>
      </c>
      <c r="P605" t="s">
        <v>3891</v>
      </c>
      <c r="Q605" t="s">
        <v>3892</v>
      </c>
      <c r="R605" t="s">
        <v>1112</v>
      </c>
      <c r="S605" t="s">
        <v>2886</v>
      </c>
      <c r="T605" t="s">
        <v>2902</v>
      </c>
      <c r="U605">
        <v>-0.1371</v>
      </c>
      <c r="V605">
        <v>-0.13289999999999999</v>
      </c>
      <c r="W605" t="s">
        <v>52</v>
      </c>
      <c r="X605">
        <v>0.85089999999999999</v>
      </c>
      <c r="Y605">
        <v>1.216</v>
      </c>
      <c r="Z605">
        <v>1.216</v>
      </c>
      <c r="AA605">
        <v>0.87470000000000003</v>
      </c>
      <c r="AB605">
        <v>16.9499</v>
      </c>
      <c r="AC605">
        <v>16.95</v>
      </c>
      <c r="AD605">
        <v>15.752000000000001</v>
      </c>
      <c r="AE605">
        <v>15.7521</v>
      </c>
      <c r="AF605" t="s">
        <v>183</v>
      </c>
      <c r="AG605" t="s">
        <v>183</v>
      </c>
      <c r="AH605" t="s">
        <v>3894</v>
      </c>
      <c r="AI605" t="s">
        <v>3894</v>
      </c>
      <c r="AJ605" t="s">
        <v>3895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3896</v>
      </c>
      <c r="AT605" t="s">
        <v>3890</v>
      </c>
      <c r="AU605" t="s">
        <v>3897</v>
      </c>
      <c r="AV605" t="s">
        <v>3898</v>
      </c>
      <c r="AW605">
        <v>2</v>
      </c>
      <c r="AX605">
        <v>0</v>
      </c>
    </row>
    <row r="606" spans="1:50" x14ac:dyDescent="0.25">
      <c r="A606" t="s">
        <v>4592</v>
      </c>
      <c r="B606" t="s">
        <v>3889</v>
      </c>
      <c r="C606" t="s">
        <v>3890</v>
      </c>
      <c r="D606">
        <v>28.792999999999999</v>
      </c>
      <c r="E606">
        <v>28.741</v>
      </c>
      <c r="F606" s="2">
        <v>3.0999999999999999E-3</v>
      </c>
      <c r="G606" t="s">
        <v>2964</v>
      </c>
      <c r="H606" t="s">
        <v>2999</v>
      </c>
      <c r="I606">
        <v>440370.4252</v>
      </c>
      <c r="J606">
        <v>1827703.7895</v>
      </c>
      <c r="K606">
        <v>440387.45010000002</v>
      </c>
      <c r="L606">
        <v>1827703.7895</v>
      </c>
      <c r="M606" t="s">
        <v>56</v>
      </c>
      <c r="N606" t="s">
        <v>57</v>
      </c>
      <c r="O606">
        <v>450</v>
      </c>
      <c r="P606" t="s">
        <v>3891</v>
      </c>
      <c r="Q606" t="s">
        <v>3892</v>
      </c>
      <c r="R606" t="s">
        <v>1056</v>
      </c>
      <c r="S606" t="s">
        <v>529</v>
      </c>
      <c r="T606" t="s">
        <v>3001</v>
      </c>
      <c r="U606">
        <v>7.4999999999999997E-2</v>
      </c>
      <c r="V606">
        <v>7.4999999999999997E-2</v>
      </c>
      <c r="W606" t="s">
        <v>52</v>
      </c>
      <c r="X606">
        <v>0.86060000000000003</v>
      </c>
      <c r="Y606">
        <v>1.1080000000000001</v>
      </c>
      <c r="Z606">
        <v>1.1080000000000001</v>
      </c>
      <c r="AA606">
        <v>0.88319999999999999</v>
      </c>
      <c r="AB606">
        <v>17.025099999999998</v>
      </c>
      <c r="AC606">
        <v>17.025200000000002</v>
      </c>
      <c r="AD606">
        <v>15.8271</v>
      </c>
      <c r="AE606">
        <v>15.8271</v>
      </c>
      <c r="AF606" t="s">
        <v>183</v>
      </c>
      <c r="AG606" t="s">
        <v>183</v>
      </c>
      <c r="AH606" t="s">
        <v>3894</v>
      </c>
      <c r="AI606" t="s">
        <v>3894</v>
      </c>
      <c r="AJ606" t="s">
        <v>3895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3896</v>
      </c>
      <c r="AT606" t="s">
        <v>3890</v>
      </c>
      <c r="AU606" t="s">
        <v>3897</v>
      </c>
      <c r="AV606" t="s">
        <v>3898</v>
      </c>
      <c r="AW606">
        <v>2</v>
      </c>
      <c r="AX606">
        <v>0</v>
      </c>
    </row>
    <row r="607" spans="1:50" x14ac:dyDescent="0.25">
      <c r="A607" t="s">
        <v>4593</v>
      </c>
      <c r="B607" t="s">
        <v>3889</v>
      </c>
      <c r="C607" t="s">
        <v>3890</v>
      </c>
      <c r="D607">
        <v>29.643000000000001</v>
      </c>
      <c r="E607">
        <v>29.587</v>
      </c>
      <c r="F607" s="2">
        <v>3.0000000000000001E-3</v>
      </c>
      <c r="G607" t="s">
        <v>2457</v>
      </c>
      <c r="H607" t="s">
        <v>2461</v>
      </c>
      <c r="I607">
        <v>440548.35820000002</v>
      </c>
      <c r="J607">
        <v>1827935.2109000001</v>
      </c>
      <c r="K607">
        <v>440567.08630000002</v>
      </c>
      <c r="L607">
        <v>1827935.2109000001</v>
      </c>
      <c r="M607" t="s">
        <v>56</v>
      </c>
      <c r="N607" t="s">
        <v>57</v>
      </c>
      <c r="O607">
        <v>450</v>
      </c>
      <c r="P607" t="s">
        <v>3891</v>
      </c>
      <c r="Q607" t="s">
        <v>3892</v>
      </c>
      <c r="R607" t="s">
        <v>241</v>
      </c>
      <c r="S607" t="s">
        <v>2459</v>
      </c>
      <c r="T607" t="s">
        <v>2463</v>
      </c>
      <c r="U607">
        <v>0.25</v>
      </c>
      <c r="V607">
        <v>0.25</v>
      </c>
      <c r="W607" t="s">
        <v>52</v>
      </c>
      <c r="X607">
        <v>0.88029999999999997</v>
      </c>
      <c r="Y607">
        <v>0.98619999999999997</v>
      </c>
      <c r="Z607">
        <v>0.98619999999999997</v>
      </c>
      <c r="AA607">
        <v>0.88029999999999997</v>
      </c>
      <c r="AB607">
        <v>18.728100000000001</v>
      </c>
      <c r="AC607">
        <v>18.728200000000001</v>
      </c>
      <c r="AD607">
        <v>17.530200000000001</v>
      </c>
      <c r="AE607">
        <v>17.5303</v>
      </c>
      <c r="AF607" t="s">
        <v>183</v>
      </c>
      <c r="AG607" t="s">
        <v>183</v>
      </c>
      <c r="AH607" t="s">
        <v>3894</v>
      </c>
      <c r="AI607" t="s">
        <v>3894</v>
      </c>
      <c r="AJ607" t="s">
        <v>3895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3896</v>
      </c>
      <c r="AT607" t="s">
        <v>3890</v>
      </c>
      <c r="AU607" t="s">
        <v>3897</v>
      </c>
      <c r="AV607" t="s">
        <v>3898</v>
      </c>
      <c r="AW607">
        <v>2</v>
      </c>
      <c r="AX607">
        <v>0</v>
      </c>
    </row>
    <row r="608" spans="1:50" x14ac:dyDescent="0.25">
      <c r="A608" t="s">
        <v>815</v>
      </c>
      <c r="B608" t="s">
        <v>3889</v>
      </c>
      <c r="C608" t="s">
        <v>3890</v>
      </c>
      <c r="D608">
        <v>31.34</v>
      </c>
      <c r="E608">
        <v>31.28</v>
      </c>
      <c r="F608" s="2">
        <v>3.0000000000000001E-3</v>
      </c>
      <c r="G608" t="s">
        <v>814</v>
      </c>
      <c r="H608" t="s">
        <v>822</v>
      </c>
      <c r="I608">
        <v>440130.42509999999</v>
      </c>
      <c r="J608">
        <v>1827425.1986</v>
      </c>
      <c r="K608">
        <v>440150.42509999999</v>
      </c>
      <c r="L608">
        <v>1827425.1986</v>
      </c>
      <c r="M608" t="s">
        <v>56</v>
      </c>
      <c r="N608" t="s">
        <v>57</v>
      </c>
      <c r="O608">
        <v>450</v>
      </c>
      <c r="P608" t="s">
        <v>3891</v>
      </c>
      <c r="Q608" t="s">
        <v>3892</v>
      </c>
      <c r="R608" t="s">
        <v>80</v>
      </c>
      <c r="S608" t="s">
        <v>816</v>
      </c>
      <c r="T608" t="s">
        <v>824</v>
      </c>
      <c r="U608">
        <v>7.7200000000000005E-2</v>
      </c>
      <c r="V608">
        <v>7.0599999999999996E-2</v>
      </c>
      <c r="W608" t="s">
        <v>52</v>
      </c>
      <c r="X608">
        <v>0.88229999999999997</v>
      </c>
      <c r="Y608">
        <v>0.97799999999999998</v>
      </c>
      <c r="Z608">
        <v>0.95709999999999995</v>
      </c>
      <c r="AA608">
        <v>0.88229999999999997</v>
      </c>
      <c r="AB608">
        <v>20</v>
      </c>
      <c r="AC608">
        <v>20.0001</v>
      </c>
      <c r="AD608">
        <v>18.802099999999999</v>
      </c>
      <c r="AE608">
        <v>18.802199999999999</v>
      </c>
      <c r="AF608" t="s">
        <v>183</v>
      </c>
      <c r="AG608" t="s">
        <v>183</v>
      </c>
      <c r="AH608" t="s">
        <v>3894</v>
      </c>
      <c r="AI608" t="s">
        <v>3894</v>
      </c>
      <c r="AJ608" t="s">
        <v>3895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3896</v>
      </c>
      <c r="AT608" t="s">
        <v>3890</v>
      </c>
      <c r="AU608" t="s">
        <v>3897</v>
      </c>
      <c r="AV608" t="s">
        <v>3898</v>
      </c>
      <c r="AW608">
        <v>2</v>
      </c>
      <c r="AX608">
        <v>0</v>
      </c>
    </row>
    <row r="609" spans="1:50" x14ac:dyDescent="0.25">
      <c r="A609" t="s">
        <v>4594</v>
      </c>
      <c r="B609" t="s">
        <v>3889</v>
      </c>
      <c r="C609" t="s">
        <v>3890</v>
      </c>
      <c r="D609">
        <v>30.434999999999999</v>
      </c>
      <c r="E609">
        <v>30.384</v>
      </c>
      <c r="F609" s="2">
        <v>3.0000000000000001E-3</v>
      </c>
      <c r="G609" t="s">
        <v>2304</v>
      </c>
      <c r="H609" t="s">
        <v>2308</v>
      </c>
      <c r="I609">
        <v>440464.07510000002</v>
      </c>
      <c r="J609">
        <v>1827999.7261000001</v>
      </c>
      <c r="K609">
        <v>440464.07510000002</v>
      </c>
      <c r="L609">
        <v>1827982.6987000001</v>
      </c>
      <c r="M609" t="s">
        <v>56</v>
      </c>
      <c r="N609" t="s">
        <v>57</v>
      </c>
      <c r="O609">
        <v>450</v>
      </c>
      <c r="P609" t="s">
        <v>3891</v>
      </c>
      <c r="Q609" t="s">
        <v>3892</v>
      </c>
      <c r="R609" t="s">
        <v>210</v>
      </c>
      <c r="S609" t="s">
        <v>2306</v>
      </c>
      <c r="T609" t="s">
        <v>444</v>
      </c>
      <c r="U609">
        <v>-1E-4</v>
      </c>
      <c r="V609">
        <v>-1E-4</v>
      </c>
      <c r="W609" t="s">
        <v>52</v>
      </c>
      <c r="X609">
        <v>0.88160000000000005</v>
      </c>
      <c r="Y609">
        <v>0.96640000000000004</v>
      </c>
      <c r="Z609">
        <v>0.96640000000000004</v>
      </c>
      <c r="AA609">
        <v>0.88160000000000005</v>
      </c>
      <c r="AB609">
        <v>17.0275</v>
      </c>
      <c r="AC609">
        <v>17.0276</v>
      </c>
      <c r="AD609">
        <v>15.829599999999999</v>
      </c>
      <c r="AE609">
        <v>15.829599999999999</v>
      </c>
      <c r="AF609" t="s">
        <v>3905</v>
      </c>
      <c r="AG609" t="s">
        <v>3905</v>
      </c>
      <c r="AH609" t="s">
        <v>3894</v>
      </c>
      <c r="AI609" t="s">
        <v>3894</v>
      </c>
      <c r="AJ609" t="s">
        <v>3895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3896</v>
      </c>
      <c r="AT609" t="s">
        <v>3890</v>
      </c>
      <c r="AU609" t="s">
        <v>3897</v>
      </c>
      <c r="AV609" t="s">
        <v>3898</v>
      </c>
      <c r="AW609">
        <v>2</v>
      </c>
      <c r="AX609">
        <v>0</v>
      </c>
    </row>
    <row r="610" spans="1:50" x14ac:dyDescent="0.25">
      <c r="A610" t="s">
        <v>472</v>
      </c>
      <c r="B610" t="s">
        <v>3889</v>
      </c>
      <c r="C610" t="s">
        <v>3890</v>
      </c>
      <c r="D610">
        <v>32.819000000000003</v>
      </c>
      <c r="E610">
        <v>32.762</v>
      </c>
      <c r="F610" s="2">
        <v>2.8E-3</v>
      </c>
      <c r="G610" t="s">
        <v>471</v>
      </c>
      <c r="H610" t="s">
        <v>475</v>
      </c>
      <c r="I610">
        <v>439908.68650000001</v>
      </c>
      <c r="J610">
        <v>1827415.4986</v>
      </c>
      <c r="K610">
        <v>439929.25020000001</v>
      </c>
      <c r="L610">
        <v>1827415.4986</v>
      </c>
      <c r="M610" t="s">
        <v>56</v>
      </c>
      <c r="N610" t="s">
        <v>57</v>
      </c>
      <c r="O610">
        <v>450</v>
      </c>
      <c r="P610" t="s">
        <v>3891</v>
      </c>
      <c r="Q610" t="s">
        <v>3892</v>
      </c>
      <c r="R610" t="s">
        <v>85</v>
      </c>
      <c r="S610" t="s">
        <v>473</v>
      </c>
      <c r="T610" t="s">
        <v>4595</v>
      </c>
      <c r="U610">
        <v>-0.14990000000000001</v>
      </c>
      <c r="V610">
        <v>-0.1477</v>
      </c>
      <c r="W610" t="s">
        <v>52</v>
      </c>
      <c r="X610">
        <v>0.84630000000000005</v>
      </c>
      <c r="Y610">
        <v>1.1623000000000001</v>
      </c>
      <c r="Z610">
        <v>1.1623000000000001</v>
      </c>
      <c r="AA610">
        <v>0.84630000000000005</v>
      </c>
      <c r="AB610">
        <v>20.638999999999999</v>
      </c>
      <c r="AC610">
        <v>20.639099999999999</v>
      </c>
      <c r="AD610">
        <v>19.740600000000001</v>
      </c>
      <c r="AE610">
        <v>19.7407</v>
      </c>
      <c r="AF610" t="s">
        <v>183</v>
      </c>
      <c r="AG610" t="s">
        <v>183</v>
      </c>
      <c r="AH610" t="s">
        <v>3894</v>
      </c>
      <c r="AI610" t="s">
        <v>3894</v>
      </c>
      <c r="AJ610" t="s">
        <v>3895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3896</v>
      </c>
      <c r="AT610" t="s">
        <v>3890</v>
      </c>
      <c r="AU610" t="s">
        <v>3897</v>
      </c>
      <c r="AV610" t="s">
        <v>3898</v>
      </c>
      <c r="AW610">
        <v>2</v>
      </c>
      <c r="AX610">
        <v>0</v>
      </c>
    </row>
    <row r="611" spans="1:50" x14ac:dyDescent="0.25">
      <c r="A611" t="s">
        <v>480</v>
      </c>
      <c r="B611" t="s">
        <v>3889</v>
      </c>
      <c r="C611" t="s">
        <v>3890</v>
      </c>
      <c r="D611">
        <v>32.819000000000003</v>
      </c>
      <c r="E611">
        <v>32.762</v>
      </c>
      <c r="F611" s="2">
        <v>2.8E-3</v>
      </c>
      <c r="G611" t="s">
        <v>479</v>
      </c>
      <c r="H611" t="s">
        <v>481</v>
      </c>
      <c r="I611">
        <v>439908.68650000001</v>
      </c>
      <c r="J611">
        <v>1827425.1986</v>
      </c>
      <c r="K611">
        <v>439929.32520000002</v>
      </c>
      <c r="L611">
        <v>1827425.1986</v>
      </c>
      <c r="M611" t="s">
        <v>56</v>
      </c>
      <c r="N611" t="s">
        <v>57</v>
      </c>
      <c r="O611">
        <v>450</v>
      </c>
      <c r="P611" t="s">
        <v>3891</v>
      </c>
      <c r="Q611" t="s">
        <v>3892</v>
      </c>
      <c r="R611" t="s">
        <v>80</v>
      </c>
      <c r="S611" t="s">
        <v>473</v>
      </c>
      <c r="T611" s="1" t="s">
        <v>477</v>
      </c>
      <c r="U611">
        <v>0.1497</v>
      </c>
      <c r="V611">
        <v>0.14299999999999999</v>
      </c>
      <c r="W611" t="s">
        <v>52</v>
      </c>
      <c r="X611">
        <v>0.84840000000000004</v>
      </c>
      <c r="Y611">
        <v>1.1623000000000001</v>
      </c>
      <c r="Z611">
        <v>1.1623000000000001</v>
      </c>
      <c r="AA611">
        <v>0.86670000000000003</v>
      </c>
      <c r="AB611">
        <v>20.638999999999999</v>
      </c>
      <c r="AC611">
        <v>20.639099999999999</v>
      </c>
      <c r="AD611">
        <v>19.740600000000001</v>
      </c>
      <c r="AE611">
        <v>19.7407</v>
      </c>
      <c r="AF611" t="s">
        <v>183</v>
      </c>
      <c r="AG611" t="s">
        <v>183</v>
      </c>
      <c r="AH611" t="s">
        <v>3894</v>
      </c>
      <c r="AI611" t="s">
        <v>3894</v>
      </c>
      <c r="AJ611" t="s">
        <v>3895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3896</v>
      </c>
      <c r="AT611" t="s">
        <v>3890</v>
      </c>
      <c r="AU611" t="s">
        <v>3897</v>
      </c>
      <c r="AV611" t="s">
        <v>3898</v>
      </c>
      <c r="AW611">
        <v>2</v>
      </c>
      <c r="AX611">
        <v>0</v>
      </c>
    </row>
    <row r="612" spans="1:50" x14ac:dyDescent="0.25">
      <c r="A612" t="s">
        <v>4596</v>
      </c>
      <c r="B612" t="s">
        <v>3889</v>
      </c>
      <c r="C612" t="s">
        <v>3890</v>
      </c>
      <c r="D612">
        <v>29.431999999999999</v>
      </c>
      <c r="E612">
        <v>29.379000000000001</v>
      </c>
      <c r="F612" s="2">
        <v>3.0000000000000001E-3</v>
      </c>
      <c r="G612" t="s">
        <v>2126</v>
      </c>
      <c r="H612" t="s">
        <v>2129</v>
      </c>
      <c r="I612">
        <v>440314.27490000002</v>
      </c>
      <c r="J612">
        <v>1827775.5748000001</v>
      </c>
      <c r="K612">
        <v>440314.27490000002</v>
      </c>
      <c r="L612">
        <v>1827757.6794</v>
      </c>
      <c r="M612" t="s">
        <v>56</v>
      </c>
      <c r="N612" t="s">
        <v>57</v>
      </c>
      <c r="O612">
        <v>450</v>
      </c>
      <c r="P612" t="s">
        <v>3891</v>
      </c>
      <c r="Q612" t="s">
        <v>3892</v>
      </c>
      <c r="R612" t="s">
        <v>156</v>
      </c>
      <c r="S612" t="s">
        <v>448</v>
      </c>
      <c r="T612" t="s">
        <v>2131</v>
      </c>
      <c r="U612">
        <v>2.7E-2</v>
      </c>
      <c r="V612">
        <v>2.7E-2</v>
      </c>
      <c r="W612" t="s">
        <v>52</v>
      </c>
      <c r="X612">
        <v>1.1316999999999999</v>
      </c>
      <c r="Y612">
        <v>1.1474</v>
      </c>
      <c r="Z612">
        <v>1.1474</v>
      </c>
      <c r="AA612">
        <v>1.1316999999999999</v>
      </c>
      <c r="AB612">
        <v>17.895399999999999</v>
      </c>
      <c r="AC612">
        <v>17.895499999999998</v>
      </c>
      <c r="AD612">
        <v>16.697500000000002</v>
      </c>
      <c r="AE612">
        <v>16.697600000000001</v>
      </c>
      <c r="AF612" t="s">
        <v>2233</v>
      </c>
      <c r="AG612" t="s">
        <v>2233</v>
      </c>
      <c r="AH612" t="s">
        <v>3894</v>
      </c>
      <c r="AI612" t="s">
        <v>3894</v>
      </c>
      <c r="AJ612" t="s">
        <v>3895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3896</v>
      </c>
      <c r="AT612" t="s">
        <v>3890</v>
      </c>
      <c r="AU612" t="s">
        <v>3897</v>
      </c>
      <c r="AV612" t="s">
        <v>3898</v>
      </c>
      <c r="AW612">
        <v>2</v>
      </c>
      <c r="AX612">
        <v>0</v>
      </c>
    </row>
    <row r="613" spans="1:50" x14ac:dyDescent="0.25">
      <c r="A613" t="s">
        <v>4597</v>
      </c>
      <c r="B613" t="s">
        <v>3947</v>
      </c>
      <c r="C613" t="s">
        <v>3890</v>
      </c>
      <c r="D613">
        <v>28.102</v>
      </c>
      <c r="E613">
        <v>28.082000000000001</v>
      </c>
      <c r="F613" s="2">
        <v>1E-3</v>
      </c>
      <c r="G613" t="s">
        <v>3497</v>
      </c>
      <c r="H613" t="s">
        <v>3501</v>
      </c>
      <c r="I613">
        <v>440367.74329999997</v>
      </c>
      <c r="J613">
        <v>1827531.7864000001</v>
      </c>
      <c r="K613">
        <v>440387.3751</v>
      </c>
      <c r="L613">
        <v>1827531.7848</v>
      </c>
      <c r="M613" t="s">
        <v>56</v>
      </c>
      <c r="N613" t="s">
        <v>57</v>
      </c>
      <c r="O613">
        <v>1050</v>
      </c>
      <c r="P613" t="s">
        <v>3918</v>
      </c>
      <c r="Q613" t="s">
        <v>3930</v>
      </c>
      <c r="R613" t="s">
        <v>141</v>
      </c>
      <c r="S613" t="s">
        <v>3499</v>
      </c>
      <c r="T613" t="s">
        <v>3503</v>
      </c>
      <c r="U613">
        <v>0.2359</v>
      </c>
      <c r="V613">
        <v>0.23430000000000001</v>
      </c>
      <c r="W613" t="s">
        <v>52</v>
      </c>
      <c r="X613">
        <v>1.3180000000000001</v>
      </c>
      <c r="Y613">
        <v>1.4874000000000001</v>
      </c>
      <c r="Z613">
        <v>1.4605999999999999</v>
      </c>
      <c r="AA613">
        <v>1.339</v>
      </c>
      <c r="AB613">
        <v>19.631799999999998</v>
      </c>
      <c r="AC613">
        <v>19.631900000000002</v>
      </c>
      <c r="AD613">
        <v>18.433299999999999</v>
      </c>
      <c r="AE613">
        <v>18.433299999999999</v>
      </c>
      <c r="AF613" t="s">
        <v>4598</v>
      </c>
      <c r="AG613" t="s">
        <v>4598</v>
      </c>
      <c r="AH613" t="s">
        <v>3894</v>
      </c>
      <c r="AI613" t="s">
        <v>3894</v>
      </c>
      <c r="AJ613" t="s">
        <v>3895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3896</v>
      </c>
      <c r="AT613" t="s">
        <v>3890</v>
      </c>
      <c r="AU613" t="s">
        <v>3950</v>
      </c>
      <c r="AV613" t="s">
        <v>3898</v>
      </c>
      <c r="AW613">
        <v>2</v>
      </c>
      <c r="AX613">
        <v>0</v>
      </c>
    </row>
    <row r="614" spans="1:50" x14ac:dyDescent="0.25">
      <c r="A614" t="s">
        <v>4599</v>
      </c>
      <c r="B614" t="s">
        <v>3889</v>
      </c>
      <c r="C614" t="s">
        <v>3890</v>
      </c>
      <c r="D614">
        <v>31.457999999999998</v>
      </c>
      <c r="E614">
        <v>31.405000000000001</v>
      </c>
      <c r="F614" s="2">
        <v>3.0000000000000001E-3</v>
      </c>
      <c r="G614" t="s">
        <v>1915</v>
      </c>
      <c r="H614" t="s">
        <v>1919</v>
      </c>
      <c r="I614">
        <v>440104.16090000002</v>
      </c>
      <c r="J614">
        <v>1827853.3740999999</v>
      </c>
      <c r="K614">
        <v>440121.94949999999</v>
      </c>
      <c r="L614">
        <v>1827853.3740999999</v>
      </c>
      <c r="M614" t="s">
        <v>56</v>
      </c>
      <c r="N614" t="s">
        <v>57</v>
      </c>
      <c r="O614">
        <v>450</v>
      </c>
      <c r="P614" t="s">
        <v>3891</v>
      </c>
      <c r="Q614" t="s">
        <v>3892</v>
      </c>
      <c r="R614" t="s">
        <v>227</v>
      </c>
      <c r="S614" t="s">
        <v>1917</v>
      </c>
      <c r="T614" t="s">
        <v>1891</v>
      </c>
      <c r="U614">
        <v>0</v>
      </c>
      <c r="V614">
        <v>0</v>
      </c>
      <c r="W614" t="s">
        <v>52</v>
      </c>
      <c r="X614">
        <v>0.84289999999999998</v>
      </c>
      <c r="Y614">
        <v>1.1424000000000001</v>
      </c>
      <c r="Z614">
        <v>1.1424000000000001</v>
      </c>
      <c r="AA614">
        <v>0.86299999999999999</v>
      </c>
      <c r="AB614">
        <v>17.738900000000001</v>
      </c>
      <c r="AC614">
        <v>17.738900000000001</v>
      </c>
      <c r="AD614">
        <v>16.765699999999999</v>
      </c>
      <c r="AE614">
        <v>16.765799999999999</v>
      </c>
      <c r="AF614" t="s">
        <v>183</v>
      </c>
      <c r="AG614" t="s">
        <v>183</v>
      </c>
      <c r="AH614" t="s">
        <v>3894</v>
      </c>
      <c r="AI614" t="s">
        <v>3894</v>
      </c>
      <c r="AJ614" t="s">
        <v>3895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3896</v>
      </c>
      <c r="AT614" t="s">
        <v>3890</v>
      </c>
      <c r="AU614" t="s">
        <v>3897</v>
      </c>
      <c r="AV614" t="s">
        <v>3898</v>
      </c>
      <c r="AW614">
        <v>2</v>
      </c>
      <c r="AX614">
        <v>0</v>
      </c>
    </row>
    <row r="615" spans="1:50" x14ac:dyDescent="0.25">
      <c r="A615" t="s">
        <v>4600</v>
      </c>
      <c r="B615" t="s">
        <v>3963</v>
      </c>
      <c r="C615" t="s">
        <v>3890</v>
      </c>
      <c r="D615">
        <v>28.76</v>
      </c>
      <c r="E615">
        <v>28.741</v>
      </c>
      <c r="F615" s="2">
        <v>2.5000000000000001E-3</v>
      </c>
      <c r="G615" t="s">
        <v>2995</v>
      </c>
      <c r="H615" t="s">
        <v>2999</v>
      </c>
      <c r="I615">
        <v>440387.45010000002</v>
      </c>
      <c r="J615">
        <v>1827711.32</v>
      </c>
      <c r="K615">
        <v>440387.45010000002</v>
      </c>
      <c r="L615">
        <v>1827703.7895</v>
      </c>
      <c r="M615" t="s">
        <v>56</v>
      </c>
      <c r="N615" t="s">
        <v>57</v>
      </c>
      <c r="O615">
        <v>600</v>
      </c>
      <c r="P615" t="s">
        <v>3891</v>
      </c>
      <c r="Q615" t="s">
        <v>3892</v>
      </c>
      <c r="R615" t="s">
        <v>117</v>
      </c>
      <c r="S615" t="s">
        <v>2997</v>
      </c>
      <c r="T615" t="s">
        <v>4601</v>
      </c>
      <c r="U615">
        <v>-3.8600000000000002E-2</v>
      </c>
      <c r="V615">
        <v>-3.8600000000000002E-2</v>
      </c>
      <c r="W615" t="s">
        <v>52</v>
      </c>
      <c r="X615">
        <v>0.87080000000000002</v>
      </c>
      <c r="Y615">
        <v>1.1037999999999999</v>
      </c>
      <c r="Z615">
        <v>1.1037999999999999</v>
      </c>
      <c r="AA615">
        <v>0.88319999999999999</v>
      </c>
      <c r="AB615">
        <v>7.6818999999999997</v>
      </c>
      <c r="AC615">
        <v>7.6820000000000004</v>
      </c>
      <c r="AD615">
        <v>6.7076000000000002</v>
      </c>
      <c r="AE615">
        <v>6.7076000000000002</v>
      </c>
      <c r="AF615" t="s">
        <v>2233</v>
      </c>
      <c r="AG615" t="s">
        <v>2233</v>
      </c>
      <c r="AH615" t="s">
        <v>3894</v>
      </c>
      <c r="AI615" t="s">
        <v>3894</v>
      </c>
      <c r="AJ615" t="s">
        <v>3895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3896</v>
      </c>
      <c r="AT615" t="s">
        <v>3890</v>
      </c>
      <c r="AU615" t="s">
        <v>3964</v>
      </c>
      <c r="AV615" t="s">
        <v>3898</v>
      </c>
      <c r="AW615">
        <v>2</v>
      </c>
      <c r="AX615">
        <v>0</v>
      </c>
    </row>
    <row r="616" spans="1:50" x14ac:dyDescent="0.25">
      <c r="A616" t="s">
        <v>4602</v>
      </c>
      <c r="B616" t="s">
        <v>3889</v>
      </c>
      <c r="C616" t="s">
        <v>3890</v>
      </c>
      <c r="D616">
        <v>28.407</v>
      </c>
      <c r="E616">
        <v>28.363</v>
      </c>
      <c r="F616" s="2">
        <v>3.0000000000000001E-3</v>
      </c>
      <c r="G616" t="s">
        <v>2857</v>
      </c>
      <c r="H616" t="s">
        <v>2923</v>
      </c>
      <c r="I616">
        <v>440464.07510000002</v>
      </c>
      <c r="J616">
        <v>1827678.2394999999</v>
      </c>
      <c r="K616">
        <v>440464.07510000002</v>
      </c>
      <c r="L616">
        <v>1827692.7645</v>
      </c>
      <c r="M616" t="s">
        <v>56</v>
      </c>
      <c r="N616" t="s">
        <v>57</v>
      </c>
      <c r="O616">
        <v>450</v>
      </c>
      <c r="P616" t="s">
        <v>3891</v>
      </c>
      <c r="Q616" t="s">
        <v>3892</v>
      </c>
      <c r="R616" t="s">
        <v>171</v>
      </c>
      <c r="S616" t="s">
        <v>452</v>
      </c>
      <c r="T616" t="s">
        <v>4603</v>
      </c>
      <c r="U616">
        <v>0</v>
      </c>
      <c r="V616">
        <v>0</v>
      </c>
      <c r="W616" t="s">
        <v>52</v>
      </c>
      <c r="X616">
        <v>0.84560000000000002</v>
      </c>
      <c r="Y616">
        <v>1.0537000000000001</v>
      </c>
      <c r="Z616">
        <v>1.0474000000000001</v>
      </c>
      <c r="AA616">
        <v>0.86560000000000004</v>
      </c>
      <c r="AB616">
        <v>14.675800000000001</v>
      </c>
      <c r="AC616">
        <v>14.675800000000001</v>
      </c>
      <c r="AD616">
        <v>13.7021</v>
      </c>
      <c r="AE616">
        <v>13.702199999999999</v>
      </c>
      <c r="AF616" t="s">
        <v>67</v>
      </c>
      <c r="AG616" t="s">
        <v>67</v>
      </c>
      <c r="AH616" t="s">
        <v>3894</v>
      </c>
      <c r="AI616" t="s">
        <v>3894</v>
      </c>
      <c r="AJ616" t="s">
        <v>3895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3896</v>
      </c>
      <c r="AT616" t="s">
        <v>3890</v>
      </c>
      <c r="AU616" t="s">
        <v>3897</v>
      </c>
      <c r="AV616" t="s">
        <v>3898</v>
      </c>
      <c r="AW616">
        <v>2</v>
      </c>
      <c r="AX616">
        <v>0</v>
      </c>
    </row>
    <row r="617" spans="1:50" x14ac:dyDescent="0.25">
      <c r="A617" t="s">
        <v>4604</v>
      </c>
      <c r="B617" t="s">
        <v>3889</v>
      </c>
      <c r="C617" t="s">
        <v>3890</v>
      </c>
      <c r="D617">
        <v>28.637</v>
      </c>
      <c r="E617">
        <v>28.625</v>
      </c>
      <c r="F617" s="2">
        <v>1.4E-3</v>
      </c>
      <c r="G617" t="s">
        <v>2896</v>
      </c>
      <c r="H617" t="s">
        <v>2900</v>
      </c>
      <c r="I617">
        <v>440387.3751</v>
      </c>
      <c r="J617">
        <v>1827684.1187</v>
      </c>
      <c r="K617">
        <v>440387.3751</v>
      </c>
      <c r="L617">
        <v>1827692.9145</v>
      </c>
      <c r="M617" t="s">
        <v>56</v>
      </c>
      <c r="N617" t="s">
        <v>57</v>
      </c>
      <c r="O617">
        <v>450</v>
      </c>
      <c r="P617" t="s">
        <v>3891</v>
      </c>
      <c r="Q617" t="s">
        <v>3892</v>
      </c>
      <c r="R617" t="s">
        <v>117</v>
      </c>
      <c r="S617" t="s">
        <v>2898</v>
      </c>
      <c r="T617" t="s">
        <v>4605</v>
      </c>
      <c r="U617">
        <v>3.6400000000000002E-2</v>
      </c>
      <c r="V617">
        <v>3.6400000000000002E-2</v>
      </c>
      <c r="W617" t="s">
        <v>52</v>
      </c>
      <c r="X617">
        <v>0.85580000000000001</v>
      </c>
      <c r="Y617">
        <v>1.0259</v>
      </c>
      <c r="Z617">
        <v>1.0158</v>
      </c>
      <c r="AA617">
        <v>0.87749999999999995</v>
      </c>
      <c r="AB617">
        <v>8.7987000000000002</v>
      </c>
      <c r="AC617">
        <v>8.7987000000000002</v>
      </c>
      <c r="AD617">
        <v>7.8216999999999999</v>
      </c>
      <c r="AE617">
        <v>7.8217999999999996</v>
      </c>
      <c r="AF617" t="s">
        <v>67</v>
      </c>
      <c r="AG617" t="s">
        <v>67</v>
      </c>
      <c r="AH617" t="s">
        <v>3894</v>
      </c>
      <c r="AI617" t="s">
        <v>3894</v>
      </c>
      <c r="AJ617" t="s">
        <v>3895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3896</v>
      </c>
      <c r="AT617" t="s">
        <v>3890</v>
      </c>
      <c r="AU617" t="s">
        <v>3897</v>
      </c>
      <c r="AV617" t="s">
        <v>3898</v>
      </c>
      <c r="AW617">
        <v>2</v>
      </c>
      <c r="AX617">
        <v>0</v>
      </c>
    </row>
    <row r="618" spans="1:50" x14ac:dyDescent="0.25">
      <c r="A618" t="s">
        <v>4606</v>
      </c>
      <c r="B618" t="s">
        <v>3889</v>
      </c>
      <c r="C618" t="s">
        <v>3890</v>
      </c>
      <c r="D618">
        <v>27.689</v>
      </c>
      <c r="E618">
        <v>27.664999999999999</v>
      </c>
      <c r="F618" s="2">
        <v>3.0999999999999999E-3</v>
      </c>
      <c r="G618" t="s">
        <v>3800</v>
      </c>
      <c r="H618" t="s">
        <v>3803</v>
      </c>
      <c r="I618">
        <v>440585.57510000002</v>
      </c>
      <c r="J618">
        <v>1827558.2394999999</v>
      </c>
      <c r="K618">
        <v>440585.57510000002</v>
      </c>
      <c r="L618">
        <v>1827550.5338000001</v>
      </c>
      <c r="M618" t="s">
        <v>56</v>
      </c>
      <c r="N618" t="s">
        <v>57</v>
      </c>
      <c r="O618">
        <v>450</v>
      </c>
      <c r="P618" t="s">
        <v>3891</v>
      </c>
      <c r="Q618" t="s">
        <v>3892</v>
      </c>
      <c r="R618" t="s">
        <v>357</v>
      </c>
      <c r="S618" t="s">
        <v>428</v>
      </c>
      <c r="T618" t="s">
        <v>4607</v>
      </c>
      <c r="U618">
        <v>-6.7999999999999996E-3</v>
      </c>
      <c r="V618">
        <v>-2.5000000000000001E-3</v>
      </c>
      <c r="W618" t="s">
        <v>52</v>
      </c>
      <c r="X618">
        <v>0.84509999999999996</v>
      </c>
      <c r="Y618">
        <v>1.012</v>
      </c>
      <c r="Z618">
        <v>1.0085</v>
      </c>
      <c r="AA618">
        <v>0.86529999999999996</v>
      </c>
      <c r="AB618">
        <v>7.9321000000000002</v>
      </c>
      <c r="AC618">
        <v>7.9321999999999999</v>
      </c>
      <c r="AD618">
        <v>6.9579000000000004</v>
      </c>
      <c r="AE618">
        <v>6.9579000000000004</v>
      </c>
      <c r="AF618" t="s">
        <v>3905</v>
      </c>
      <c r="AG618" t="s">
        <v>3905</v>
      </c>
      <c r="AH618" t="s">
        <v>3894</v>
      </c>
      <c r="AI618" t="s">
        <v>3894</v>
      </c>
      <c r="AJ618" t="s">
        <v>3895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3896</v>
      </c>
      <c r="AT618" t="s">
        <v>3890</v>
      </c>
      <c r="AU618" t="s">
        <v>3897</v>
      </c>
      <c r="AV618" t="s">
        <v>3898</v>
      </c>
      <c r="AW618">
        <v>2</v>
      </c>
      <c r="AX618">
        <v>0</v>
      </c>
    </row>
    <row r="619" spans="1:50" x14ac:dyDescent="0.25">
      <c r="A619" t="s">
        <v>4608</v>
      </c>
      <c r="B619" t="s">
        <v>3889</v>
      </c>
      <c r="C619" t="s">
        <v>3890</v>
      </c>
      <c r="D619">
        <v>28.798999999999999</v>
      </c>
      <c r="E619">
        <v>28.77</v>
      </c>
      <c r="F619" s="2">
        <v>3.2000000000000002E-3</v>
      </c>
      <c r="G619" t="s">
        <v>2706</v>
      </c>
      <c r="H619" t="s">
        <v>2710</v>
      </c>
      <c r="I619">
        <v>440454.3751</v>
      </c>
      <c r="J619">
        <v>1827787.8023000001</v>
      </c>
      <c r="K619">
        <v>440454.3751</v>
      </c>
      <c r="L619">
        <v>1827778.6757</v>
      </c>
      <c r="M619" t="s">
        <v>56</v>
      </c>
      <c r="N619" t="s">
        <v>57</v>
      </c>
      <c r="O619">
        <v>450</v>
      </c>
      <c r="P619" t="s">
        <v>3891</v>
      </c>
      <c r="Q619" t="s">
        <v>3892</v>
      </c>
      <c r="R619" t="s">
        <v>232</v>
      </c>
      <c r="S619" t="s">
        <v>2708</v>
      </c>
      <c r="T619" t="s">
        <v>4609</v>
      </c>
      <c r="U619">
        <v>0.1784</v>
      </c>
      <c r="V619">
        <v>0.1784</v>
      </c>
      <c r="W619" t="s">
        <v>52</v>
      </c>
      <c r="X619">
        <v>0.84460000000000002</v>
      </c>
      <c r="Y619">
        <v>1.0281</v>
      </c>
      <c r="Z619">
        <v>1.0281</v>
      </c>
      <c r="AA619">
        <v>0.86539999999999995</v>
      </c>
      <c r="AB619">
        <v>9.2779000000000007</v>
      </c>
      <c r="AC619">
        <v>9.2779000000000007</v>
      </c>
      <c r="AD619">
        <v>8.3788999999999998</v>
      </c>
      <c r="AE619">
        <v>8.3789999999999996</v>
      </c>
      <c r="AF619" t="s">
        <v>3905</v>
      </c>
      <c r="AG619" t="s">
        <v>3905</v>
      </c>
      <c r="AH619" t="s">
        <v>3894</v>
      </c>
      <c r="AI619" t="s">
        <v>3894</v>
      </c>
      <c r="AJ619" t="s">
        <v>3895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3896</v>
      </c>
      <c r="AT619" t="s">
        <v>3890</v>
      </c>
      <c r="AU619" t="s">
        <v>3897</v>
      </c>
      <c r="AV619" t="s">
        <v>3898</v>
      </c>
      <c r="AW619">
        <v>2</v>
      </c>
      <c r="AX619">
        <v>0</v>
      </c>
    </row>
    <row r="620" spans="1:50" x14ac:dyDescent="0.25">
      <c r="A620" t="s">
        <v>4610</v>
      </c>
      <c r="B620" t="s">
        <v>3889</v>
      </c>
      <c r="C620" t="s">
        <v>3890</v>
      </c>
      <c r="D620">
        <v>31.087</v>
      </c>
      <c r="E620">
        <v>31.055</v>
      </c>
      <c r="F620" s="2">
        <v>3.0000000000000001E-3</v>
      </c>
      <c r="G620" t="s">
        <v>1292</v>
      </c>
      <c r="H620" t="s">
        <v>1295</v>
      </c>
      <c r="I620">
        <v>440188.22489999997</v>
      </c>
      <c r="J620">
        <v>1827864.4741</v>
      </c>
      <c r="K620">
        <v>440198.89980000001</v>
      </c>
      <c r="L620">
        <v>1827864.4741</v>
      </c>
      <c r="M620" t="s">
        <v>56</v>
      </c>
      <c r="N620" t="s">
        <v>57</v>
      </c>
      <c r="O620">
        <v>450</v>
      </c>
      <c r="P620" t="s">
        <v>3891</v>
      </c>
      <c r="Q620" t="s">
        <v>3892</v>
      </c>
      <c r="R620" t="s">
        <v>1289</v>
      </c>
      <c r="S620" t="s">
        <v>452</v>
      </c>
      <c r="T620" t="s">
        <v>1230</v>
      </c>
      <c r="U620">
        <v>-1.6000000000000001E-3</v>
      </c>
      <c r="V620">
        <v>-1.6000000000000001E-3</v>
      </c>
      <c r="W620" t="s">
        <v>52</v>
      </c>
      <c r="X620">
        <v>0.84909999999999997</v>
      </c>
      <c r="Y620">
        <v>1.0583</v>
      </c>
      <c r="Z620">
        <v>1.0583</v>
      </c>
      <c r="AA620">
        <v>0.86770000000000003</v>
      </c>
      <c r="AB620">
        <v>10.677199999999999</v>
      </c>
      <c r="AC620">
        <v>10.677300000000001</v>
      </c>
      <c r="AD620">
        <v>9.7019000000000002</v>
      </c>
      <c r="AE620">
        <v>9.702</v>
      </c>
      <c r="AF620" t="s">
        <v>183</v>
      </c>
      <c r="AG620" t="s">
        <v>183</v>
      </c>
      <c r="AH620" t="s">
        <v>3894</v>
      </c>
      <c r="AI620" t="s">
        <v>3894</v>
      </c>
      <c r="AJ620" t="s">
        <v>3895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3896</v>
      </c>
      <c r="AT620" t="s">
        <v>3890</v>
      </c>
      <c r="AU620" t="s">
        <v>3897</v>
      </c>
      <c r="AV620" t="s">
        <v>3898</v>
      </c>
      <c r="AW620">
        <v>2</v>
      </c>
      <c r="AX620">
        <v>0</v>
      </c>
    </row>
    <row r="621" spans="1:50" x14ac:dyDescent="0.25">
      <c r="A621" t="s">
        <v>4611</v>
      </c>
      <c r="B621" t="s">
        <v>3889</v>
      </c>
      <c r="C621" t="s">
        <v>3890</v>
      </c>
      <c r="D621">
        <v>32.198</v>
      </c>
      <c r="E621">
        <v>32.165999999999997</v>
      </c>
      <c r="F621" s="2">
        <v>3.0000000000000001E-3</v>
      </c>
      <c r="G621" t="s">
        <v>1237</v>
      </c>
      <c r="H621" t="s">
        <v>1240</v>
      </c>
      <c r="I621">
        <v>440188.22489999997</v>
      </c>
      <c r="J621">
        <v>1828091.6338</v>
      </c>
      <c r="K621">
        <v>440198.89980000001</v>
      </c>
      <c r="L621">
        <v>1828091.6338</v>
      </c>
      <c r="M621" t="s">
        <v>56</v>
      </c>
      <c r="N621" t="s">
        <v>57</v>
      </c>
      <c r="O621">
        <v>450</v>
      </c>
      <c r="P621" t="s">
        <v>3891</v>
      </c>
      <c r="Q621" t="s">
        <v>3892</v>
      </c>
      <c r="R621" t="s">
        <v>1234</v>
      </c>
      <c r="S621" t="s">
        <v>452</v>
      </c>
      <c r="T621" t="s">
        <v>1230</v>
      </c>
      <c r="U621">
        <v>0</v>
      </c>
      <c r="V621">
        <v>0</v>
      </c>
      <c r="W621" t="s">
        <v>52</v>
      </c>
      <c r="X621">
        <v>0.84860000000000002</v>
      </c>
      <c r="Y621">
        <v>1.1253</v>
      </c>
      <c r="Z621">
        <v>1.1253</v>
      </c>
      <c r="AA621">
        <v>0.86409999999999998</v>
      </c>
      <c r="AB621">
        <v>10.677199999999999</v>
      </c>
      <c r="AC621">
        <v>10.677300000000001</v>
      </c>
      <c r="AD621">
        <v>9.7019000000000002</v>
      </c>
      <c r="AE621">
        <v>9.702</v>
      </c>
      <c r="AF621" t="s">
        <v>183</v>
      </c>
      <c r="AG621" t="s">
        <v>183</v>
      </c>
      <c r="AH621" t="s">
        <v>3894</v>
      </c>
      <c r="AI621" t="s">
        <v>3894</v>
      </c>
      <c r="AJ621" t="s">
        <v>3895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3896</v>
      </c>
      <c r="AT621" t="s">
        <v>3890</v>
      </c>
      <c r="AU621" t="s">
        <v>3897</v>
      </c>
      <c r="AV621" t="s">
        <v>3898</v>
      </c>
      <c r="AW621">
        <v>2</v>
      </c>
      <c r="AX621">
        <v>0</v>
      </c>
    </row>
    <row r="622" spans="1:50" x14ac:dyDescent="0.25">
      <c r="A622" t="s">
        <v>4612</v>
      </c>
      <c r="B622" t="s">
        <v>3889</v>
      </c>
      <c r="C622" t="s">
        <v>3890</v>
      </c>
      <c r="D622">
        <v>32.249000000000002</v>
      </c>
      <c r="E622">
        <v>32.216000000000001</v>
      </c>
      <c r="F622" s="2">
        <v>3.0999999999999999E-3</v>
      </c>
      <c r="G622" t="s">
        <v>1225</v>
      </c>
      <c r="H622" t="s">
        <v>1228</v>
      </c>
      <c r="I622">
        <v>440188.22489999997</v>
      </c>
      <c r="J622">
        <v>1828102.7338</v>
      </c>
      <c r="K622">
        <v>440198.74979999999</v>
      </c>
      <c r="L622">
        <v>1828102.7338</v>
      </c>
      <c r="M622" t="s">
        <v>56</v>
      </c>
      <c r="N622" t="s">
        <v>57</v>
      </c>
      <c r="O622">
        <v>450</v>
      </c>
      <c r="P622" t="s">
        <v>3891</v>
      </c>
      <c r="Q622" t="s">
        <v>3892</v>
      </c>
      <c r="R622" t="s">
        <v>1220</v>
      </c>
      <c r="S622" t="s">
        <v>452</v>
      </c>
      <c r="T622" t="s">
        <v>4613</v>
      </c>
      <c r="U622">
        <v>0</v>
      </c>
      <c r="V622">
        <v>0</v>
      </c>
      <c r="W622" t="s">
        <v>52</v>
      </c>
      <c r="X622">
        <v>0.85119999999999996</v>
      </c>
      <c r="Y622">
        <v>1.0743</v>
      </c>
      <c r="Z622">
        <v>1.0743</v>
      </c>
      <c r="AA622">
        <v>0.86639999999999995</v>
      </c>
      <c r="AB622">
        <v>10.677199999999999</v>
      </c>
      <c r="AC622">
        <v>10.677300000000001</v>
      </c>
      <c r="AD622">
        <v>9.702</v>
      </c>
      <c r="AE622">
        <v>9.7020999999999997</v>
      </c>
      <c r="AF622" t="s">
        <v>183</v>
      </c>
      <c r="AG622" t="s">
        <v>183</v>
      </c>
      <c r="AH622" t="s">
        <v>3894</v>
      </c>
      <c r="AI622" t="s">
        <v>3894</v>
      </c>
      <c r="AJ622" t="s">
        <v>3895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3896</v>
      </c>
      <c r="AT622" t="s">
        <v>3890</v>
      </c>
      <c r="AU622" t="s">
        <v>3897</v>
      </c>
      <c r="AV622" t="s">
        <v>3898</v>
      </c>
      <c r="AW622">
        <v>2</v>
      </c>
      <c r="AX622">
        <v>0</v>
      </c>
    </row>
    <row r="623" spans="1:50" x14ac:dyDescent="0.25">
      <c r="A623" t="s">
        <v>4614</v>
      </c>
      <c r="B623" t="s">
        <v>3889</v>
      </c>
      <c r="C623" t="s">
        <v>3890</v>
      </c>
      <c r="D623">
        <v>31.036999999999999</v>
      </c>
      <c r="E623">
        <v>31.004000000000001</v>
      </c>
      <c r="F623" s="2">
        <v>3.0999999999999999E-3</v>
      </c>
      <c r="G623" t="s">
        <v>1202</v>
      </c>
      <c r="H623" t="s">
        <v>1298</v>
      </c>
      <c r="I623">
        <v>440188.22489999997</v>
      </c>
      <c r="J623">
        <v>1827853.3740999999</v>
      </c>
      <c r="K623">
        <v>440198.92479999998</v>
      </c>
      <c r="L623">
        <v>1827853.3740999999</v>
      </c>
      <c r="M623" t="s">
        <v>56</v>
      </c>
      <c r="N623" t="s">
        <v>57</v>
      </c>
      <c r="O623">
        <v>450</v>
      </c>
      <c r="P623" t="s">
        <v>3891</v>
      </c>
      <c r="Q623" t="s">
        <v>3892</v>
      </c>
      <c r="R623" t="s">
        <v>227</v>
      </c>
      <c r="S623" t="s">
        <v>1204</v>
      </c>
      <c r="T623" t="s">
        <v>4615</v>
      </c>
      <c r="U623">
        <v>0</v>
      </c>
      <c r="V623">
        <v>0</v>
      </c>
      <c r="W623" t="s">
        <v>52</v>
      </c>
      <c r="X623">
        <v>0.84760000000000002</v>
      </c>
      <c r="Y623">
        <v>1.1083000000000001</v>
      </c>
      <c r="Z623">
        <v>1.1083000000000001</v>
      </c>
      <c r="AA623">
        <v>0.86499999999999999</v>
      </c>
      <c r="AB623">
        <v>10.676299999999999</v>
      </c>
      <c r="AC623">
        <v>10.676299999999999</v>
      </c>
      <c r="AD623">
        <v>9.702</v>
      </c>
      <c r="AE623">
        <v>9.7020999999999997</v>
      </c>
      <c r="AF623" t="s">
        <v>183</v>
      </c>
      <c r="AG623" t="s">
        <v>183</v>
      </c>
      <c r="AH623" t="s">
        <v>3894</v>
      </c>
      <c r="AI623" t="s">
        <v>3894</v>
      </c>
      <c r="AJ623" t="s">
        <v>3895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3896</v>
      </c>
      <c r="AT623" t="s">
        <v>3890</v>
      </c>
      <c r="AU623" t="s">
        <v>3897</v>
      </c>
      <c r="AV623" t="s">
        <v>3898</v>
      </c>
      <c r="AW623">
        <v>2</v>
      </c>
      <c r="AX623">
        <v>0</v>
      </c>
    </row>
    <row r="624" spans="1:50" x14ac:dyDescent="0.25">
      <c r="A624" t="s">
        <v>4616</v>
      </c>
      <c r="B624" t="s">
        <v>4065</v>
      </c>
      <c r="C624" t="s">
        <v>3890</v>
      </c>
      <c r="D624">
        <v>30.853999999999999</v>
      </c>
      <c r="E624">
        <v>30.818999999999999</v>
      </c>
      <c r="F624" s="2">
        <v>2.8999999999999998E-3</v>
      </c>
      <c r="G624" t="s">
        <v>1298</v>
      </c>
      <c r="H624" t="s">
        <v>1302</v>
      </c>
      <c r="I624">
        <v>440198.92479999998</v>
      </c>
      <c r="J624">
        <v>1827853.7742000001</v>
      </c>
      <c r="K624">
        <v>440198.92479999998</v>
      </c>
      <c r="L624">
        <v>1827841.8171000001</v>
      </c>
      <c r="M624" t="s">
        <v>56</v>
      </c>
      <c r="N624" t="s">
        <v>57</v>
      </c>
      <c r="O624">
        <v>900</v>
      </c>
      <c r="P624" t="s">
        <v>58</v>
      </c>
      <c r="Q624" t="s">
        <v>3919</v>
      </c>
      <c r="R624" t="s">
        <v>146</v>
      </c>
      <c r="S624" t="s">
        <v>4371</v>
      </c>
      <c r="T624" t="s">
        <v>1304</v>
      </c>
      <c r="U624">
        <v>-2.5000000000000001E-2</v>
      </c>
      <c r="V624">
        <v>-2.5000000000000001E-2</v>
      </c>
      <c r="W624" t="s">
        <v>52</v>
      </c>
      <c r="X624">
        <v>0.81169999999999998</v>
      </c>
      <c r="Y624">
        <v>0.9647</v>
      </c>
      <c r="Z624">
        <v>0.84230000000000005</v>
      </c>
      <c r="AA624">
        <v>0.85189999999999999</v>
      </c>
      <c r="AB624">
        <v>11.957100000000001</v>
      </c>
      <c r="AC624">
        <v>11.957100000000001</v>
      </c>
      <c r="AD624">
        <v>10.7606</v>
      </c>
      <c r="AE624">
        <v>10.7606</v>
      </c>
      <c r="AF624" t="s">
        <v>2233</v>
      </c>
      <c r="AG624" t="s">
        <v>2233</v>
      </c>
      <c r="AH624" t="s">
        <v>3894</v>
      </c>
      <c r="AI624" t="s">
        <v>3894</v>
      </c>
      <c r="AJ624" t="s">
        <v>3895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3896</v>
      </c>
      <c r="AT624" t="s">
        <v>3890</v>
      </c>
      <c r="AU624" t="s">
        <v>4066</v>
      </c>
      <c r="AV624" t="s">
        <v>3898</v>
      </c>
      <c r="AW624">
        <v>2</v>
      </c>
      <c r="AX624">
        <v>0</v>
      </c>
    </row>
    <row r="625" spans="1:50" x14ac:dyDescent="0.25">
      <c r="A625" t="s">
        <v>796</v>
      </c>
      <c r="B625" t="s">
        <v>3889</v>
      </c>
      <c r="C625" t="s">
        <v>3890</v>
      </c>
      <c r="D625">
        <v>28.177</v>
      </c>
      <c r="E625">
        <v>28.145</v>
      </c>
      <c r="F625" s="2">
        <v>3.0999999999999999E-3</v>
      </c>
      <c r="G625" t="s">
        <v>795</v>
      </c>
      <c r="H625" t="s">
        <v>2818</v>
      </c>
      <c r="I625">
        <v>440595.27510000003</v>
      </c>
      <c r="J625">
        <v>1827688.6952</v>
      </c>
      <c r="K625">
        <v>440595.27510000003</v>
      </c>
      <c r="L625">
        <v>1827678.2394999999</v>
      </c>
      <c r="M625" t="s">
        <v>56</v>
      </c>
      <c r="N625" t="s">
        <v>57</v>
      </c>
      <c r="O625">
        <v>450</v>
      </c>
      <c r="P625" t="s">
        <v>3891</v>
      </c>
      <c r="Q625" t="s">
        <v>3892</v>
      </c>
      <c r="R625" t="s">
        <v>797</v>
      </c>
      <c r="S625" t="s">
        <v>798</v>
      </c>
      <c r="T625" t="s">
        <v>452</v>
      </c>
      <c r="U625">
        <v>3.3099999999999997E-2</v>
      </c>
      <c r="V625">
        <v>3.3099999999999997E-2</v>
      </c>
      <c r="W625" t="s">
        <v>52</v>
      </c>
      <c r="X625">
        <v>0.88229999999999997</v>
      </c>
      <c r="Y625">
        <v>0.91200000000000003</v>
      </c>
      <c r="Z625">
        <v>0.91200000000000003</v>
      </c>
      <c r="AA625">
        <v>0.88229999999999997</v>
      </c>
      <c r="AB625">
        <v>10.4557</v>
      </c>
      <c r="AC625">
        <v>10.4557</v>
      </c>
      <c r="AD625">
        <v>9.2577999999999996</v>
      </c>
      <c r="AE625">
        <v>9.2578999999999994</v>
      </c>
      <c r="AF625" t="s">
        <v>2233</v>
      </c>
      <c r="AG625" t="s">
        <v>2233</v>
      </c>
      <c r="AH625" t="s">
        <v>3894</v>
      </c>
      <c r="AI625" t="s">
        <v>3894</v>
      </c>
      <c r="AJ625" t="s">
        <v>3895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3896</v>
      </c>
      <c r="AT625" t="s">
        <v>3890</v>
      </c>
      <c r="AU625" t="s">
        <v>3897</v>
      </c>
      <c r="AV625" t="s">
        <v>3898</v>
      </c>
      <c r="AW625">
        <v>2</v>
      </c>
      <c r="AX625">
        <v>0</v>
      </c>
    </row>
    <row r="626" spans="1:50" x14ac:dyDescent="0.25">
      <c r="A626" t="s">
        <v>4617</v>
      </c>
      <c r="B626" t="s">
        <v>3889</v>
      </c>
      <c r="C626" t="s">
        <v>3890</v>
      </c>
      <c r="D626">
        <v>27.763999999999999</v>
      </c>
      <c r="E626">
        <v>27.733000000000001</v>
      </c>
      <c r="F626" s="2">
        <v>1.5E-3</v>
      </c>
      <c r="G626" t="s">
        <v>3812</v>
      </c>
      <c r="H626" t="s">
        <v>3815</v>
      </c>
      <c r="I626">
        <v>440595.27510000003</v>
      </c>
      <c r="J626">
        <v>1827578.2394999999</v>
      </c>
      <c r="K626">
        <v>440595.27510000003</v>
      </c>
      <c r="L626">
        <v>1827558.2394999999</v>
      </c>
      <c r="M626" t="s">
        <v>56</v>
      </c>
      <c r="N626" t="s">
        <v>57</v>
      </c>
      <c r="O626">
        <v>450</v>
      </c>
      <c r="P626" t="s">
        <v>3891</v>
      </c>
      <c r="Q626" t="s">
        <v>3892</v>
      </c>
      <c r="R626" t="s">
        <v>797</v>
      </c>
      <c r="S626" t="s">
        <v>432</v>
      </c>
      <c r="T626" t="s">
        <v>428</v>
      </c>
      <c r="U626">
        <v>3.3099999999999997E-2</v>
      </c>
      <c r="V626">
        <v>3.3099999999999997E-2</v>
      </c>
      <c r="W626" t="s">
        <v>52</v>
      </c>
      <c r="X626">
        <v>0.96450000000000002</v>
      </c>
      <c r="Y626">
        <v>0.98350000000000004</v>
      </c>
      <c r="Z626">
        <v>0.98350000000000004</v>
      </c>
      <c r="AA626">
        <v>0.96450000000000002</v>
      </c>
      <c r="AB626">
        <v>20</v>
      </c>
      <c r="AC626">
        <v>20</v>
      </c>
      <c r="AD626">
        <v>18.801100000000002</v>
      </c>
      <c r="AE626">
        <v>18.801100000000002</v>
      </c>
      <c r="AF626" t="s">
        <v>3905</v>
      </c>
      <c r="AG626" t="s">
        <v>3905</v>
      </c>
      <c r="AH626" t="s">
        <v>3894</v>
      </c>
      <c r="AI626" t="s">
        <v>3894</v>
      </c>
      <c r="AJ626" t="s">
        <v>3895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3896</v>
      </c>
      <c r="AT626" t="s">
        <v>3890</v>
      </c>
      <c r="AU626" t="s">
        <v>3897</v>
      </c>
      <c r="AV626" t="s">
        <v>3898</v>
      </c>
      <c r="AW626">
        <v>2</v>
      </c>
      <c r="AX626">
        <v>0</v>
      </c>
    </row>
    <row r="627" spans="1:50" x14ac:dyDescent="0.25">
      <c r="A627" t="s">
        <v>4618</v>
      </c>
      <c r="B627" t="s">
        <v>3889</v>
      </c>
      <c r="C627" t="s">
        <v>3890</v>
      </c>
      <c r="D627">
        <v>30.562000000000001</v>
      </c>
      <c r="E627">
        <v>30.504999999999999</v>
      </c>
      <c r="F627" s="2">
        <v>2.8999999999999998E-3</v>
      </c>
      <c r="G627" t="s">
        <v>341</v>
      </c>
      <c r="H627" t="s">
        <v>3402</v>
      </c>
      <c r="I627">
        <v>440314.27490000002</v>
      </c>
      <c r="J627">
        <v>1827315.3658</v>
      </c>
      <c r="K627">
        <v>440314.27490000002</v>
      </c>
      <c r="L627">
        <v>1827335.1608</v>
      </c>
      <c r="M627" t="s">
        <v>56</v>
      </c>
      <c r="N627" t="s">
        <v>57</v>
      </c>
      <c r="O627">
        <v>450</v>
      </c>
      <c r="P627" t="s">
        <v>3891</v>
      </c>
      <c r="Q627" t="s">
        <v>3892</v>
      </c>
      <c r="R627" t="s">
        <v>343</v>
      </c>
      <c r="S627" t="s">
        <v>344</v>
      </c>
      <c r="T627" t="s">
        <v>3081</v>
      </c>
      <c r="U627">
        <v>7.4999999999999997E-2</v>
      </c>
      <c r="V627">
        <v>7.4999999999999997E-2</v>
      </c>
      <c r="W627" t="s">
        <v>52</v>
      </c>
      <c r="X627">
        <v>0.89380000000000004</v>
      </c>
      <c r="Y627">
        <v>0.89490000000000003</v>
      </c>
      <c r="Z627">
        <v>0.89380000000000004</v>
      </c>
      <c r="AA627">
        <v>0.89490000000000003</v>
      </c>
      <c r="AB627">
        <v>19.795000000000002</v>
      </c>
      <c r="AC627">
        <v>19.795100000000001</v>
      </c>
      <c r="AD627">
        <v>18.597000000000001</v>
      </c>
      <c r="AE627">
        <v>18.597100000000001</v>
      </c>
      <c r="AF627" t="s">
        <v>67</v>
      </c>
      <c r="AG627" t="s">
        <v>67</v>
      </c>
      <c r="AH627" t="s">
        <v>3894</v>
      </c>
      <c r="AI627" t="s">
        <v>3894</v>
      </c>
      <c r="AJ627" t="s">
        <v>3895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3896</v>
      </c>
      <c r="AT627" t="s">
        <v>3890</v>
      </c>
      <c r="AU627" t="s">
        <v>3897</v>
      </c>
      <c r="AV627" t="s">
        <v>3898</v>
      </c>
      <c r="AW627">
        <v>2</v>
      </c>
      <c r="AX627">
        <v>0</v>
      </c>
    </row>
    <row r="628" spans="1:50" x14ac:dyDescent="0.25">
      <c r="A628" t="s">
        <v>4619</v>
      </c>
      <c r="B628" t="s">
        <v>4355</v>
      </c>
      <c r="C628" t="s">
        <v>3890</v>
      </c>
      <c r="D628">
        <v>30.448</v>
      </c>
      <c r="E628">
        <v>30.39</v>
      </c>
      <c r="F628" s="2">
        <v>2.8999999999999998E-3</v>
      </c>
      <c r="G628" t="s">
        <v>1960</v>
      </c>
      <c r="H628" t="s">
        <v>393</v>
      </c>
      <c r="I628">
        <v>440121.94949999999</v>
      </c>
      <c r="J628">
        <v>1827602.8171999999</v>
      </c>
      <c r="K628">
        <v>440121.94949999999</v>
      </c>
      <c r="L628">
        <v>1827582.7811</v>
      </c>
      <c r="M628" t="s">
        <v>56</v>
      </c>
      <c r="N628" t="s">
        <v>57</v>
      </c>
      <c r="O628">
        <v>900</v>
      </c>
      <c r="P628" t="s">
        <v>3918</v>
      </c>
      <c r="Q628" t="s">
        <v>3930</v>
      </c>
      <c r="R628" t="s">
        <v>395</v>
      </c>
      <c r="S628" t="s">
        <v>571</v>
      </c>
      <c r="T628" t="s">
        <v>396</v>
      </c>
      <c r="U628">
        <v>-0.1971</v>
      </c>
      <c r="V628">
        <v>-0.1971</v>
      </c>
      <c r="W628" t="s">
        <v>52</v>
      </c>
      <c r="X628">
        <v>0.82599999999999996</v>
      </c>
      <c r="Y628">
        <v>0.8296</v>
      </c>
      <c r="Z628">
        <v>0.82599999999999996</v>
      </c>
      <c r="AA628">
        <v>0.8296</v>
      </c>
      <c r="AB628">
        <v>20.036100000000001</v>
      </c>
      <c r="AC628">
        <v>20.036200000000001</v>
      </c>
      <c r="AD628">
        <v>18.8398</v>
      </c>
      <c r="AE628">
        <v>18.8398</v>
      </c>
      <c r="AF628" t="s">
        <v>2233</v>
      </c>
      <c r="AG628" t="s">
        <v>2233</v>
      </c>
      <c r="AH628" t="s">
        <v>3894</v>
      </c>
      <c r="AI628" t="s">
        <v>3894</v>
      </c>
      <c r="AJ628" t="s">
        <v>3895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3896</v>
      </c>
      <c r="AT628" t="s">
        <v>3890</v>
      </c>
      <c r="AU628" t="s">
        <v>4357</v>
      </c>
      <c r="AV628" t="s">
        <v>3898</v>
      </c>
      <c r="AW628">
        <v>2</v>
      </c>
      <c r="AX628">
        <v>0</v>
      </c>
    </row>
    <row r="629" spans="1:50" x14ac:dyDescent="0.25">
      <c r="A629" t="s">
        <v>4620</v>
      </c>
      <c r="B629" t="s">
        <v>4004</v>
      </c>
      <c r="C629" t="s">
        <v>3890</v>
      </c>
      <c r="D629">
        <v>28.428999999999998</v>
      </c>
      <c r="E629">
        <v>28.373000000000001</v>
      </c>
      <c r="F629" s="2">
        <v>2.8E-3</v>
      </c>
      <c r="G629" t="s">
        <v>3009</v>
      </c>
      <c r="H629" t="s">
        <v>3012</v>
      </c>
      <c r="I629">
        <v>440450.4252</v>
      </c>
      <c r="J629">
        <v>1827703.7145</v>
      </c>
      <c r="K629">
        <v>440470.4252</v>
      </c>
      <c r="L629">
        <v>1827703.7145</v>
      </c>
      <c r="M629" t="s">
        <v>56</v>
      </c>
      <c r="N629" t="s">
        <v>57</v>
      </c>
      <c r="O629">
        <v>600</v>
      </c>
      <c r="P629" t="s">
        <v>58</v>
      </c>
      <c r="Q629" t="s">
        <v>3892</v>
      </c>
      <c r="R629" t="s">
        <v>1056</v>
      </c>
      <c r="S629" t="s">
        <v>428</v>
      </c>
      <c r="T629" t="s">
        <v>432</v>
      </c>
      <c r="U629">
        <v>0</v>
      </c>
      <c r="V629">
        <v>0</v>
      </c>
      <c r="W629" t="s">
        <v>52</v>
      </c>
      <c r="X629">
        <v>0.87780000000000002</v>
      </c>
      <c r="Y629">
        <v>0.88070000000000004</v>
      </c>
      <c r="Z629">
        <v>0.88070000000000004</v>
      </c>
      <c r="AA629">
        <v>0.88019999999999998</v>
      </c>
      <c r="AB629">
        <v>20</v>
      </c>
      <c r="AC629">
        <v>20.0001</v>
      </c>
      <c r="AD629">
        <v>18.802399999999999</v>
      </c>
      <c r="AE629">
        <v>18.802499999999998</v>
      </c>
      <c r="AF629" t="s">
        <v>183</v>
      </c>
      <c r="AG629" t="s">
        <v>183</v>
      </c>
      <c r="AH629" t="s">
        <v>3894</v>
      </c>
      <c r="AI629" t="s">
        <v>3894</v>
      </c>
      <c r="AJ629" t="s">
        <v>3895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3896</v>
      </c>
      <c r="AT629" t="s">
        <v>3890</v>
      </c>
      <c r="AU629" t="s">
        <v>4006</v>
      </c>
      <c r="AV629" t="s">
        <v>3898</v>
      </c>
      <c r="AW629">
        <v>2</v>
      </c>
      <c r="AX629">
        <v>0</v>
      </c>
    </row>
    <row r="630" spans="1:50" x14ac:dyDescent="0.25">
      <c r="A630" t="s">
        <v>4621</v>
      </c>
      <c r="B630" t="s">
        <v>3889</v>
      </c>
      <c r="C630" t="s">
        <v>3890</v>
      </c>
      <c r="D630">
        <v>30.561</v>
      </c>
      <c r="E630">
        <v>30.504999999999999</v>
      </c>
      <c r="F630" s="2">
        <v>2.8E-3</v>
      </c>
      <c r="G630" t="s">
        <v>3075</v>
      </c>
      <c r="H630" t="s">
        <v>3079</v>
      </c>
      <c r="I630">
        <v>440323.97489999997</v>
      </c>
      <c r="J630">
        <v>1827315.1608</v>
      </c>
      <c r="K630">
        <v>440323.97489999997</v>
      </c>
      <c r="L630">
        <v>1827335.1608</v>
      </c>
      <c r="M630" t="s">
        <v>56</v>
      </c>
      <c r="N630" t="s">
        <v>57</v>
      </c>
      <c r="O630">
        <v>450</v>
      </c>
      <c r="P630" t="s">
        <v>3891</v>
      </c>
      <c r="Q630" t="s">
        <v>3892</v>
      </c>
      <c r="R630" t="s">
        <v>3068</v>
      </c>
      <c r="S630" t="s">
        <v>3077</v>
      </c>
      <c r="T630" t="s">
        <v>3081</v>
      </c>
      <c r="U630">
        <v>-0.1032</v>
      </c>
      <c r="V630">
        <v>-8.0299999999999996E-2</v>
      </c>
      <c r="W630" t="s">
        <v>52</v>
      </c>
      <c r="X630">
        <v>0.89490000000000003</v>
      </c>
      <c r="Y630">
        <v>0.89539999999999997</v>
      </c>
      <c r="Z630">
        <v>0.89539999999999997</v>
      </c>
      <c r="AA630">
        <v>0.89490000000000003</v>
      </c>
      <c r="AB630">
        <v>20</v>
      </c>
      <c r="AC630">
        <v>20.0001</v>
      </c>
      <c r="AD630">
        <v>18.802</v>
      </c>
      <c r="AE630">
        <v>18.802</v>
      </c>
      <c r="AF630" t="s">
        <v>67</v>
      </c>
      <c r="AG630" t="s">
        <v>67</v>
      </c>
      <c r="AH630" t="s">
        <v>3894</v>
      </c>
      <c r="AI630" t="s">
        <v>3894</v>
      </c>
      <c r="AJ630" t="s">
        <v>3895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3896</v>
      </c>
      <c r="AT630" t="s">
        <v>3890</v>
      </c>
      <c r="AU630" t="s">
        <v>3897</v>
      </c>
      <c r="AV630" t="s">
        <v>3898</v>
      </c>
      <c r="AW630">
        <v>2</v>
      </c>
      <c r="AX630">
        <v>0</v>
      </c>
    </row>
    <row r="631" spans="1:50" x14ac:dyDescent="0.25">
      <c r="A631" t="s">
        <v>4622</v>
      </c>
      <c r="B631" t="s">
        <v>3889</v>
      </c>
      <c r="C631" t="s">
        <v>3890</v>
      </c>
      <c r="D631">
        <v>30.504999999999999</v>
      </c>
      <c r="E631">
        <v>30.448</v>
      </c>
      <c r="F631" s="2">
        <v>2.8999999999999998E-3</v>
      </c>
      <c r="G631" t="s">
        <v>3402</v>
      </c>
      <c r="H631" t="s">
        <v>3404</v>
      </c>
      <c r="I631">
        <v>440314.27490000002</v>
      </c>
      <c r="J631">
        <v>1827335.1608</v>
      </c>
      <c r="K631">
        <v>440314.27490000002</v>
      </c>
      <c r="L631">
        <v>1827355.1608</v>
      </c>
      <c r="M631" t="s">
        <v>56</v>
      </c>
      <c r="N631" t="s">
        <v>57</v>
      </c>
      <c r="O631">
        <v>450</v>
      </c>
      <c r="P631" t="s">
        <v>3891</v>
      </c>
      <c r="Q631" t="s">
        <v>3892</v>
      </c>
      <c r="R631" t="s">
        <v>343</v>
      </c>
      <c r="S631" t="s">
        <v>3081</v>
      </c>
      <c r="T631" t="s">
        <v>3085</v>
      </c>
      <c r="U631">
        <v>7.4999999999999997E-2</v>
      </c>
      <c r="V631">
        <v>7.4999999999999997E-2</v>
      </c>
      <c r="W631" t="s">
        <v>52</v>
      </c>
      <c r="X631">
        <v>0.89490000000000003</v>
      </c>
      <c r="Y631">
        <v>0.89539999999999997</v>
      </c>
      <c r="Z631">
        <v>0.89490000000000003</v>
      </c>
      <c r="AA631">
        <v>0.89539999999999997</v>
      </c>
      <c r="AB631">
        <v>20</v>
      </c>
      <c r="AC631">
        <v>20.0001</v>
      </c>
      <c r="AD631">
        <v>18.802</v>
      </c>
      <c r="AE631">
        <v>18.802099999999999</v>
      </c>
      <c r="AF631" t="s">
        <v>67</v>
      </c>
      <c r="AG631" t="s">
        <v>67</v>
      </c>
      <c r="AH631" t="s">
        <v>3894</v>
      </c>
      <c r="AI631" t="s">
        <v>3894</v>
      </c>
      <c r="AJ631" t="s">
        <v>3895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3896</v>
      </c>
      <c r="AT631" t="s">
        <v>3890</v>
      </c>
      <c r="AU631" t="s">
        <v>3897</v>
      </c>
      <c r="AV631" t="s">
        <v>3898</v>
      </c>
      <c r="AW631">
        <v>2</v>
      </c>
      <c r="AX631">
        <v>0</v>
      </c>
    </row>
    <row r="632" spans="1:50" x14ac:dyDescent="0.25">
      <c r="A632" t="s">
        <v>4623</v>
      </c>
      <c r="B632" t="s">
        <v>3889</v>
      </c>
      <c r="C632" t="s">
        <v>3890</v>
      </c>
      <c r="D632">
        <v>30.504999999999999</v>
      </c>
      <c r="E632">
        <v>30.448</v>
      </c>
      <c r="F632" s="2">
        <v>2.8999999999999998E-3</v>
      </c>
      <c r="G632" t="s">
        <v>3079</v>
      </c>
      <c r="H632" t="s">
        <v>3083</v>
      </c>
      <c r="I632">
        <v>440323.97489999997</v>
      </c>
      <c r="J632">
        <v>1827335.1608</v>
      </c>
      <c r="K632">
        <v>440323.97489999997</v>
      </c>
      <c r="L632">
        <v>1827355.1608</v>
      </c>
      <c r="M632" t="s">
        <v>56</v>
      </c>
      <c r="N632" t="s">
        <v>57</v>
      </c>
      <c r="O632">
        <v>450</v>
      </c>
      <c r="P632" t="s">
        <v>3891</v>
      </c>
      <c r="Q632" t="s">
        <v>3892</v>
      </c>
      <c r="R632" t="s">
        <v>3068</v>
      </c>
      <c r="S632" t="s">
        <v>3081</v>
      </c>
      <c r="T632" t="s">
        <v>3085</v>
      </c>
      <c r="U632">
        <v>-8.0299999999999996E-2</v>
      </c>
      <c r="V632">
        <v>-5.74E-2</v>
      </c>
      <c r="W632" t="s">
        <v>52</v>
      </c>
      <c r="X632">
        <v>0.89490000000000003</v>
      </c>
      <c r="Y632">
        <v>0.89539999999999997</v>
      </c>
      <c r="Z632">
        <v>0.89490000000000003</v>
      </c>
      <c r="AA632">
        <v>0.89539999999999997</v>
      </c>
      <c r="AB632">
        <v>20</v>
      </c>
      <c r="AC632">
        <v>20.0001</v>
      </c>
      <c r="AD632">
        <v>18.802</v>
      </c>
      <c r="AE632">
        <v>18.802099999999999</v>
      </c>
      <c r="AF632" t="s">
        <v>67</v>
      </c>
      <c r="AG632" t="s">
        <v>67</v>
      </c>
      <c r="AH632" t="s">
        <v>3894</v>
      </c>
      <c r="AI632" t="s">
        <v>3894</v>
      </c>
      <c r="AJ632" t="s">
        <v>3895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3896</v>
      </c>
      <c r="AT632" t="s">
        <v>3890</v>
      </c>
      <c r="AU632" t="s">
        <v>3897</v>
      </c>
      <c r="AV632" t="s">
        <v>3898</v>
      </c>
      <c r="AW632">
        <v>2</v>
      </c>
      <c r="AX632">
        <v>0</v>
      </c>
    </row>
    <row r="633" spans="1:50" x14ac:dyDescent="0.25">
      <c r="A633" t="s">
        <v>4624</v>
      </c>
      <c r="B633" t="s">
        <v>3889</v>
      </c>
      <c r="C633" t="s">
        <v>3890</v>
      </c>
      <c r="D633">
        <v>30.617999999999999</v>
      </c>
      <c r="E633">
        <v>30.561</v>
      </c>
      <c r="F633" s="2">
        <v>2.8E-3</v>
      </c>
      <c r="G633" t="s">
        <v>3071</v>
      </c>
      <c r="H633" t="s">
        <v>3075</v>
      </c>
      <c r="I633">
        <v>440323.97489999997</v>
      </c>
      <c r="J633">
        <v>1827295.1608</v>
      </c>
      <c r="K633">
        <v>440323.97489999997</v>
      </c>
      <c r="L633">
        <v>1827315.1608</v>
      </c>
      <c r="M633" t="s">
        <v>56</v>
      </c>
      <c r="N633" t="s">
        <v>57</v>
      </c>
      <c r="O633">
        <v>450</v>
      </c>
      <c r="P633" t="s">
        <v>3891</v>
      </c>
      <c r="Q633" t="s">
        <v>3892</v>
      </c>
      <c r="R633" t="s">
        <v>3068</v>
      </c>
      <c r="S633" t="s">
        <v>3073</v>
      </c>
      <c r="T633" t="s">
        <v>3077</v>
      </c>
      <c r="U633">
        <v>-0.12620000000000001</v>
      </c>
      <c r="V633">
        <v>-0.1032</v>
      </c>
      <c r="W633" t="s">
        <v>52</v>
      </c>
      <c r="X633">
        <v>0.89480000000000004</v>
      </c>
      <c r="Y633">
        <v>0.89539999999999997</v>
      </c>
      <c r="Z633">
        <v>0.89480000000000004</v>
      </c>
      <c r="AA633">
        <v>0.89539999999999997</v>
      </c>
      <c r="AB633">
        <v>20</v>
      </c>
      <c r="AC633">
        <v>20.0001</v>
      </c>
      <c r="AD633">
        <v>18.802</v>
      </c>
      <c r="AE633">
        <v>18.802099999999999</v>
      </c>
      <c r="AF633" t="s">
        <v>67</v>
      </c>
      <c r="AG633" t="s">
        <v>67</v>
      </c>
      <c r="AH633" t="s">
        <v>3894</v>
      </c>
      <c r="AI633" t="s">
        <v>3894</v>
      </c>
      <c r="AJ633" t="s">
        <v>3895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3896</v>
      </c>
      <c r="AT633" t="s">
        <v>3890</v>
      </c>
      <c r="AU633" t="s">
        <v>3897</v>
      </c>
      <c r="AV633" t="s">
        <v>3898</v>
      </c>
      <c r="AW633">
        <v>2</v>
      </c>
      <c r="AX633">
        <v>0</v>
      </c>
    </row>
    <row r="634" spans="1:50" x14ac:dyDescent="0.25">
      <c r="A634" t="s">
        <v>3399</v>
      </c>
      <c r="B634" t="s">
        <v>3889</v>
      </c>
      <c r="C634" t="s">
        <v>3890</v>
      </c>
      <c r="D634">
        <v>30.673999999999999</v>
      </c>
      <c r="E634">
        <v>30.617999999999999</v>
      </c>
      <c r="F634" s="2">
        <v>2.8E-3</v>
      </c>
      <c r="G634" t="s">
        <v>3398</v>
      </c>
      <c r="H634" t="s">
        <v>3400</v>
      </c>
      <c r="I634">
        <v>440314.27490000002</v>
      </c>
      <c r="J634">
        <v>1827275.1608</v>
      </c>
      <c r="K634">
        <v>440314.27490000002</v>
      </c>
      <c r="L634">
        <v>1827295.1608</v>
      </c>
      <c r="M634" t="s">
        <v>56</v>
      </c>
      <c r="N634" t="s">
        <v>57</v>
      </c>
      <c r="O634">
        <v>450</v>
      </c>
      <c r="P634" t="s">
        <v>3891</v>
      </c>
      <c r="Q634" t="s">
        <v>3892</v>
      </c>
      <c r="R634" t="s">
        <v>343</v>
      </c>
      <c r="S634" t="s">
        <v>3069</v>
      </c>
      <c r="T634" t="s">
        <v>3073</v>
      </c>
      <c r="U634">
        <v>7.4999999999999997E-2</v>
      </c>
      <c r="V634">
        <v>7.4999999999999997E-2</v>
      </c>
      <c r="W634" t="s">
        <v>52</v>
      </c>
      <c r="X634">
        <v>0.89480000000000004</v>
      </c>
      <c r="Y634">
        <v>0.89529999999999998</v>
      </c>
      <c r="Z634">
        <v>0.89529999999999998</v>
      </c>
      <c r="AA634">
        <v>0.89480000000000004</v>
      </c>
      <c r="AB634">
        <v>20</v>
      </c>
      <c r="AC634">
        <v>20.0001</v>
      </c>
      <c r="AD634">
        <v>18.802</v>
      </c>
      <c r="AE634">
        <v>18.802</v>
      </c>
      <c r="AF634" t="s">
        <v>67</v>
      </c>
      <c r="AG634" t="s">
        <v>67</v>
      </c>
      <c r="AH634" t="s">
        <v>3894</v>
      </c>
      <c r="AI634" t="s">
        <v>3894</v>
      </c>
      <c r="AJ634" t="s">
        <v>3895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3896</v>
      </c>
      <c r="AT634" t="s">
        <v>3890</v>
      </c>
      <c r="AU634" t="s">
        <v>3897</v>
      </c>
      <c r="AV634" t="s">
        <v>3898</v>
      </c>
      <c r="AW634">
        <v>2</v>
      </c>
      <c r="AX634">
        <v>0</v>
      </c>
    </row>
    <row r="635" spans="1:50" x14ac:dyDescent="0.25">
      <c r="A635" t="s">
        <v>3067</v>
      </c>
      <c r="B635" t="s">
        <v>3889</v>
      </c>
      <c r="C635" t="s">
        <v>3890</v>
      </c>
      <c r="D635">
        <v>30.673999999999999</v>
      </c>
      <c r="E635">
        <v>30.617999999999999</v>
      </c>
      <c r="F635" s="2">
        <v>2.8E-3</v>
      </c>
      <c r="G635" t="s">
        <v>3066</v>
      </c>
      <c r="H635" t="s">
        <v>3071</v>
      </c>
      <c r="I635">
        <v>440323.97489999997</v>
      </c>
      <c r="J635">
        <v>1827275.1608</v>
      </c>
      <c r="K635">
        <v>440323.97489999997</v>
      </c>
      <c r="L635">
        <v>1827295.1608</v>
      </c>
      <c r="M635" t="s">
        <v>56</v>
      </c>
      <c r="N635" t="s">
        <v>57</v>
      </c>
      <c r="O635">
        <v>450</v>
      </c>
      <c r="P635" t="s">
        <v>3891</v>
      </c>
      <c r="Q635" t="s">
        <v>3892</v>
      </c>
      <c r="R635" t="s">
        <v>3068</v>
      </c>
      <c r="S635" t="s">
        <v>3069</v>
      </c>
      <c r="T635" t="s">
        <v>3073</v>
      </c>
      <c r="U635">
        <v>-0.14910000000000001</v>
      </c>
      <c r="V635">
        <v>-0.12620000000000001</v>
      </c>
      <c r="W635" t="s">
        <v>52</v>
      </c>
      <c r="X635">
        <v>0.89480000000000004</v>
      </c>
      <c r="Y635">
        <v>0.89529999999999998</v>
      </c>
      <c r="Z635">
        <v>0.89529999999999998</v>
      </c>
      <c r="AA635">
        <v>0.89480000000000004</v>
      </c>
      <c r="AB635">
        <v>20</v>
      </c>
      <c r="AC635">
        <v>20.0001</v>
      </c>
      <c r="AD635">
        <v>18.802</v>
      </c>
      <c r="AE635">
        <v>18.802</v>
      </c>
      <c r="AF635" t="s">
        <v>67</v>
      </c>
      <c r="AG635" t="s">
        <v>67</v>
      </c>
      <c r="AH635" t="s">
        <v>3894</v>
      </c>
      <c r="AI635" t="s">
        <v>3894</v>
      </c>
      <c r="AJ635" t="s">
        <v>3895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3896</v>
      </c>
      <c r="AT635" t="s">
        <v>3890</v>
      </c>
      <c r="AU635" t="s">
        <v>3897</v>
      </c>
      <c r="AV635" t="s">
        <v>3898</v>
      </c>
      <c r="AW635">
        <v>2</v>
      </c>
      <c r="AX635">
        <v>0</v>
      </c>
    </row>
    <row r="636" spans="1:50" x14ac:dyDescent="0.25">
      <c r="A636" t="s">
        <v>4625</v>
      </c>
      <c r="B636" t="s">
        <v>3963</v>
      </c>
      <c r="C636" t="s">
        <v>3890</v>
      </c>
      <c r="D636">
        <v>30.4</v>
      </c>
      <c r="E636">
        <v>30.344000000000001</v>
      </c>
      <c r="F636" s="2">
        <v>2.8E-3</v>
      </c>
      <c r="G636" t="s">
        <v>887</v>
      </c>
      <c r="H636" t="s">
        <v>890</v>
      </c>
      <c r="I636">
        <v>440248.7499</v>
      </c>
      <c r="J636">
        <v>1827479.4838</v>
      </c>
      <c r="K636">
        <v>440248.7499</v>
      </c>
      <c r="L636">
        <v>1827499.4838</v>
      </c>
      <c r="M636" t="s">
        <v>56</v>
      </c>
      <c r="N636" t="s">
        <v>57</v>
      </c>
      <c r="O636">
        <v>600</v>
      </c>
      <c r="P636" t="s">
        <v>3891</v>
      </c>
      <c r="Q636" t="s">
        <v>3892</v>
      </c>
      <c r="R636" t="s">
        <v>881</v>
      </c>
      <c r="S636" t="s">
        <v>448</v>
      </c>
      <c r="T636" t="s">
        <v>452</v>
      </c>
      <c r="U636">
        <v>7.4999999999999997E-2</v>
      </c>
      <c r="V636">
        <v>7.4999999999999997E-2</v>
      </c>
      <c r="W636" t="s">
        <v>52</v>
      </c>
      <c r="X636">
        <v>0.88060000000000005</v>
      </c>
      <c r="Y636">
        <v>0.89529999999999998</v>
      </c>
      <c r="Z636">
        <v>0.89529999999999998</v>
      </c>
      <c r="AA636">
        <v>0.88060000000000005</v>
      </c>
      <c r="AB636">
        <v>20</v>
      </c>
      <c r="AC636">
        <v>20.0001</v>
      </c>
      <c r="AD636">
        <v>18.802399999999999</v>
      </c>
      <c r="AE636">
        <v>18.802499999999998</v>
      </c>
      <c r="AF636" t="s">
        <v>67</v>
      </c>
      <c r="AG636" t="s">
        <v>67</v>
      </c>
      <c r="AH636" t="s">
        <v>3894</v>
      </c>
      <c r="AI636" t="s">
        <v>3894</v>
      </c>
      <c r="AJ636" t="s">
        <v>3895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3896</v>
      </c>
      <c r="AT636" t="s">
        <v>3890</v>
      </c>
      <c r="AU636" t="s">
        <v>3964</v>
      </c>
      <c r="AV636" t="s">
        <v>3898</v>
      </c>
      <c r="AW636">
        <v>2</v>
      </c>
      <c r="AX636">
        <v>0</v>
      </c>
    </row>
    <row r="637" spans="1:50" x14ac:dyDescent="0.25">
      <c r="A637" t="s">
        <v>4626</v>
      </c>
      <c r="B637" t="s">
        <v>3889</v>
      </c>
      <c r="C637" t="s">
        <v>3890</v>
      </c>
      <c r="D637">
        <v>30.617999999999999</v>
      </c>
      <c r="E637">
        <v>30.562000000000001</v>
      </c>
      <c r="F637" s="2">
        <v>2.8E-3</v>
      </c>
      <c r="G637" t="s">
        <v>3400</v>
      </c>
      <c r="H637" t="s">
        <v>341</v>
      </c>
      <c r="I637">
        <v>440314.27490000002</v>
      </c>
      <c r="J637">
        <v>1827295.1608</v>
      </c>
      <c r="K637">
        <v>440314.27490000002</v>
      </c>
      <c r="L637">
        <v>1827315.3658</v>
      </c>
      <c r="M637" t="s">
        <v>56</v>
      </c>
      <c r="N637" t="s">
        <v>57</v>
      </c>
      <c r="O637">
        <v>450</v>
      </c>
      <c r="P637" t="s">
        <v>3891</v>
      </c>
      <c r="Q637" t="s">
        <v>3892</v>
      </c>
      <c r="R637" t="s">
        <v>343</v>
      </c>
      <c r="S637" t="s">
        <v>3073</v>
      </c>
      <c r="T637" t="s">
        <v>344</v>
      </c>
      <c r="U637">
        <v>7.4999999999999997E-2</v>
      </c>
      <c r="V637">
        <v>7.4999999999999997E-2</v>
      </c>
      <c r="W637" t="s">
        <v>52</v>
      </c>
      <c r="X637">
        <v>0.89380000000000004</v>
      </c>
      <c r="Y637">
        <v>0.89480000000000004</v>
      </c>
      <c r="Z637">
        <v>0.89480000000000004</v>
      </c>
      <c r="AA637">
        <v>0.89380000000000004</v>
      </c>
      <c r="AB637">
        <v>20.204999999999998</v>
      </c>
      <c r="AC637">
        <v>20.205100000000002</v>
      </c>
      <c r="AD637">
        <v>19.006900000000002</v>
      </c>
      <c r="AE637">
        <v>19.007000000000001</v>
      </c>
      <c r="AF637" t="s">
        <v>67</v>
      </c>
      <c r="AG637" t="s">
        <v>67</v>
      </c>
      <c r="AH637" t="s">
        <v>3894</v>
      </c>
      <c r="AI637" t="s">
        <v>3894</v>
      </c>
      <c r="AJ637" t="s">
        <v>3895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3896</v>
      </c>
      <c r="AT637" t="s">
        <v>3890</v>
      </c>
      <c r="AU637" t="s">
        <v>3897</v>
      </c>
      <c r="AV637" t="s">
        <v>3898</v>
      </c>
      <c r="AW637">
        <v>2</v>
      </c>
      <c r="AX637">
        <v>0</v>
      </c>
    </row>
    <row r="638" spans="1:50" x14ac:dyDescent="0.25">
      <c r="A638" t="s">
        <v>4627</v>
      </c>
      <c r="B638" t="s">
        <v>4355</v>
      </c>
      <c r="C638" t="s">
        <v>3890</v>
      </c>
      <c r="D638">
        <v>30.611000000000001</v>
      </c>
      <c r="E638">
        <v>30.556000000000001</v>
      </c>
      <c r="F638" s="2">
        <v>2.7000000000000001E-3</v>
      </c>
      <c r="G638" t="s">
        <v>1950</v>
      </c>
      <c r="H638" t="s">
        <v>1954</v>
      </c>
      <c r="I638">
        <v>440121.94949999999</v>
      </c>
      <c r="J638">
        <v>1827662.8842</v>
      </c>
      <c r="K638">
        <v>440121.94949999999</v>
      </c>
      <c r="L638">
        <v>1827642.8171999999</v>
      </c>
      <c r="M638" t="s">
        <v>56</v>
      </c>
      <c r="N638" t="s">
        <v>57</v>
      </c>
      <c r="O638">
        <v>900</v>
      </c>
      <c r="P638" t="s">
        <v>3918</v>
      </c>
      <c r="Q638" t="s">
        <v>3930</v>
      </c>
      <c r="R638" t="s">
        <v>395</v>
      </c>
      <c r="S638" t="s">
        <v>1952</v>
      </c>
      <c r="T638" t="s">
        <v>1495</v>
      </c>
      <c r="U638">
        <v>-0.1971</v>
      </c>
      <c r="V638">
        <v>-0.1971</v>
      </c>
      <c r="W638" t="s">
        <v>52</v>
      </c>
      <c r="X638">
        <v>0.82620000000000005</v>
      </c>
      <c r="Y638">
        <v>0.82669999999999999</v>
      </c>
      <c r="Z638">
        <v>0.82620000000000005</v>
      </c>
      <c r="AA638">
        <v>0.82669999999999999</v>
      </c>
      <c r="AB638">
        <v>20.067</v>
      </c>
      <c r="AC638">
        <v>20.067</v>
      </c>
      <c r="AD638">
        <v>18.8704</v>
      </c>
      <c r="AE638">
        <v>18.8705</v>
      </c>
      <c r="AF638" t="s">
        <v>2233</v>
      </c>
      <c r="AG638" t="s">
        <v>2233</v>
      </c>
      <c r="AH638" t="s">
        <v>3894</v>
      </c>
      <c r="AI638" t="s">
        <v>3894</v>
      </c>
      <c r="AJ638" t="s">
        <v>3895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3896</v>
      </c>
      <c r="AT638" t="s">
        <v>3890</v>
      </c>
      <c r="AU638" t="s">
        <v>4357</v>
      </c>
      <c r="AV638" t="s">
        <v>3898</v>
      </c>
      <c r="AW638">
        <v>2</v>
      </c>
      <c r="AX638">
        <v>0</v>
      </c>
    </row>
    <row r="639" spans="1:50" x14ac:dyDescent="0.25">
      <c r="A639" t="s">
        <v>4628</v>
      </c>
      <c r="B639" t="s">
        <v>3963</v>
      </c>
      <c r="C639" t="s">
        <v>3890</v>
      </c>
      <c r="D639">
        <v>29.920999999999999</v>
      </c>
      <c r="E639">
        <v>29.873999999999999</v>
      </c>
      <c r="F639" s="2">
        <v>2.3999999999999998E-3</v>
      </c>
      <c r="G639" t="s">
        <v>1159</v>
      </c>
      <c r="H639" t="s">
        <v>1162</v>
      </c>
      <c r="I639">
        <v>440248.7499</v>
      </c>
      <c r="J639">
        <v>1827672.9</v>
      </c>
      <c r="K639">
        <v>440248.7499</v>
      </c>
      <c r="L639">
        <v>1827692.8644999999</v>
      </c>
      <c r="M639" t="s">
        <v>56</v>
      </c>
      <c r="N639" t="s">
        <v>57</v>
      </c>
      <c r="O639">
        <v>600</v>
      </c>
      <c r="P639" t="s">
        <v>3891</v>
      </c>
      <c r="Q639" t="s">
        <v>3892</v>
      </c>
      <c r="R639" t="s">
        <v>1087</v>
      </c>
      <c r="S639" t="s">
        <v>1140</v>
      </c>
      <c r="T639" t="s">
        <v>4629</v>
      </c>
      <c r="U639">
        <v>7.4999999999999997E-2</v>
      </c>
      <c r="V639">
        <v>7.4999999999999997E-2</v>
      </c>
      <c r="W639" t="s">
        <v>52</v>
      </c>
      <c r="X639">
        <v>0.85299999999999998</v>
      </c>
      <c r="Y639">
        <v>1.0049999999999999</v>
      </c>
      <c r="Z639">
        <v>0.89610000000000001</v>
      </c>
      <c r="AA639">
        <v>0.86819999999999997</v>
      </c>
      <c r="AB639">
        <v>20.014700000000001</v>
      </c>
      <c r="AC639">
        <v>20.014700000000001</v>
      </c>
      <c r="AD639">
        <v>19.041499999999999</v>
      </c>
      <c r="AE639">
        <v>19.041599999999999</v>
      </c>
      <c r="AF639" t="s">
        <v>67</v>
      </c>
      <c r="AG639" t="s">
        <v>67</v>
      </c>
      <c r="AH639" t="s">
        <v>3894</v>
      </c>
      <c r="AI639" t="s">
        <v>3894</v>
      </c>
      <c r="AJ639" t="s">
        <v>3895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3896</v>
      </c>
      <c r="AT639" t="s">
        <v>3890</v>
      </c>
      <c r="AU639" t="s">
        <v>3964</v>
      </c>
      <c r="AV639" t="s">
        <v>3898</v>
      </c>
      <c r="AW639">
        <v>2</v>
      </c>
      <c r="AX639">
        <v>0</v>
      </c>
    </row>
    <row r="640" spans="1:50" x14ac:dyDescent="0.25">
      <c r="A640" t="s">
        <v>1111</v>
      </c>
      <c r="B640" t="s">
        <v>3889</v>
      </c>
      <c r="C640" t="s">
        <v>3890</v>
      </c>
      <c r="D640">
        <v>29.495000000000001</v>
      </c>
      <c r="E640">
        <v>29.44</v>
      </c>
      <c r="F640" s="2">
        <v>2.8E-3</v>
      </c>
      <c r="G640" t="s">
        <v>1110</v>
      </c>
      <c r="H640" t="s">
        <v>1115</v>
      </c>
      <c r="I640">
        <v>440310.4252</v>
      </c>
      <c r="J640">
        <v>1827692.6895000001</v>
      </c>
      <c r="K640">
        <v>440290.4252</v>
      </c>
      <c r="L640">
        <v>1827692.6895000001</v>
      </c>
      <c r="M640" t="s">
        <v>56</v>
      </c>
      <c r="N640" t="s">
        <v>57</v>
      </c>
      <c r="O640">
        <v>450</v>
      </c>
      <c r="P640" t="s">
        <v>3891</v>
      </c>
      <c r="Q640" t="s">
        <v>3892</v>
      </c>
      <c r="R640" t="s">
        <v>1112</v>
      </c>
      <c r="S640" t="s">
        <v>1113</v>
      </c>
      <c r="T640" t="s">
        <v>1117</v>
      </c>
      <c r="U640">
        <v>-0.15190000000000001</v>
      </c>
      <c r="V640">
        <v>-0.15679999999999999</v>
      </c>
      <c r="W640" t="s">
        <v>52</v>
      </c>
      <c r="X640">
        <v>0.88039999999999996</v>
      </c>
      <c r="Y640">
        <v>1.1284000000000001</v>
      </c>
      <c r="Z640">
        <v>0.88039999999999996</v>
      </c>
      <c r="AA640">
        <v>1.1284000000000001</v>
      </c>
      <c r="AB640">
        <v>20</v>
      </c>
      <c r="AC640">
        <v>20.0001</v>
      </c>
      <c r="AD640">
        <v>18.8019</v>
      </c>
      <c r="AE640">
        <v>18.802</v>
      </c>
      <c r="AF640" t="s">
        <v>4630</v>
      </c>
      <c r="AG640" t="s">
        <v>4630</v>
      </c>
      <c r="AH640" t="s">
        <v>3894</v>
      </c>
      <c r="AI640" t="s">
        <v>3894</v>
      </c>
      <c r="AJ640" t="s">
        <v>3895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3896</v>
      </c>
      <c r="AT640" t="s">
        <v>3890</v>
      </c>
      <c r="AU640" t="s">
        <v>3897</v>
      </c>
      <c r="AV640" t="s">
        <v>3898</v>
      </c>
      <c r="AW640">
        <v>2</v>
      </c>
      <c r="AX640">
        <v>0</v>
      </c>
    </row>
    <row r="641" spans="1:50" x14ac:dyDescent="0.25">
      <c r="A641" t="s">
        <v>4631</v>
      </c>
      <c r="B641" t="s">
        <v>3933</v>
      </c>
      <c r="C641" t="s">
        <v>3890</v>
      </c>
      <c r="D641">
        <v>30.911000000000001</v>
      </c>
      <c r="E641">
        <v>30.856000000000002</v>
      </c>
      <c r="F641" s="2">
        <v>2.7000000000000001E-3</v>
      </c>
      <c r="G641" t="s">
        <v>2043</v>
      </c>
      <c r="H641" t="s">
        <v>2045</v>
      </c>
      <c r="I641">
        <v>440132.59950000001</v>
      </c>
      <c r="J641">
        <v>1827662.8171999999</v>
      </c>
      <c r="K641">
        <v>440132.59950000001</v>
      </c>
      <c r="L641">
        <v>1827642.8171999999</v>
      </c>
      <c r="M641" t="s">
        <v>56</v>
      </c>
      <c r="N641" t="s">
        <v>57</v>
      </c>
      <c r="O641">
        <v>750</v>
      </c>
      <c r="P641" t="s">
        <v>58</v>
      </c>
      <c r="Q641" t="s">
        <v>3919</v>
      </c>
      <c r="R641" t="s">
        <v>1968</v>
      </c>
      <c r="S641" t="s">
        <v>1491</v>
      </c>
      <c r="T641" t="s">
        <v>1495</v>
      </c>
      <c r="U641">
        <v>-4.8500000000000001E-2</v>
      </c>
      <c r="V641">
        <v>-5.7599999999999998E-2</v>
      </c>
      <c r="W641" t="s">
        <v>52</v>
      </c>
      <c r="X641">
        <v>0.85299999999999998</v>
      </c>
      <c r="Y641">
        <v>0.85370000000000001</v>
      </c>
      <c r="Z641">
        <v>0.85299999999999998</v>
      </c>
      <c r="AA641">
        <v>0.85370000000000001</v>
      </c>
      <c r="AB641">
        <v>20</v>
      </c>
      <c r="AC641">
        <v>20.0001</v>
      </c>
      <c r="AD641">
        <v>18.802900000000001</v>
      </c>
      <c r="AE641">
        <v>18.803000000000001</v>
      </c>
      <c r="AF641" t="s">
        <v>2233</v>
      </c>
      <c r="AG641" t="s">
        <v>2233</v>
      </c>
      <c r="AH641" t="s">
        <v>3894</v>
      </c>
      <c r="AI641" t="s">
        <v>3894</v>
      </c>
      <c r="AJ641" t="s">
        <v>3895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3896</v>
      </c>
      <c r="AT641" t="s">
        <v>3890</v>
      </c>
      <c r="AU641" t="s">
        <v>3935</v>
      </c>
      <c r="AV641" t="s">
        <v>3898</v>
      </c>
      <c r="AW641">
        <v>2</v>
      </c>
      <c r="AX641">
        <v>0</v>
      </c>
    </row>
    <row r="642" spans="1:50" x14ac:dyDescent="0.25">
      <c r="A642" t="s">
        <v>4632</v>
      </c>
      <c r="B642" t="s">
        <v>3933</v>
      </c>
      <c r="C642" t="s">
        <v>3890</v>
      </c>
      <c r="D642">
        <v>30.856000000000002</v>
      </c>
      <c r="E642">
        <v>30.802</v>
      </c>
      <c r="F642" s="2">
        <v>2.7000000000000001E-3</v>
      </c>
      <c r="G642" t="s">
        <v>2045</v>
      </c>
      <c r="H642" t="s">
        <v>2048</v>
      </c>
      <c r="I642">
        <v>440132.59950000001</v>
      </c>
      <c r="J642">
        <v>1827642.8171999999</v>
      </c>
      <c r="K642">
        <v>440132.59950000001</v>
      </c>
      <c r="L642">
        <v>1827622.8171999999</v>
      </c>
      <c r="M642" t="s">
        <v>56</v>
      </c>
      <c r="N642" t="s">
        <v>57</v>
      </c>
      <c r="O642">
        <v>750</v>
      </c>
      <c r="P642" t="s">
        <v>58</v>
      </c>
      <c r="Q642" t="s">
        <v>3919</v>
      </c>
      <c r="R642" t="s">
        <v>1968</v>
      </c>
      <c r="S642" t="s">
        <v>1495</v>
      </c>
      <c r="T642" t="s">
        <v>575</v>
      </c>
      <c r="U642">
        <v>-5.7599999999999998E-2</v>
      </c>
      <c r="V642">
        <v>-6.6699999999999995E-2</v>
      </c>
      <c r="W642" t="s">
        <v>52</v>
      </c>
      <c r="X642">
        <v>0.85340000000000005</v>
      </c>
      <c r="Y642">
        <v>0.85370000000000001</v>
      </c>
      <c r="Z642">
        <v>0.85370000000000001</v>
      </c>
      <c r="AA642">
        <v>0.85340000000000005</v>
      </c>
      <c r="AB642">
        <v>20</v>
      </c>
      <c r="AC642">
        <v>20.0001</v>
      </c>
      <c r="AD642">
        <v>18.802800000000001</v>
      </c>
      <c r="AE642">
        <v>18.802900000000001</v>
      </c>
      <c r="AF642" t="s">
        <v>2233</v>
      </c>
      <c r="AG642" t="s">
        <v>2233</v>
      </c>
      <c r="AH642" t="s">
        <v>3894</v>
      </c>
      <c r="AI642" t="s">
        <v>3894</v>
      </c>
      <c r="AJ642" t="s">
        <v>3895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3896</v>
      </c>
      <c r="AT642" t="s">
        <v>3890</v>
      </c>
      <c r="AU642" t="s">
        <v>3935</v>
      </c>
      <c r="AV642" t="s">
        <v>3898</v>
      </c>
      <c r="AW642">
        <v>2</v>
      </c>
      <c r="AX642">
        <v>0</v>
      </c>
    </row>
    <row r="643" spans="1:50" x14ac:dyDescent="0.25">
      <c r="A643" t="s">
        <v>4633</v>
      </c>
      <c r="B643" t="s">
        <v>3933</v>
      </c>
      <c r="C643" t="s">
        <v>3890</v>
      </c>
      <c r="D643">
        <v>31.018999999999998</v>
      </c>
      <c r="E643">
        <v>30.965</v>
      </c>
      <c r="F643" s="2">
        <v>2.7000000000000001E-3</v>
      </c>
      <c r="G643" t="s">
        <v>2039</v>
      </c>
      <c r="H643" t="s">
        <v>2041</v>
      </c>
      <c r="I643">
        <v>440132.59950000001</v>
      </c>
      <c r="J643">
        <v>1827702.8171999999</v>
      </c>
      <c r="K643">
        <v>440132.59950000001</v>
      </c>
      <c r="L643">
        <v>1827682.8171999999</v>
      </c>
      <c r="M643" t="s">
        <v>56</v>
      </c>
      <c r="N643" t="s">
        <v>57</v>
      </c>
      <c r="O643">
        <v>750</v>
      </c>
      <c r="P643" t="s">
        <v>58</v>
      </c>
      <c r="Q643" t="s">
        <v>3919</v>
      </c>
      <c r="R643" t="s">
        <v>1968</v>
      </c>
      <c r="S643" t="s">
        <v>1483</v>
      </c>
      <c r="T643" t="s">
        <v>1487</v>
      </c>
      <c r="U643">
        <v>-3.0300000000000001E-2</v>
      </c>
      <c r="V643">
        <v>-3.9399999999999998E-2</v>
      </c>
      <c r="W643" t="s">
        <v>52</v>
      </c>
      <c r="X643">
        <v>0.85340000000000005</v>
      </c>
      <c r="Y643">
        <v>0.85370000000000001</v>
      </c>
      <c r="Z643">
        <v>0.85370000000000001</v>
      </c>
      <c r="AA643">
        <v>0.85340000000000005</v>
      </c>
      <c r="AB643">
        <v>20</v>
      </c>
      <c r="AC643">
        <v>20.0001</v>
      </c>
      <c r="AD643">
        <v>18.802800000000001</v>
      </c>
      <c r="AE643">
        <v>18.802900000000001</v>
      </c>
      <c r="AF643" t="s">
        <v>2233</v>
      </c>
      <c r="AG643" t="s">
        <v>2233</v>
      </c>
      <c r="AH643" t="s">
        <v>3894</v>
      </c>
      <c r="AI643" t="s">
        <v>3894</v>
      </c>
      <c r="AJ643" t="s">
        <v>3895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3896</v>
      </c>
      <c r="AT643" t="s">
        <v>3890</v>
      </c>
      <c r="AU643" t="s">
        <v>3935</v>
      </c>
      <c r="AV643" t="s">
        <v>3898</v>
      </c>
      <c r="AW643">
        <v>2</v>
      </c>
      <c r="AX643">
        <v>0</v>
      </c>
    </row>
    <row r="644" spans="1:50" x14ac:dyDescent="0.25">
      <c r="A644" t="s">
        <v>4634</v>
      </c>
      <c r="B644" t="s">
        <v>4355</v>
      </c>
      <c r="C644" t="s">
        <v>3890</v>
      </c>
      <c r="D644">
        <v>30.556000000000001</v>
      </c>
      <c r="E644">
        <v>30.501999999999999</v>
      </c>
      <c r="F644" s="2">
        <v>2.7000000000000001E-3</v>
      </c>
      <c r="G644" t="s">
        <v>1954</v>
      </c>
      <c r="H644" t="s">
        <v>1957</v>
      </c>
      <c r="I644">
        <v>440121.94949999999</v>
      </c>
      <c r="J644">
        <v>1827642.8171999999</v>
      </c>
      <c r="K644">
        <v>440121.94949999999</v>
      </c>
      <c r="L644">
        <v>1827622.8171999999</v>
      </c>
      <c r="M644" t="s">
        <v>56</v>
      </c>
      <c r="N644" t="s">
        <v>57</v>
      </c>
      <c r="O644">
        <v>900</v>
      </c>
      <c r="P644" t="s">
        <v>3918</v>
      </c>
      <c r="Q644" t="s">
        <v>3930</v>
      </c>
      <c r="R644" t="s">
        <v>395</v>
      </c>
      <c r="S644" t="s">
        <v>1495</v>
      </c>
      <c r="T644" t="s">
        <v>575</v>
      </c>
      <c r="U644">
        <v>-0.1971</v>
      </c>
      <c r="V644">
        <v>-0.1971</v>
      </c>
      <c r="W644" t="s">
        <v>52</v>
      </c>
      <c r="X644">
        <v>0.82640000000000002</v>
      </c>
      <c r="Y644">
        <v>0.82669999999999999</v>
      </c>
      <c r="Z644">
        <v>0.82669999999999999</v>
      </c>
      <c r="AA644">
        <v>0.82640000000000002</v>
      </c>
      <c r="AB644">
        <v>20</v>
      </c>
      <c r="AC644">
        <v>20.0001</v>
      </c>
      <c r="AD644">
        <v>18.8034</v>
      </c>
      <c r="AE644">
        <v>18.8034</v>
      </c>
      <c r="AF644" t="s">
        <v>2233</v>
      </c>
      <c r="AG644" t="s">
        <v>2233</v>
      </c>
      <c r="AH644" t="s">
        <v>3894</v>
      </c>
      <c r="AI644" t="s">
        <v>3894</v>
      </c>
      <c r="AJ644" t="s">
        <v>3895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3896</v>
      </c>
      <c r="AT644" t="s">
        <v>3890</v>
      </c>
      <c r="AU644" t="s">
        <v>4357</v>
      </c>
      <c r="AV644" t="s">
        <v>3898</v>
      </c>
      <c r="AW644">
        <v>2</v>
      </c>
      <c r="AX644">
        <v>0</v>
      </c>
    </row>
    <row r="645" spans="1:50" x14ac:dyDescent="0.25">
      <c r="A645" t="s">
        <v>4635</v>
      </c>
      <c r="B645" t="s">
        <v>4355</v>
      </c>
      <c r="C645" t="s">
        <v>3890</v>
      </c>
      <c r="D645">
        <v>30.719000000000001</v>
      </c>
      <c r="E645">
        <v>30.664999999999999</v>
      </c>
      <c r="F645" s="2">
        <v>2.7000000000000001E-3</v>
      </c>
      <c r="G645" t="s">
        <v>1945</v>
      </c>
      <c r="H645" t="s">
        <v>1948</v>
      </c>
      <c r="I645">
        <v>440121.94949999999</v>
      </c>
      <c r="J645">
        <v>1827702.8171999999</v>
      </c>
      <c r="K645">
        <v>440121.94949999999</v>
      </c>
      <c r="L645">
        <v>1827682.8171999999</v>
      </c>
      <c r="M645" t="s">
        <v>56</v>
      </c>
      <c r="N645" t="s">
        <v>57</v>
      </c>
      <c r="O645">
        <v>900</v>
      </c>
      <c r="P645" t="s">
        <v>3918</v>
      </c>
      <c r="Q645" t="s">
        <v>3930</v>
      </c>
      <c r="R645" t="s">
        <v>395</v>
      </c>
      <c r="S645" t="s">
        <v>1483</v>
      </c>
      <c r="T645" t="s">
        <v>1487</v>
      </c>
      <c r="U645">
        <v>-0.1971</v>
      </c>
      <c r="V645">
        <v>-0.1971</v>
      </c>
      <c r="W645" t="s">
        <v>52</v>
      </c>
      <c r="X645">
        <v>0.82640000000000002</v>
      </c>
      <c r="Y645">
        <v>0.82669999999999999</v>
      </c>
      <c r="Z645">
        <v>0.82669999999999999</v>
      </c>
      <c r="AA645">
        <v>0.82640000000000002</v>
      </c>
      <c r="AB645">
        <v>20</v>
      </c>
      <c r="AC645">
        <v>20.0001</v>
      </c>
      <c r="AD645">
        <v>18.8034</v>
      </c>
      <c r="AE645">
        <v>18.8034</v>
      </c>
      <c r="AF645" t="s">
        <v>2233</v>
      </c>
      <c r="AG645" t="s">
        <v>2233</v>
      </c>
      <c r="AH645" t="s">
        <v>3894</v>
      </c>
      <c r="AI645" t="s">
        <v>3894</v>
      </c>
      <c r="AJ645" t="s">
        <v>3895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3896</v>
      </c>
      <c r="AT645" t="s">
        <v>3890</v>
      </c>
      <c r="AU645" t="s">
        <v>4357</v>
      </c>
      <c r="AV645" t="s">
        <v>3898</v>
      </c>
      <c r="AW645">
        <v>2</v>
      </c>
      <c r="AX645">
        <v>0</v>
      </c>
    </row>
    <row r="646" spans="1:50" x14ac:dyDescent="0.25">
      <c r="A646" t="s">
        <v>4636</v>
      </c>
      <c r="B646" t="s">
        <v>3933</v>
      </c>
      <c r="C646" t="s">
        <v>3890</v>
      </c>
      <c r="D646">
        <v>30.748000000000001</v>
      </c>
      <c r="E646">
        <v>30.693000000000001</v>
      </c>
      <c r="F646" s="2">
        <v>2.7000000000000001E-3</v>
      </c>
      <c r="G646" t="s">
        <v>2051</v>
      </c>
      <c r="H646" t="s">
        <v>2054</v>
      </c>
      <c r="I646">
        <v>440132.59950000001</v>
      </c>
      <c r="J646">
        <v>1827602.8171999999</v>
      </c>
      <c r="K646">
        <v>440132.59950000001</v>
      </c>
      <c r="L646">
        <v>1827582.8171999999</v>
      </c>
      <c r="M646" t="s">
        <v>56</v>
      </c>
      <c r="N646" t="s">
        <v>57</v>
      </c>
      <c r="O646">
        <v>750</v>
      </c>
      <c r="P646" t="s">
        <v>58</v>
      </c>
      <c r="Q646" t="s">
        <v>3919</v>
      </c>
      <c r="R646" t="s">
        <v>1968</v>
      </c>
      <c r="S646" s="1" t="s">
        <v>571</v>
      </c>
      <c r="T646" t="s">
        <v>567</v>
      </c>
      <c r="U646">
        <v>-7.5800000000000006E-2</v>
      </c>
      <c r="V646">
        <v>-8.4900000000000003E-2</v>
      </c>
      <c r="W646" t="s">
        <v>52</v>
      </c>
      <c r="X646">
        <v>0.85299999999999998</v>
      </c>
      <c r="Y646">
        <v>0.85370000000000001</v>
      </c>
      <c r="Z646">
        <v>0.85299999999999998</v>
      </c>
      <c r="AA646">
        <v>0.85370000000000001</v>
      </c>
      <c r="AB646">
        <v>20</v>
      </c>
      <c r="AC646">
        <v>20.0001</v>
      </c>
      <c r="AD646">
        <v>18.802900000000001</v>
      </c>
      <c r="AE646">
        <v>18.803000000000001</v>
      </c>
      <c r="AF646" t="s">
        <v>2233</v>
      </c>
      <c r="AG646" t="s">
        <v>2233</v>
      </c>
      <c r="AH646" t="s">
        <v>3894</v>
      </c>
      <c r="AI646" t="s">
        <v>3894</v>
      </c>
      <c r="AJ646" t="s">
        <v>3895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3896</v>
      </c>
      <c r="AT646" t="s">
        <v>3890</v>
      </c>
      <c r="AU646" t="s">
        <v>3935</v>
      </c>
      <c r="AV646" t="s">
        <v>3898</v>
      </c>
      <c r="AW646">
        <v>2</v>
      </c>
      <c r="AX646">
        <v>0</v>
      </c>
    </row>
    <row r="647" spans="1:50" x14ac:dyDescent="0.25">
      <c r="A647" t="s">
        <v>4637</v>
      </c>
      <c r="B647" t="s">
        <v>3933</v>
      </c>
      <c r="C647" t="s">
        <v>3890</v>
      </c>
      <c r="D647">
        <v>31.128</v>
      </c>
      <c r="E647">
        <v>31.074000000000002</v>
      </c>
      <c r="F647" s="2">
        <v>2.7000000000000001E-3</v>
      </c>
      <c r="G647" t="s">
        <v>2033</v>
      </c>
      <c r="H647" t="s">
        <v>2036</v>
      </c>
      <c r="I647">
        <v>440132.59950000001</v>
      </c>
      <c r="J647">
        <v>1827742.8171999999</v>
      </c>
      <c r="K647">
        <v>440132.59950000001</v>
      </c>
      <c r="L647">
        <v>1827722.8171999999</v>
      </c>
      <c r="M647" t="s">
        <v>56</v>
      </c>
      <c r="N647" t="s">
        <v>57</v>
      </c>
      <c r="O647">
        <v>750</v>
      </c>
      <c r="P647" t="s">
        <v>58</v>
      </c>
      <c r="Q647" t="s">
        <v>3919</v>
      </c>
      <c r="R647" t="s">
        <v>1968</v>
      </c>
      <c r="S647" t="s">
        <v>816</v>
      </c>
      <c r="T647" t="s">
        <v>1479</v>
      </c>
      <c r="U647">
        <v>-1.21E-2</v>
      </c>
      <c r="V647">
        <v>-2.12E-2</v>
      </c>
      <c r="W647" t="s">
        <v>52</v>
      </c>
      <c r="X647">
        <v>0.85299999999999998</v>
      </c>
      <c r="Y647">
        <v>0.85329999999999995</v>
      </c>
      <c r="Z647">
        <v>0.85329999999999995</v>
      </c>
      <c r="AA647">
        <v>0.85299999999999998</v>
      </c>
      <c r="AB647">
        <v>20</v>
      </c>
      <c r="AC647">
        <v>20.0001</v>
      </c>
      <c r="AD647">
        <v>18.802800000000001</v>
      </c>
      <c r="AE647">
        <v>18.802900000000001</v>
      </c>
      <c r="AF647" t="s">
        <v>2233</v>
      </c>
      <c r="AG647" t="s">
        <v>2233</v>
      </c>
      <c r="AH647" t="s">
        <v>3894</v>
      </c>
      <c r="AI647" t="s">
        <v>3894</v>
      </c>
      <c r="AJ647" t="s">
        <v>3895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3896</v>
      </c>
      <c r="AT647" t="s">
        <v>3890</v>
      </c>
      <c r="AU647" t="s">
        <v>3935</v>
      </c>
      <c r="AV647" t="s">
        <v>3898</v>
      </c>
      <c r="AW647">
        <v>2</v>
      </c>
      <c r="AX647">
        <v>0</v>
      </c>
    </row>
    <row r="648" spans="1:50" x14ac:dyDescent="0.25">
      <c r="A648" t="s">
        <v>4638</v>
      </c>
      <c r="B648" t="s">
        <v>4355</v>
      </c>
      <c r="C648" t="s">
        <v>3890</v>
      </c>
      <c r="D648">
        <v>30.827999999999999</v>
      </c>
      <c r="E648">
        <v>30.774000000000001</v>
      </c>
      <c r="F648" s="2">
        <v>2.7000000000000001E-3</v>
      </c>
      <c r="G648" t="s">
        <v>1939</v>
      </c>
      <c r="H648" t="s">
        <v>1942</v>
      </c>
      <c r="I648">
        <v>440121.94949999999</v>
      </c>
      <c r="J648">
        <v>1827742.8171999999</v>
      </c>
      <c r="K648">
        <v>440121.94949999999</v>
      </c>
      <c r="L648">
        <v>1827722.8171999999</v>
      </c>
      <c r="M648" t="s">
        <v>56</v>
      </c>
      <c r="N648" t="s">
        <v>57</v>
      </c>
      <c r="O648">
        <v>900</v>
      </c>
      <c r="P648" t="s">
        <v>3918</v>
      </c>
      <c r="Q648" t="s">
        <v>3930</v>
      </c>
      <c r="R648" t="s">
        <v>395</v>
      </c>
      <c r="S648" s="1" t="s">
        <v>816</v>
      </c>
      <c r="T648" t="s">
        <v>1479</v>
      </c>
      <c r="U648">
        <v>-0.1971</v>
      </c>
      <c r="V648">
        <v>-0.1971</v>
      </c>
      <c r="W648" t="s">
        <v>52</v>
      </c>
      <c r="X648">
        <v>0.82599999999999996</v>
      </c>
      <c r="Y648">
        <v>0.82630000000000003</v>
      </c>
      <c r="Z648">
        <v>0.82630000000000003</v>
      </c>
      <c r="AA648">
        <v>0.82599999999999996</v>
      </c>
      <c r="AB648">
        <v>20</v>
      </c>
      <c r="AC648">
        <v>20.0001</v>
      </c>
      <c r="AD648">
        <v>18.8034</v>
      </c>
      <c r="AE648">
        <v>18.8034</v>
      </c>
      <c r="AF648" t="s">
        <v>2233</v>
      </c>
      <c r="AG648" t="s">
        <v>2233</v>
      </c>
      <c r="AH648" t="s">
        <v>3894</v>
      </c>
      <c r="AI648" t="s">
        <v>3894</v>
      </c>
      <c r="AJ648" t="s">
        <v>3895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3896</v>
      </c>
      <c r="AT648" t="s">
        <v>3890</v>
      </c>
      <c r="AU648" t="s">
        <v>4357</v>
      </c>
      <c r="AV648" t="s">
        <v>3898</v>
      </c>
      <c r="AW648">
        <v>2</v>
      </c>
      <c r="AX648">
        <v>0</v>
      </c>
    </row>
    <row r="649" spans="1:50" x14ac:dyDescent="0.25">
      <c r="A649" t="s">
        <v>4639</v>
      </c>
      <c r="B649" t="s">
        <v>3933</v>
      </c>
      <c r="C649" t="s">
        <v>3890</v>
      </c>
      <c r="D649">
        <v>30.693000000000001</v>
      </c>
      <c r="E649">
        <v>30.638999999999999</v>
      </c>
      <c r="F649" s="2">
        <v>2.7000000000000001E-3</v>
      </c>
      <c r="G649" t="s">
        <v>2054</v>
      </c>
      <c r="H649" t="s">
        <v>2057</v>
      </c>
      <c r="I649">
        <v>440132.59950000001</v>
      </c>
      <c r="J649">
        <v>1827582.8171999999</v>
      </c>
      <c r="K649">
        <v>440132.49949999998</v>
      </c>
      <c r="L649">
        <v>1827562.8171999999</v>
      </c>
      <c r="M649" t="s">
        <v>56</v>
      </c>
      <c r="N649" t="s">
        <v>57</v>
      </c>
      <c r="O649">
        <v>750</v>
      </c>
      <c r="P649" t="s">
        <v>58</v>
      </c>
      <c r="Q649" t="s">
        <v>3919</v>
      </c>
      <c r="R649" t="s">
        <v>1968</v>
      </c>
      <c r="S649" t="s">
        <v>567</v>
      </c>
      <c r="T649" t="s">
        <v>563</v>
      </c>
      <c r="U649">
        <v>-8.4900000000000003E-2</v>
      </c>
      <c r="V649">
        <v>6.0000000000000001E-3</v>
      </c>
      <c r="W649" t="s">
        <v>52</v>
      </c>
      <c r="X649">
        <v>0.85140000000000005</v>
      </c>
      <c r="Y649">
        <v>0.85370000000000001</v>
      </c>
      <c r="Z649">
        <v>0.85370000000000001</v>
      </c>
      <c r="AA649">
        <v>0.85140000000000005</v>
      </c>
      <c r="AB649">
        <v>20</v>
      </c>
      <c r="AC649">
        <v>20.0001</v>
      </c>
      <c r="AD649">
        <v>18.803100000000001</v>
      </c>
      <c r="AE649">
        <v>18.803100000000001</v>
      </c>
      <c r="AF649" t="s">
        <v>4640</v>
      </c>
      <c r="AG649" t="s">
        <v>4640</v>
      </c>
      <c r="AH649" t="s">
        <v>3894</v>
      </c>
      <c r="AI649" t="s">
        <v>3894</v>
      </c>
      <c r="AJ649" t="s">
        <v>3895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3896</v>
      </c>
      <c r="AT649" t="s">
        <v>3890</v>
      </c>
      <c r="AU649" t="s">
        <v>3935</v>
      </c>
      <c r="AV649" t="s">
        <v>3898</v>
      </c>
      <c r="AW649">
        <v>2</v>
      </c>
      <c r="AX649">
        <v>0</v>
      </c>
    </row>
    <row r="650" spans="1:50" x14ac:dyDescent="0.25">
      <c r="A650" t="s">
        <v>4641</v>
      </c>
      <c r="B650" t="s">
        <v>3933</v>
      </c>
      <c r="C650" t="s">
        <v>3890</v>
      </c>
      <c r="D650">
        <v>31.181999999999999</v>
      </c>
      <c r="E650">
        <v>31.128</v>
      </c>
      <c r="F650" s="2">
        <v>2.7000000000000001E-3</v>
      </c>
      <c r="G650" t="s">
        <v>2030</v>
      </c>
      <c r="H650" t="s">
        <v>2033</v>
      </c>
      <c r="I650">
        <v>440132.59950000001</v>
      </c>
      <c r="J650">
        <v>1827762.8171999999</v>
      </c>
      <c r="K650">
        <v>440132.59950000001</v>
      </c>
      <c r="L650">
        <v>1827742.8171999999</v>
      </c>
      <c r="M650" t="s">
        <v>56</v>
      </c>
      <c r="N650" t="s">
        <v>57</v>
      </c>
      <c r="O650">
        <v>750</v>
      </c>
      <c r="P650" t="s">
        <v>58</v>
      </c>
      <c r="Q650" t="s">
        <v>3919</v>
      </c>
      <c r="R650" t="s">
        <v>1968</v>
      </c>
      <c r="S650" t="s">
        <v>824</v>
      </c>
      <c r="T650" t="s">
        <v>816</v>
      </c>
      <c r="U650">
        <v>-3.0000000000000001E-3</v>
      </c>
      <c r="V650">
        <v>-1.21E-2</v>
      </c>
      <c r="W650" t="s">
        <v>52</v>
      </c>
      <c r="X650">
        <v>0.85329999999999995</v>
      </c>
      <c r="Y650">
        <v>0.85370000000000001</v>
      </c>
      <c r="Z650">
        <v>0.85370000000000001</v>
      </c>
      <c r="AA650">
        <v>0.85329999999999995</v>
      </c>
      <c r="AB650">
        <v>20</v>
      </c>
      <c r="AC650">
        <v>20.0001</v>
      </c>
      <c r="AD650">
        <v>18.802800000000001</v>
      </c>
      <c r="AE650">
        <v>18.802900000000001</v>
      </c>
      <c r="AF650" t="s">
        <v>2233</v>
      </c>
      <c r="AG650" t="s">
        <v>2233</v>
      </c>
      <c r="AH650" t="s">
        <v>3894</v>
      </c>
      <c r="AI650" t="s">
        <v>3894</v>
      </c>
      <c r="AJ650" t="s">
        <v>3895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3896</v>
      </c>
      <c r="AT650" t="s">
        <v>3890</v>
      </c>
      <c r="AU650" t="s">
        <v>3935</v>
      </c>
      <c r="AV650" t="s">
        <v>3898</v>
      </c>
      <c r="AW650">
        <v>2</v>
      </c>
      <c r="AX650">
        <v>0</v>
      </c>
    </row>
    <row r="651" spans="1:50" x14ac:dyDescent="0.25">
      <c r="A651" t="s">
        <v>4642</v>
      </c>
      <c r="B651" t="s">
        <v>3933</v>
      </c>
      <c r="C651" t="s">
        <v>3890</v>
      </c>
      <c r="D651">
        <v>31.074000000000002</v>
      </c>
      <c r="E651">
        <v>31.018999999999998</v>
      </c>
      <c r="F651" s="2">
        <v>2.8E-3</v>
      </c>
      <c r="G651" t="s">
        <v>2036</v>
      </c>
      <c r="H651" t="s">
        <v>2039</v>
      </c>
      <c r="I651">
        <v>440132.59950000001</v>
      </c>
      <c r="J651">
        <v>1827722.8171999999</v>
      </c>
      <c r="K651">
        <v>440132.59950000001</v>
      </c>
      <c r="L651">
        <v>1827702.8171999999</v>
      </c>
      <c r="M651" t="s">
        <v>56</v>
      </c>
      <c r="N651" t="s">
        <v>57</v>
      </c>
      <c r="O651">
        <v>750</v>
      </c>
      <c r="P651" t="s">
        <v>58</v>
      </c>
      <c r="Q651" t="s">
        <v>3919</v>
      </c>
      <c r="R651" t="s">
        <v>1968</v>
      </c>
      <c r="S651" t="s">
        <v>1479</v>
      </c>
      <c r="T651" t="s">
        <v>1483</v>
      </c>
      <c r="U651">
        <v>-2.12E-2</v>
      </c>
      <c r="V651">
        <v>-3.0300000000000001E-2</v>
      </c>
      <c r="W651" t="s">
        <v>52</v>
      </c>
      <c r="X651">
        <v>0.85299999999999998</v>
      </c>
      <c r="Y651">
        <v>0.85370000000000001</v>
      </c>
      <c r="Z651">
        <v>0.85299999999999998</v>
      </c>
      <c r="AA651">
        <v>0.85370000000000001</v>
      </c>
      <c r="AB651">
        <v>20</v>
      </c>
      <c r="AC651">
        <v>20.0001</v>
      </c>
      <c r="AD651">
        <v>18.802900000000001</v>
      </c>
      <c r="AE651">
        <v>18.803000000000001</v>
      </c>
      <c r="AF651" t="s">
        <v>2233</v>
      </c>
      <c r="AG651" t="s">
        <v>2233</v>
      </c>
      <c r="AH651" t="s">
        <v>3894</v>
      </c>
      <c r="AI651" t="s">
        <v>3894</v>
      </c>
      <c r="AJ651" t="s">
        <v>3895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3896</v>
      </c>
      <c r="AT651" t="s">
        <v>3890</v>
      </c>
      <c r="AU651" t="s">
        <v>3935</v>
      </c>
      <c r="AV651" t="s">
        <v>3898</v>
      </c>
      <c r="AW651">
        <v>2</v>
      </c>
      <c r="AX651">
        <v>0</v>
      </c>
    </row>
    <row r="652" spans="1:50" x14ac:dyDescent="0.25">
      <c r="A652" t="s">
        <v>4643</v>
      </c>
      <c r="B652" t="s">
        <v>4355</v>
      </c>
      <c r="C652" t="s">
        <v>3890</v>
      </c>
      <c r="D652">
        <v>30.774000000000001</v>
      </c>
      <c r="E652">
        <v>30.719000000000001</v>
      </c>
      <c r="F652" s="2">
        <v>2.8E-3</v>
      </c>
      <c r="G652" t="s">
        <v>1942</v>
      </c>
      <c r="H652" t="s">
        <v>1945</v>
      </c>
      <c r="I652">
        <v>440121.94949999999</v>
      </c>
      <c r="J652">
        <v>1827722.8171999999</v>
      </c>
      <c r="K652">
        <v>440121.94949999999</v>
      </c>
      <c r="L652">
        <v>1827702.8171999999</v>
      </c>
      <c r="M652" t="s">
        <v>56</v>
      </c>
      <c r="N652" t="s">
        <v>57</v>
      </c>
      <c r="O652">
        <v>900</v>
      </c>
      <c r="P652" t="s">
        <v>3918</v>
      </c>
      <c r="Q652" t="s">
        <v>3930</v>
      </c>
      <c r="R652" t="s">
        <v>395</v>
      </c>
      <c r="S652" t="s">
        <v>1479</v>
      </c>
      <c r="T652" t="s">
        <v>1483</v>
      </c>
      <c r="U652">
        <v>-0.1971</v>
      </c>
      <c r="V652">
        <v>-0.1971</v>
      </c>
      <c r="W652" t="s">
        <v>52</v>
      </c>
      <c r="X652">
        <v>0.82599999999999996</v>
      </c>
      <c r="Y652">
        <v>0.82669999999999999</v>
      </c>
      <c r="Z652">
        <v>0.82599999999999996</v>
      </c>
      <c r="AA652">
        <v>0.82669999999999999</v>
      </c>
      <c r="AB652">
        <v>20</v>
      </c>
      <c r="AC652">
        <v>20.0001</v>
      </c>
      <c r="AD652">
        <v>18.8034</v>
      </c>
      <c r="AE652">
        <v>18.8035</v>
      </c>
      <c r="AF652" t="s">
        <v>2233</v>
      </c>
      <c r="AG652" t="s">
        <v>2233</v>
      </c>
      <c r="AH652" t="s">
        <v>3894</v>
      </c>
      <c r="AI652" t="s">
        <v>3894</v>
      </c>
      <c r="AJ652" t="s">
        <v>3895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3896</v>
      </c>
      <c r="AT652" t="s">
        <v>3890</v>
      </c>
      <c r="AU652" t="s">
        <v>4357</v>
      </c>
      <c r="AV652" t="s">
        <v>3898</v>
      </c>
      <c r="AW652">
        <v>2</v>
      </c>
      <c r="AX652">
        <v>0</v>
      </c>
    </row>
    <row r="653" spans="1:50" x14ac:dyDescent="0.25">
      <c r="A653" t="s">
        <v>4644</v>
      </c>
      <c r="B653" t="s">
        <v>3933</v>
      </c>
      <c r="C653" t="s">
        <v>3890</v>
      </c>
      <c r="D653">
        <v>30.965</v>
      </c>
      <c r="E653">
        <v>30.911000000000001</v>
      </c>
      <c r="F653" s="2">
        <v>2.7000000000000001E-3</v>
      </c>
      <c r="G653" t="s">
        <v>2041</v>
      </c>
      <c r="H653" t="s">
        <v>2043</v>
      </c>
      <c r="I653">
        <v>440132.59950000001</v>
      </c>
      <c r="J653">
        <v>1827682.8171999999</v>
      </c>
      <c r="K653">
        <v>440132.59950000001</v>
      </c>
      <c r="L653">
        <v>1827662.8171999999</v>
      </c>
      <c r="M653" t="s">
        <v>56</v>
      </c>
      <c r="N653" t="s">
        <v>57</v>
      </c>
      <c r="O653">
        <v>750</v>
      </c>
      <c r="P653" t="s">
        <v>58</v>
      </c>
      <c r="Q653" t="s">
        <v>3919</v>
      </c>
      <c r="R653" t="s">
        <v>1968</v>
      </c>
      <c r="S653" t="s">
        <v>1487</v>
      </c>
      <c r="T653" t="s">
        <v>1491</v>
      </c>
      <c r="U653">
        <v>-3.9399999999999998E-2</v>
      </c>
      <c r="V653">
        <v>-4.8500000000000001E-2</v>
      </c>
      <c r="W653" t="s">
        <v>52</v>
      </c>
      <c r="X653">
        <v>0.85299999999999998</v>
      </c>
      <c r="Y653">
        <v>0.85340000000000005</v>
      </c>
      <c r="Z653">
        <v>0.85340000000000005</v>
      </c>
      <c r="AA653">
        <v>0.85299999999999998</v>
      </c>
      <c r="AB653">
        <v>20</v>
      </c>
      <c r="AC653">
        <v>20.0001</v>
      </c>
      <c r="AD653">
        <v>18.802800000000001</v>
      </c>
      <c r="AE653">
        <v>18.802900000000001</v>
      </c>
      <c r="AF653" t="s">
        <v>2233</v>
      </c>
      <c r="AG653" t="s">
        <v>2233</v>
      </c>
      <c r="AH653" t="s">
        <v>3894</v>
      </c>
      <c r="AI653" t="s">
        <v>3894</v>
      </c>
      <c r="AJ653" t="s">
        <v>3895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3896</v>
      </c>
      <c r="AT653" t="s">
        <v>3890</v>
      </c>
      <c r="AU653" t="s">
        <v>3935</v>
      </c>
      <c r="AV653" t="s">
        <v>3898</v>
      </c>
      <c r="AW653">
        <v>2</v>
      </c>
      <c r="AX653">
        <v>0</v>
      </c>
    </row>
    <row r="654" spans="1:50" x14ac:dyDescent="0.25">
      <c r="A654" t="s">
        <v>4645</v>
      </c>
      <c r="B654" t="s">
        <v>3933</v>
      </c>
      <c r="C654" t="s">
        <v>3890</v>
      </c>
      <c r="D654">
        <v>30.802</v>
      </c>
      <c r="E654">
        <v>30.748000000000001</v>
      </c>
      <c r="F654" s="2">
        <v>2.7000000000000001E-3</v>
      </c>
      <c r="G654" t="s">
        <v>2048</v>
      </c>
      <c r="H654" t="s">
        <v>2051</v>
      </c>
      <c r="I654">
        <v>440132.59950000001</v>
      </c>
      <c r="J654">
        <v>1827622.8171999999</v>
      </c>
      <c r="K654">
        <v>440132.59950000001</v>
      </c>
      <c r="L654">
        <v>1827602.8171999999</v>
      </c>
      <c r="M654" t="s">
        <v>56</v>
      </c>
      <c r="N654" t="s">
        <v>57</v>
      </c>
      <c r="O654">
        <v>750</v>
      </c>
      <c r="P654" t="s">
        <v>58</v>
      </c>
      <c r="Q654" t="s">
        <v>3919</v>
      </c>
      <c r="R654" t="s">
        <v>1968</v>
      </c>
      <c r="S654" t="s">
        <v>575</v>
      </c>
      <c r="T654" t="s">
        <v>571</v>
      </c>
      <c r="U654">
        <v>-6.6699999999999995E-2</v>
      </c>
      <c r="V654">
        <v>-7.5800000000000006E-2</v>
      </c>
      <c r="W654" t="s">
        <v>52</v>
      </c>
      <c r="X654">
        <v>0.85299999999999998</v>
      </c>
      <c r="Y654">
        <v>0.85340000000000005</v>
      </c>
      <c r="Z654">
        <v>0.85340000000000005</v>
      </c>
      <c r="AA654">
        <v>0.85299999999999998</v>
      </c>
      <c r="AB654">
        <v>20</v>
      </c>
      <c r="AC654">
        <v>20.0001</v>
      </c>
      <c r="AD654">
        <v>18.802800000000001</v>
      </c>
      <c r="AE654">
        <v>18.802900000000001</v>
      </c>
      <c r="AF654" t="s">
        <v>2233</v>
      </c>
      <c r="AG654" t="s">
        <v>2233</v>
      </c>
      <c r="AH654" t="s">
        <v>3894</v>
      </c>
      <c r="AI654" t="s">
        <v>3894</v>
      </c>
      <c r="AJ654" t="s">
        <v>3895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3896</v>
      </c>
      <c r="AT654" t="s">
        <v>3890</v>
      </c>
      <c r="AU654" t="s">
        <v>3935</v>
      </c>
      <c r="AV654" t="s">
        <v>3898</v>
      </c>
      <c r="AW654">
        <v>2</v>
      </c>
      <c r="AX654">
        <v>0</v>
      </c>
    </row>
    <row r="655" spans="1:50" x14ac:dyDescent="0.25">
      <c r="A655" t="s">
        <v>4646</v>
      </c>
      <c r="B655" t="s">
        <v>4355</v>
      </c>
      <c r="C655" t="s">
        <v>3890</v>
      </c>
      <c r="D655">
        <v>30.501999999999999</v>
      </c>
      <c r="E655">
        <v>30.448</v>
      </c>
      <c r="F655" s="2">
        <v>2.7000000000000001E-3</v>
      </c>
      <c r="G655" t="s">
        <v>1957</v>
      </c>
      <c r="H655" t="s">
        <v>1960</v>
      </c>
      <c r="I655">
        <v>440121.94949999999</v>
      </c>
      <c r="J655">
        <v>1827622.8171999999</v>
      </c>
      <c r="K655">
        <v>440121.94949999999</v>
      </c>
      <c r="L655">
        <v>1827602.8171999999</v>
      </c>
      <c r="M655" t="s">
        <v>56</v>
      </c>
      <c r="N655" t="s">
        <v>57</v>
      </c>
      <c r="O655">
        <v>900</v>
      </c>
      <c r="P655" t="s">
        <v>3918</v>
      </c>
      <c r="Q655" t="s">
        <v>3930</v>
      </c>
      <c r="R655" t="s">
        <v>395</v>
      </c>
      <c r="S655" t="s">
        <v>575</v>
      </c>
      <c r="T655" t="s">
        <v>571</v>
      </c>
      <c r="U655">
        <v>-0.1971</v>
      </c>
      <c r="V655">
        <v>-0.1971</v>
      </c>
      <c r="W655" t="s">
        <v>52</v>
      </c>
      <c r="X655">
        <v>0.82599999999999996</v>
      </c>
      <c r="Y655">
        <v>0.82640000000000002</v>
      </c>
      <c r="Z655">
        <v>0.82640000000000002</v>
      </c>
      <c r="AA655">
        <v>0.82599999999999996</v>
      </c>
      <c r="AB655">
        <v>20</v>
      </c>
      <c r="AC655">
        <v>20.0001</v>
      </c>
      <c r="AD655">
        <v>18.8034</v>
      </c>
      <c r="AE655">
        <v>18.8034</v>
      </c>
      <c r="AF655" t="s">
        <v>2233</v>
      </c>
      <c r="AG655" t="s">
        <v>2233</v>
      </c>
      <c r="AH655" t="s">
        <v>3894</v>
      </c>
      <c r="AI655" t="s">
        <v>3894</v>
      </c>
      <c r="AJ655" t="s">
        <v>3895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3896</v>
      </c>
      <c r="AT655" t="s">
        <v>3890</v>
      </c>
      <c r="AU655" t="s">
        <v>4357</v>
      </c>
      <c r="AV655" t="s">
        <v>3898</v>
      </c>
      <c r="AW655">
        <v>2</v>
      </c>
      <c r="AX655">
        <v>0</v>
      </c>
    </row>
    <row r="656" spans="1:50" x14ac:dyDescent="0.25">
      <c r="A656" t="s">
        <v>4647</v>
      </c>
      <c r="B656" t="s">
        <v>4355</v>
      </c>
      <c r="C656" t="s">
        <v>3890</v>
      </c>
      <c r="D656">
        <v>30.664999999999999</v>
      </c>
      <c r="E656">
        <v>30.611000000000001</v>
      </c>
      <c r="F656" s="2">
        <v>2.7000000000000001E-3</v>
      </c>
      <c r="G656" t="s">
        <v>1948</v>
      </c>
      <c r="H656" t="s">
        <v>1950</v>
      </c>
      <c r="I656">
        <v>440121.94949999999</v>
      </c>
      <c r="J656">
        <v>1827682.8171999999</v>
      </c>
      <c r="K656">
        <v>440121.94949999999</v>
      </c>
      <c r="L656">
        <v>1827662.8842</v>
      </c>
      <c r="M656" t="s">
        <v>56</v>
      </c>
      <c r="N656" t="s">
        <v>57</v>
      </c>
      <c r="O656">
        <v>900</v>
      </c>
      <c r="P656" t="s">
        <v>3918</v>
      </c>
      <c r="Q656" t="s">
        <v>3930</v>
      </c>
      <c r="R656" t="s">
        <v>395</v>
      </c>
      <c r="S656" t="s">
        <v>1487</v>
      </c>
      <c r="T656" t="s">
        <v>1952</v>
      </c>
      <c r="U656">
        <v>-0.1971</v>
      </c>
      <c r="V656">
        <v>-0.1971</v>
      </c>
      <c r="W656" t="s">
        <v>52</v>
      </c>
      <c r="X656">
        <v>0.82620000000000005</v>
      </c>
      <c r="Y656">
        <v>0.82640000000000002</v>
      </c>
      <c r="Z656">
        <v>0.82640000000000002</v>
      </c>
      <c r="AA656">
        <v>0.82620000000000005</v>
      </c>
      <c r="AB656">
        <v>19.933</v>
      </c>
      <c r="AC656">
        <v>19.9331</v>
      </c>
      <c r="AD656">
        <v>18.7364</v>
      </c>
      <c r="AE656">
        <v>18.736499999999999</v>
      </c>
      <c r="AF656" t="s">
        <v>2233</v>
      </c>
      <c r="AG656" t="s">
        <v>2233</v>
      </c>
      <c r="AH656" t="s">
        <v>3894</v>
      </c>
      <c r="AI656" t="s">
        <v>3894</v>
      </c>
      <c r="AJ656" t="s">
        <v>3895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3896</v>
      </c>
      <c r="AT656" t="s">
        <v>3890</v>
      </c>
      <c r="AU656" t="s">
        <v>4357</v>
      </c>
      <c r="AV656" t="s">
        <v>3898</v>
      </c>
      <c r="AW656">
        <v>2</v>
      </c>
      <c r="AX656">
        <v>0</v>
      </c>
    </row>
    <row r="657" spans="1:50" x14ac:dyDescent="0.25">
      <c r="A657" t="s">
        <v>4648</v>
      </c>
      <c r="B657" t="s">
        <v>3889</v>
      </c>
      <c r="C657" t="s">
        <v>3890</v>
      </c>
      <c r="D657">
        <v>28.696000000000002</v>
      </c>
      <c r="E657">
        <v>28.678000000000001</v>
      </c>
      <c r="F657" s="2">
        <v>1E-3</v>
      </c>
      <c r="G657" t="s">
        <v>2873</v>
      </c>
      <c r="H657" t="s">
        <v>2876</v>
      </c>
      <c r="I657">
        <v>440398.47509999998</v>
      </c>
      <c r="J657">
        <v>1827649.7609000001</v>
      </c>
      <c r="K657">
        <v>440398.47509999998</v>
      </c>
      <c r="L657">
        <v>1827667.9465999999</v>
      </c>
      <c r="M657" t="s">
        <v>56</v>
      </c>
      <c r="N657" t="s">
        <v>57</v>
      </c>
      <c r="O657">
        <v>450</v>
      </c>
      <c r="P657" t="s">
        <v>3891</v>
      </c>
      <c r="Q657" t="s">
        <v>3892</v>
      </c>
      <c r="R657" t="s">
        <v>107</v>
      </c>
      <c r="S657" t="s">
        <v>525</v>
      </c>
      <c r="T657" t="s">
        <v>2878</v>
      </c>
      <c r="U657">
        <v>-2.0000000000000001E-4</v>
      </c>
      <c r="V657">
        <v>-2.0000000000000001E-4</v>
      </c>
      <c r="W657" t="s">
        <v>52</v>
      </c>
      <c r="X657">
        <v>0.92600000000000005</v>
      </c>
      <c r="Y657">
        <v>0.9405</v>
      </c>
      <c r="Z657">
        <v>0.9405</v>
      </c>
      <c r="AA657">
        <v>0.93210000000000004</v>
      </c>
      <c r="AB657">
        <v>18.185700000000001</v>
      </c>
      <c r="AC657">
        <v>18.185700000000001</v>
      </c>
      <c r="AD657">
        <v>16.9864</v>
      </c>
      <c r="AE657">
        <v>16.9864</v>
      </c>
      <c r="AF657" t="s">
        <v>67</v>
      </c>
      <c r="AG657" t="s">
        <v>67</v>
      </c>
      <c r="AH657" t="s">
        <v>3894</v>
      </c>
      <c r="AI657" t="s">
        <v>3894</v>
      </c>
      <c r="AJ657" t="s">
        <v>3895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3896</v>
      </c>
      <c r="AT657" t="s">
        <v>3890</v>
      </c>
      <c r="AU657" t="s">
        <v>3897</v>
      </c>
      <c r="AV657" t="s">
        <v>3898</v>
      </c>
      <c r="AW657">
        <v>2</v>
      </c>
      <c r="AX657">
        <v>0</v>
      </c>
    </row>
    <row r="658" spans="1:50" x14ac:dyDescent="0.25">
      <c r="A658" t="s">
        <v>3167</v>
      </c>
      <c r="B658" t="s">
        <v>3889</v>
      </c>
      <c r="C658" t="s">
        <v>3890</v>
      </c>
      <c r="D658">
        <v>29.352</v>
      </c>
      <c r="E658">
        <v>29.298999999999999</v>
      </c>
      <c r="F658" s="2">
        <v>2.5999999999999999E-3</v>
      </c>
      <c r="G658" t="s">
        <v>3166</v>
      </c>
      <c r="H658" t="s">
        <v>3171</v>
      </c>
      <c r="I658">
        <v>440519.97509999998</v>
      </c>
      <c r="J658">
        <v>1827275.2019</v>
      </c>
      <c r="K658">
        <v>440519.97509999998</v>
      </c>
      <c r="L658">
        <v>1827295.2019</v>
      </c>
      <c r="M658" t="s">
        <v>56</v>
      </c>
      <c r="N658" t="s">
        <v>57</v>
      </c>
      <c r="O658">
        <v>450</v>
      </c>
      <c r="P658" t="s">
        <v>3891</v>
      </c>
      <c r="Q658" t="s">
        <v>3892</v>
      </c>
      <c r="R658" t="s">
        <v>3168</v>
      </c>
      <c r="S658" t="s">
        <v>3169</v>
      </c>
      <c r="T658" t="s">
        <v>3173</v>
      </c>
      <c r="U658">
        <v>-4.7000000000000002E-3</v>
      </c>
      <c r="V658">
        <v>-4.7000000000000002E-3</v>
      </c>
      <c r="W658" t="s">
        <v>52</v>
      </c>
      <c r="X658">
        <v>0.8921</v>
      </c>
      <c r="Y658">
        <v>0.90239999999999998</v>
      </c>
      <c r="Z658">
        <v>0.8921</v>
      </c>
      <c r="AA658">
        <v>0.90239999999999998</v>
      </c>
      <c r="AB658">
        <v>20</v>
      </c>
      <c r="AC658">
        <v>20.0001</v>
      </c>
      <c r="AD658">
        <v>18.8019</v>
      </c>
      <c r="AE658">
        <v>18.8019</v>
      </c>
      <c r="AF658" t="s">
        <v>67</v>
      </c>
      <c r="AG658" t="s">
        <v>67</v>
      </c>
      <c r="AH658" t="s">
        <v>3894</v>
      </c>
      <c r="AI658" t="s">
        <v>3894</v>
      </c>
      <c r="AJ658" t="s">
        <v>3895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3896</v>
      </c>
      <c r="AT658" t="s">
        <v>3890</v>
      </c>
      <c r="AU658" t="s">
        <v>3897</v>
      </c>
      <c r="AV658" t="s">
        <v>3898</v>
      </c>
      <c r="AW658">
        <v>2</v>
      </c>
      <c r="AX658">
        <v>0</v>
      </c>
    </row>
    <row r="659" spans="1:50" x14ac:dyDescent="0.25">
      <c r="A659" t="s">
        <v>3191</v>
      </c>
      <c r="B659" t="s">
        <v>3889</v>
      </c>
      <c r="C659" t="s">
        <v>3890</v>
      </c>
      <c r="D659">
        <v>29.352</v>
      </c>
      <c r="E659">
        <v>29.3</v>
      </c>
      <c r="F659" s="2">
        <v>2.5999999999999999E-3</v>
      </c>
      <c r="G659" t="s">
        <v>3190</v>
      </c>
      <c r="H659" t="s">
        <v>3192</v>
      </c>
      <c r="I659">
        <v>440529.67509999999</v>
      </c>
      <c r="J659">
        <v>1827275.2019</v>
      </c>
      <c r="K659">
        <v>440529.67509999999</v>
      </c>
      <c r="L659">
        <v>1827295.2019</v>
      </c>
      <c r="M659" t="s">
        <v>56</v>
      </c>
      <c r="N659" t="s">
        <v>57</v>
      </c>
      <c r="O659">
        <v>450</v>
      </c>
      <c r="P659" t="s">
        <v>3891</v>
      </c>
      <c r="Q659" t="s">
        <v>3892</v>
      </c>
      <c r="R659" t="s">
        <v>352</v>
      </c>
      <c r="S659" t="s">
        <v>3169</v>
      </c>
      <c r="T659" t="s">
        <v>3173</v>
      </c>
      <c r="U659">
        <v>0</v>
      </c>
      <c r="V659">
        <v>0</v>
      </c>
      <c r="W659" t="s">
        <v>52</v>
      </c>
      <c r="X659">
        <v>0.8921</v>
      </c>
      <c r="Y659">
        <v>0.90139999999999998</v>
      </c>
      <c r="Z659">
        <v>0.8921</v>
      </c>
      <c r="AA659">
        <v>0.90139999999999998</v>
      </c>
      <c r="AB659">
        <v>20</v>
      </c>
      <c r="AC659">
        <v>20.0001</v>
      </c>
      <c r="AD659">
        <v>18.8018</v>
      </c>
      <c r="AE659">
        <v>18.8019</v>
      </c>
      <c r="AF659" t="s">
        <v>67</v>
      </c>
      <c r="AG659" t="s">
        <v>67</v>
      </c>
      <c r="AH659" t="s">
        <v>3894</v>
      </c>
      <c r="AI659" t="s">
        <v>3894</v>
      </c>
      <c r="AJ659" t="s">
        <v>3895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3896</v>
      </c>
      <c r="AT659" t="s">
        <v>3890</v>
      </c>
      <c r="AU659" t="s">
        <v>3897</v>
      </c>
      <c r="AV659" t="s">
        <v>3898</v>
      </c>
      <c r="AW659">
        <v>2</v>
      </c>
      <c r="AX659">
        <v>0</v>
      </c>
    </row>
    <row r="660" spans="1:50" x14ac:dyDescent="0.25">
      <c r="A660" t="s">
        <v>4649</v>
      </c>
      <c r="B660" t="s">
        <v>3889</v>
      </c>
      <c r="C660" t="s">
        <v>3890</v>
      </c>
      <c r="D660">
        <v>29.308</v>
      </c>
      <c r="E660">
        <v>29.251000000000001</v>
      </c>
      <c r="F660" s="2">
        <v>2.8E-3</v>
      </c>
      <c r="G660" t="s">
        <v>2601</v>
      </c>
      <c r="H660" t="s">
        <v>2604</v>
      </c>
      <c r="I660">
        <v>440410.42509999999</v>
      </c>
      <c r="J660">
        <v>1827884.9109</v>
      </c>
      <c r="K660">
        <v>440430.42509999999</v>
      </c>
      <c r="L660">
        <v>1827884.9109</v>
      </c>
      <c r="M660" t="s">
        <v>56</v>
      </c>
      <c r="N660" t="s">
        <v>57</v>
      </c>
      <c r="O660">
        <v>450</v>
      </c>
      <c r="P660" t="s">
        <v>3891</v>
      </c>
      <c r="Q660" t="s">
        <v>3892</v>
      </c>
      <c r="R660" t="s">
        <v>844</v>
      </c>
      <c r="S660" t="s">
        <v>420</v>
      </c>
      <c r="T660" t="s">
        <v>424</v>
      </c>
      <c r="U660">
        <v>-7.4999999999999997E-2</v>
      </c>
      <c r="V660">
        <v>-7.4999999999999997E-2</v>
      </c>
      <c r="W660" t="s">
        <v>52</v>
      </c>
      <c r="X660">
        <v>0.99639999999999995</v>
      </c>
      <c r="Y660">
        <v>1.1437999999999999</v>
      </c>
      <c r="Z660">
        <v>0.99639999999999995</v>
      </c>
      <c r="AA660">
        <v>1.1437999999999999</v>
      </c>
      <c r="AB660">
        <v>20</v>
      </c>
      <c r="AC660">
        <v>20.0001</v>
      </c>
      <c r="AD660">
        <v>18.802</v>
      </c>
      <c r="AE660">
        <v>18.802099999999999</v>
      </c>
      <c r="AF660" t="s">
        <v>3899</v>
      </c>
      <c r="AG660" t="s">
        <v>3899</v>
      </c>
      <c r="AH660" t="s">
        <v>3894</v>
      </c>
      <c r="AI660" t="s">
        <v>3894</v>
      </c>
      <c r="AJ660" t="s">
        <v>3895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3896</v>
      </c>
      <c r="AT660" t="s">
        <v>3890</v>
      </c>
      <c r="AU660" t="s">
        <v>3897</v>
      </c>
      <c r="AV660" t="s">
        <v>3898</v>
      </c>
      <c r="AW660">
        <v>2</v>
      </c>
      <c r="AX660">
        <v>0</v>
      </c>
    </row>
    <row r="661" spans="1:50" x14ac:dyDescent="0.25">
      <c r="A661" t="s">
        <v>4650</v>
      </c>
      <c r="B661" t="s">
        <v>4065</v>
      </c>
      <c r="C661" t="s">
        <v>3890</v>
      </c>
      <c r="D661">
        <v>30.097999999999999</v>
      </c>
      <c r="E661">
        <v>30.045999999999999</v>
      </c>
      <c r="F661" s="2">
        <v>2.5999999999999999E-3</v>
      </c>
      <c r="G661" t="s">
        <v>1330</v>
      </c>
      <c r="H661" t="s">
        <v>1334</v>
      </c>
      <c r="I661">
        <v>440198.92479999998</v>
      </c>
      <c r="J661">
        <v>1827701.8171000001</v>
      </c>
      <c r="K661">
        <v>440198.92479999998</v>
      </c>
      <c r="L661">
        <v>1827681.8171000001</v>
      </c>
      <c r="M661" t="s">
        <v>56</v>
      </c>
      <c r="N661" t="s">
        <v>57</v>
      </c>
      <c r="O661">
        <v>900</v>
      </c>
      <c r="P661" t="s">
        <v>58</v>
      </c>
      <c r="Q661" t="s">
        <v>3919</v>
      </c>
      <c r="R661" t="s">
        <v>146</v>
      </c>
      <c r="S661" t="s">
        <v>1332</v>
      </c>
      <c r="T661" t="s">
        <v>1336</v>
      </c>
      <c r="U661">
        <v>-2.5000000000000001E-2</v>
      </c>
      <c r="V661">
        <v>-2.5000000000000001E-2</v>
      </c>
      <c r="W661" t="s">
        <v>52</v>
      </c>
      <c r="X661">
        <v>0.81879999999999997</v>
      </c>
      <c r="Y661">
        <v>0.86109999999999998</v>
      </c>
      <c r="Z661">
        <v>0.85229999999999995</v>
      </c>
      <c r="AA661">
        <v>0.85219999999999996</v>
      </c>
      <c r="AB661">
        <v>20</v>
      </c>
      <c r="AC661">
        <v>20.0001</v>
      </c>
      <c r="AD661">
        <v>18.803100000000001</v>
      </c>
      <c r="AE661">
        <v>18.8032</v>
      </c>
      <c r="AF661" t="s">
        <v>2233</v>
      </c>
      <c r="AG661" t="s">
        <v>2233</v>
      </c>
      <c r="AH661" t="s">
        <v>3894</v>
      </c>
      <c r="AI661" t="s">
        <v>3894</v>
      </c>
      <c r="AJ661" t="s">
        <v>3895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3896</v>
      </c>
      <c r="AT661" t="s">
        <v>3890</v>
      </c>
      <c r="AU661" t="s">
        <v>4066</v>
      </c>
      <c r="AV661" t="s">
        <v>3898</v>
      </c>
      <c r="AW661">
        <v>2</v>
      </c>
      <c r="AX661">
        <v>0</v>
      </c>
    </row>
    <row r="662" spans="1:50" x14ac:dyDescent="0.25">
      <c r="A662" t="s">
        <v>4651</v>
      </c>
      <c r="B662" t="s">
        <v>3889</v>
      </c>
      <c r="C662" t="s">
        <v>3890</v>
      </c>
      <c r="D662">
        <v>29.094000000000001</v>
      </c>
      <c r="E662">
        <v>29.052</v>
      </c>
      <c r="F662" s="2">
        <v>2.0999999999999999E-3</v>
      </c>
      <c r="G662" t="s">
        <v>2664</v>
      </c>
      <c r="H662" t="s">
        <v>2667</v>
      </c>
      <c r="I662">
        <v>440450.42509999999</v>
      </c>
      <c r="J662">
        <v>1827894.6109</v>
      </c>
      <c r="K662">
        <v>440470.42509999999</v>
      </c>
      <c r="L662">
        <v>1827894.6109</v>
      </c>
      <c r="M662" t="s">
        <v>56</v>
      </c>
      <c r="N662" t="s">
        <v>57</v>
      </c>
      <c r="O662">
        <v>450</v>
      </c>
      <c r="P662" t="s">
        <v>3891</v>
      </c>
      <c r="Q662" t="s">
        <v>3892</v>
      </c>
      <c r="R662" t="s">
        <v>260</v>
      </c>
      <c r="S662" t="s">
        <v>428</v>
      </c>
      <c r="T662" t="s">
        <v>432</v>
      </c>
      <c r="U662">
        <v>0.1115</v>
      </c>
      <c r="V662">
        <v>9.9299999999999999E-2</v>
      </c>
      <c r="W662" t="s">
        <v>52</v>
      </c>
      <c r="X662">
        <v>1.3093999999999999</v>
      </c>
      <c r="Y662">
        <v>1.5103</v>
      </c>
      <c r="Z662">
        <v>1.4631000000000001</v>
      </c>
      <c r="AA662">
        <v>1.5102</v>
      </c>
      <c r="AB662">
        <v>20</v>
      </c>
      <c r="AC662">
        <v>20</v>
      </c>
      <c r="AD662">
        <v>18.801500000000001</v>
      </c>
      <c r="AE662">
        <v>18.801500000000001</v>
      </c>
      <c r="AF662" t="s">
        <v>3899</v>
      </c>
      <c r="AG662" t="s">
        <v>3899</v>
      </c>
      <c r="AH662" t="s">
        <v>3894</v>
      </c>
      <c r="AI662" t="s">
        <v>3894</v>
      </c>
      <c r="AJ662" t="s">
        <v>3895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3896</v>
      </c>
      <c r="AT662" t="s">
        <v>3890</v>
      </c>
      <c r="AU662" t="s">
        <v>3897</v>
      </c>
      <c r="AV662" t="s">
        <v>3898</v>
      </c>
      <c r="AW662">
        <v>2</v>
      </c>
      <c r="AX662">
        <v>0</v>
      </c>
    </row>
    <row r="663" spans="1:50" x14ac:dyDescent="0.25">
      <c r="A663" t="s">
        <v>4652</v>
      </c>
      <c r="B663" t="s">
        <v>3889</v>
      </c>
      <c r="C663" t="s">
        <v>3890</v>
      </c>
      <c r="D663">
        <v>29.498999999999999</v>
      </c>
      <c r="E663">
        <v>29.446999999999999</v>
      </c>
      <c r="F663" s="2">
        <v>2.5999999999999999E-3</v>
      </c>
      <c r="G663" t="s">
        <v>2123</v>
      </c>
      <c r="H663" t="s">
        <v>2126</v>
      </c>
      <c r="I663">
        <v>440314.27490000002</v>
      </c>
      <c r="J663">
        <v>1827795.5748000001</v>
      </c>
      <c r="K663">
        <v>440314.27490000002</v>
      </c>
      <c r="L663">
        <v>1827775.5748000001</v>
      </c>
      <c r="M663" t="s">
        <v>56</v>
      </c>
      <c r="N663" t="s">
        <v>57</v>
      </c>
      <c r="O663">
        <v>450</v>
      </c>
      <c r="P663" t="s">
        <v>3891</v>
      </c>
      <c r="Q663" t="s">
        <v>3892</v>
      </c>
      <c r="R663" t="s">
        <v>156</v>
      </c>
      <c r="S663" t="s">
        <v>452</v>
      </c>
      <c r="T663" t="s">
        <v>448</v>
      </c>
      <c r="U663">
        <v>2.7E-2</v>
      </c>
      <c r="V663">
        <v>2.7E-2</v>
      </c>
      <c r="W663" t="s">
        <v>52</v>
      </c>
      <c r="X663">
        <v>1.1324000000000001</v>
      </c>
      <c r="Y663">
        <v>1.1572</v>
      </c>
      <c r="Z663">
        <v>1.1572</v>
      </c>
      <c r="AA663">
        <v>1.1324000000000001</v>
      </c>
      <c r="AB663">
        <v>20</v>
      </c>
      <c r="AC663">
        <v>20.0001</v>
      </c>
      <c r="AD663">
        <v>18.8018</v>
      </c>
      <c r="AE663">
        <v>18.8019</v>
      </c>
      <c r="AF663" t="s">
        <v>2233</v>
      </c>
      <c r="AG663" t="s">
        <v>2233</v>
      </c>
      <c r="AH663" t="s">
        <v>3894</v>
      </c>
      <c r="AI663" t="s">
        <v>3894</v>
      </c>
      <c r="AJ663" t="s">
        <v>3895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3896</v>
      </c>
      <c r="AT663" t="s">
        <v>3890</v>
      </c>
      <c r="AU663" t="s">
        <v>3897</v>
      </c>
      <c r="AV663" t="s">
        <v>3898</v>
      </c>
      <c r="AW663">
        <v>2</v>
      </c>
      <c r="AX663">
        <v>0</v>
      </c>
    </row>
    <row r="664" spans="1:50" x14ac:dyDescent="0.25">
      <c r="A664" t="s">
        <v>4653</v>
      </c>
      <c r="B664" t="s">
        <v>4355</v>
      </c>
      <c r="C664" t="s">
        <v>3890</v>
      </c>
      <c r="D664">
        <v>30.39</v>
      </c>
      <c r="E664">
        <v>30.338999999999999</v>
      </c>
      <c r="F664" s="2">
        <v>2.5999999999999999E-3</v>
      </c>
      <c r="G664" t="s">
        <v>393</v>
      </c>
      <c r="H664" t="s">
        <v>1963</v>
      </c>
      <c r="I664">
        <v>440121.94949999999</v>
      </c>
      <c r="J664">
        <v>1827582.7811</v>
      </c>
      <c r="K664">
        <v>440121.94949999999</v>
      </c>
      <c r="L664">
        <v>1827562.8171999999</v>
      </c>
      <c r="M664" t="s">
        <v>56</v>
      </c>
      <c r="N664" t="s">
        <v>57</v>
      </c>
      <c r="O664">
        <v>900</v>
      </c>
      <c r="P664" t="s">
        <v>3918</v>
      </c>
      <c r="Q664" t="s">
        <v>3930</v>
      </c>
      <c r="R664" t="s">
        <v>395</v>
      </c>
      <c r="S664" s="1" t="s">
        <v>396</v>
      </c>
      <c r="T664" t="s">
        <v>563</v>
      </c>
      <c r="U664">
        <v>-0.1971</v>
      </c>
      <c r="V664">
        <v>-0.1971</v>
      </c>
      <c r="W664" t="s">
        <v>52</v>
      </c>
      <c r="X664">
        <v>0.82640000000000002</v>
      </c>
      <c r="Y664">
        <v>0.8296</v>
      </c>
      <c r="Z664">
        <v>0.8296</v>
      </c>
      <c r="AA664">
        <v>0.82640000000000002</v>
      </c>
      <c r="AB664">
        <v>19.963899999999999</v>
      </c>
      <c r="AC664">
        <v>19.963899999999999</v>
      </c>
      <c r="AD664">
        <v>18.767099999999999</v>
      </c>
      <c r="AE664">
        <v>18.767099999999999</v>
      </c>
      <c r="AF664" t="s">
        <v>2233</v>
      </c>
      <c r="AG664" t="s">
        <v>2233</v>
      </c>
      <c r="AH664" t="s">
        <v>3894</v>
      </c>
      <c r="AI664" t="s">
        <v>3894</v>
      </c>
      <c r="AJ664" t="s">
        <v>3895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3896</v>
      </c>
      <c r="AT664" t="s">
        <v>3890</v>
      </c>
      <c r="AU664" t="s">
        <v>4357</v>
      </c>
      <c r="AV664" t="s">
        <v>3898</v>
      </c>
      <c r="AW664">
        <v>2</v>
      </c>
      <c r="AX664">
        <v>0</v>
      </c>
    </row>
    <row r="665" spans="1:50" x14ac:dyDescent="0.25">
      <c r="A665" t="s">
        <v>4654</v>
      </c>
      <c r="B665" t="s">
        <v>3889</v>
      </c>
      <c r="C665" t="s">
        <v>3890</v>
      </c>
      <c r="D665">
        <v>29.669</v>
      </c>
      <c r="E665">
        <v>29.617999999999999</v>
      </c>
      <c r="F665" s="2">
        <v>2.5999999999999999E-3</v>
      </c>
      <c r="G665" t="s">
        <v>3125</v>
      </c>
      <c r="H665" t="s">
        <v>3129</v>
      </c>
      <c r="I665">
        <v>440454.3751</v>
      </c>
      <c r="J665">
        <v>1827315.041</v>
      </c>
      <c r="K665">
        <v>440454.3751</v>
      </c>
      <c r="L665">
        <v>1827335.041</v>
      </c>
      <c r="M665" t="s">
        <v>56</v>
      </c>
      <c r="N665" t="s">
        <v>57</v>
      </c>
      <c r="O665">
        <v>450</v>
      </c>
      <c r="P665" t="s">
        <v>3891</v>
      </c>
      <c r="Q665" t="s">
        <v>3892</v>
      </c>
      <c r="R665" t="s">
        <v>3118</v>
      </c>
      <c r="S665" t="s">
        <v>3127</v>
      </c>
      <c r="T665" t="s">
        <v>3131</v>
      </c>
      <c r="U665">
        <v>-9.2799999999999994E-2</v>
      </c>
      <c r="V665">
        <v>-9.2799999999999994E-2</v>
      </c>
      <c r="W665" t="s">
        <v>52</v>
      </c>
      <c r="X665">
        <v>0.89229999999999998</v>
      </c>
      <c r="Y665">
        <v>0.89990000000000003</v>
      </c>
      <c r="Z665">
        <v>0.89229999999999998</v>
      </c>
      <c r="AA665">
        <v>0.89990000000000003</v>
      </c>
      <c r="AB665">
        <v>20</v>
      </c>
      <c r="AC665">
        <v>20.0001</v>
      </c>
      <c r="AD665">
        <v>18.8018</v>
      </c>
      <c r="AE665">
        <v>18.8018</v>
      </c>
      <c r="AF665" t="s">
        <v>67</v>
      </c>
      <c r="AG665" t="s">
        <v>67</v>
      </c>
      <c r="AH665" t="s">
        <v>3894</v>
      </c>
      <c r="AI665" t="s">
        <v>3894</v>
      </c>
      <c r="AJ665" t="s">
        <v>3895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3896</v>
      </c>
      <c r="AT665" t="s">
        <v>3890</v>
      </c>
      <c r="AU665" t="s">
        <v>3897</v>
      </c>
      <c r="AV665" t="s">
        <v>3898</v>
      </c>
      <c r="AW665">
        <v>2</v>
      </c>
      <c r="AX665">
        <v>0</v>
      </c>
    </row>
    <row r="666" spans="1:50" x14ac:dyDescent="0.25">
      <c r="A666" t="s">
        <v>4655</v>
      </c>
      <c r="B666" t="s">
        <v>3889</v>
      </c>
      <c r="C666" t="s">
        <v>3890</v>
      </c>
      <c r="D666">
        <v>30.45</v>
      </c>
      <c r="E666">
        <v>30.4</v>
      </c>
      <c r="F666" s="2">
        <v>2.5999999999999999E-3</v>
      </c>
      <c r="G666" t="s">
        <v>2331</v>
      </c>
      <c r="H666" t="s">
        <v>263</v>
      </c>
      <c r="I666">
        <v>440519.97509999998</v>
      </c>
      <c r="J666">
        <v>1828037.8473</v>
      </c>
      <c r="K666">
        <v>440519.97509999998</v>
      </c>
      <c r="L666">
        <v>1828018.6033999999</v>
      </c>
      <c r="M666" t="s">
        <v>56</v>
      </c>
      <c r="N666" t="s">
        <v>57</v>
      </c>
      <c r="O666">
        <v>450</v>
      </c>
      <c r="P666" t="s">
        <v>3891</v>
      </c>
      <c r="Q666" t="s">
        <v>3892</v>
      </c>
      <c r="R666" t="s">
        <v>265</v>
      </c>
      <c r="S666" t="s">
        <v>2477</v>
      </c>
      <c r="T666" t="s">
        <v>266</v>
      </c>
      <c r="U666">
        <v>0</v>
      </c>
      <c r="V666">
        <v>0</v>
      </c>
      <c r="W666" t="s">
        <v>52</v>
      </c>
      <c r="X666">
        <v>0.8468</v>
      </c>
      <c r="Y666">
        <v>1.0196000000000001</v>
      </c>
      <c r="Z666">
        <v>0.86519999999999997</v>
      </c>
      <c r="AA666">
        <v>0.88239999999999996</v>
      </c>
      <c r="AB666">
        <v>19.244499999999999</v>
      </c>
      <c r="AC666">
        <v>19.244499999999999</v>
      </c>
      <c r="AD666">
        <v>18.345700000000001</v>
      </c>
      <c r="AE666">
        <v>18.345700000000001</v>
      </c>
      <c r="AF666" t="s">
        <v>2233</v>
      </c>
      <c r="AG666" t="s">
        <v>2233</v>
      </c>
      <c r="AH666" t="s">
        <v>3894</v>
      </c>
      <c r="AI666" t="s">
        <v>3894</v>
      </c>
      <c r="AJ666" t="s">
        <v>3895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3896</v>
      </c>
      <c r="AT666" t="s">
        <v>3890</v>
      </c>
      <c r="AU666" t="s">
        <v>3897</v>
      </c>
      <c r="AV666" t="s">
        <v>3898</v>
      </c>
      <c r="AW666">
        <v>2</v>
      </c>
      <c r="AX666">
        <v>0</v>
      </c>
    </row>
    <row r="667" spans="1:50" x14ac:dyDescent="0.25">
      <c r="A667" t="s">
        <v>4656</v>
      </c>
      <c r="B667" t="s">
        <v>3889</v>
      </c>
      <c r="C667" t="s">
        <v>3890</v>
      </c>
      <c r="D667">
        <v>28.666</v>
      </c>
      <c r="E667">
        <v>28.628</v>
      </c>
      <c r="F667" s="2">
        <v>2.2000000000000001E-3</v>
      </c>
      <c r="G667" t="s">
        <v>2637</v>
      </c>
      <c r="H667" t="s">
        <v>2634</v>
      </c>
      <c r="I667">
        <v>440585.57510000002</v>
      </c>
      <c r="J667">
        <v>1827859.6144000001</v>
      </c>
      <c r="K667">
        <v>440585.57510000002</v>
      </c>
      <c r="L667">
        <v>1827842.6984000001</v>
      </c>
      <c r="M667" t="s">
        <v>56</v>
      </c>
      <c r="N667" t="s">
        <v>57</v>
      </c>
      <c r="O667">
        <v>450</v>
      </c>
      <c r="P667" t="s">
        <v>3891</v>
      </c>
      <c r="Q667" t="s">
        <v>3892</v>
      </c>
      <c r="R667" t="s">
        <v>2481</v>
      </c>
      <c r="S667" t="s">
        <v>2639</v>
      </c>
      <c r="T667" t="s">
        <v>416</v>
      </c>
      <c r="U667">
        <v>0</v>
      </c>
      <c r="V667">
        <v>0</v>
      </c>
      <c r="W667" t="s">
        <v>52</v>
      </c>
      <c r="X667">
        <v>0.87809999999999999</v>
      </c>
      <c r="Y667">
        <v>0.88780000000000003</v>
      </c>
      <c r="Z667">
        <v>0.88249999999999995</v>
      </c>
      <c r="AA667">
        <v>0.88780000000000003</v>
      </c>
      <c r="AB667">
        <v>16.916</v>
      </c>
      <c r="AC667">
        <v>16.916</v>
      </c>
      <c r="AD667">
        <v>15.717599999999999</v>
      </c>
      <c r="AE667">
        <v>15.717599999999999</v>
      </c>
      <c r="AF667" t="s">
        <v>2233</v>
      </c>
      <c r="AG667" t="s">
        <v>2233</v>
      </c>
      <c r="AH667" t="s">
        <v>3894</v>
      </c>
      <c r="AI667" t="s">
        <v>3894</v>
      </c>
      <c r="AJ667" t="s">
        <v>3895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3896</v>
      </c>
      <c r="AT667" t="s">
        <v>3890</v>
      </c>
      <c r="AU667" t="s">
        <v>3897</v>
      </c>
      <c r="AV667" t="s">
        <v>3898</v>
      </c>
      <c r="AW667">
        <v>2</v>
      </c>
      <c r="AX667">
        <v>0</v>
      </c>
    </row>
    <row r="668" spans="1:50" x14ac:dyDescent="0.25">
      <c r="A668" t="s">
        <v>4657</v>
      </c>
      <c r="B668" t="s">
        <v>3889</v>
      </c>
      <c r="C668" t="s">
        <v>3890</v>
      </c>
      <c r="D668">
        <v>27.847999999999999</v>
      </c>
      <c r="E668">
        <v>27.803000000000001</v>
      </c>
      <c r="F668" s="2">
        <v>2.3E-3</v>
      </c>
      <c r="G668" t="s">
        <v>3806</v>
      </c>
      <c r="H668" t="s">
        <v>3809</v>
      </c>
      <c r="I668">
        <v>440595.27510000003</v>
      </c>
      <c r="J668">
        <v>1827618.2394999999</v>
      </c>
      <c r="K668">
        <v>440595.27510000003</v>
      </c>
      <c r="L668">
        <v>1827598.2394999999</v>
      </c>
      <c r="M668" t="s">
        <v>56</v>
      </c>
      <c r="N668" t="s">
        <v>57</v>
      </c>
      <c r="O668">
        <v>450</v>
      </c>
      <c r="P668" t="s">
        <v>3891</v>
      </c>
      <c r="Q668" t="s">
        <v>3892</v>
      </c>
      <c r="R668" t="s">
        <v>797</v>
      </c>
      <c r="S668" t="s">
        <v>440</v>
      </c>
      <c r="T668" t="s">
        <v>597</v>
      </c>
      <c r="U668">
        <v>3.3099999999999997E-2</v>
      </c>
      <c r="V668">
        <v>3.3099999999999997E-2</v>
      </c>
      <c r="W668" t="s">
        <v>52</v>
      </c>
      <c r="X668">
        <v>0.99439999999999995</v>
      </c>
      <c r="Y668">
        <v>0.99939999999999996</v>
      </c>
      <c r="Z668">
        <v>0.99939999999999996</v>
      </c>
      <c r="AA668">
        <v>0.99439999999999995</v>
      </c>
      <c r="AB668">
        <v>20</v>
      </c>
      <c r="AC668">
        <v>20.0001</v>
      </c>
      <c r="AD668">
        <v>18.801600000000001</v>
      </c>
      <c r="AE668">
        <v>18.801600000000001</v>
      </c>
      <c r="AF668" t="s">
        <v>3905</v>
      </c>
      <c r="AG668" t="s">
        <v>3905</v>
      </c>
      <c r="AH668" t="s">
        <v>3894</v>
      </c>
      <c r="AI668" t="s">
        <v>3894</v>
      </c>
      <c r="AJ668" t="s">
        <v>3895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3896</v>
      </c>
      <c r="AT668" t="s">
        <v>3890</v>
      </c>
      <c r="AU668" t="s">
        <v>3897</v>
      </c>
      <c r="AV668" t="s">
        <v>3898</v>
      </c>
      <c r="AW668">
        <v>2</v>
      </c>
      <c r="AX668">
        <v>0</v>
      </c>
    </row>
    <row r="669" spans="1:50" x14ac:dyDescent="0.25">
      <c r="A669" t="s">
        <v>4658</v>
      </c>
      <c r="B669" t="s">
        <v>3889</v>
      </c>
      <c r="C669" t="s">
        <v>3890</v>
      </c>
      <c r="D669">
        <v>27.855</v>
      </c>
      <c r="E669">
        <v>27.835000000000001</v>
      </c>
      <c r="F669" s="2">
        <v>1E-3</v>
      </c>
      <c r="G669" t="s">
        <v>3791</v>
      </c>
      <c r="H669" t="s">
        <v>3794</v>
      </c>
      <c r="I669">
        <v>440585.57510000002</v>
      </c>
      <c r="J669">
        <v>1827618.2394999999</v>
      </c>
      <c r="K669">
        <v>440585.57510000002</v>
      </c>
      <c r="L669">
        <v>1827598.2394999999</v>
      </c>
      <c r="M669" t="s">
        <v>56</v>
      </c>
      <c r="N669" t="s">
        <v>57</v>
      </c>
      <c r="O669">
        <v>450</v>
      </c>
      <c r="P669" t="s">
        <v>3891</v>
      </c>
      <c r="Q669" t="s">
        <v>3892</v>
      </c>
      <c r="R669" t="s">
        <v>357</v>
      </c>
      <c r="S669" t="s">
        <v>440</v>
      </c>
      <c r="T669" t="s">
        <v>597</v>
      </c>
      <c r="U669">
        <v>-3.9899999999999998E-2</v>
      </c>
      <c r="V669">
        <v>-2.8899999999999999E-2</v>
      </c>
      <c r="W669" t="s">
        <v>52</v>
      </c>
      <c r="X669">
        <v>0.96240000000000003</v>
      </c>
      <c r="Y669">
        <v>0.99239999999999995</v>
      </c>
      <c r="Z669">
        <v>0.99239999999999995</v>
      </c>
      <c r="AA669">
        <v>0.96240000000000003</v>
      </c>
      <c r="AB669">
        <v>20</v>
      </c>
      <c r="AC669">
        <v>20</v>
      </c>
      <c r="AD669">
        <v>18.800699999999999</v>
      </c>
      <c r="AE669">
        <v>18.800699999999999</v>
      </c>
      <c r="AF669" t="s">
        <v>3905</v>
      </c>
      <c r="AG669" t="s">
        <v>3905</v>
      </c>
      <c r="AH669" t="s">
        <v>3894</v>
      </c>
      <c r="AI669" t="s">
        <v>3894</v>
      </c>
      <c r="AJ669" t="s">
        <v>3895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3896</v>
      </c>
      <c r="AT669" t="s">
        <v>3890</v>
      </c>
      <c r="AU669" t="s">
        <v>3897</v>
      </c>
      <c r="AV669" t="s">
        <v>3898</v>
      </c>
      <c r="AW669">
        <v>2</v>
      </c>
      <c r="AX669">
        <v>0</v>
      </c>
    </row>
    <row r="670" spans="1:50" x14ac:dyDescent="0.25">
      <c r="A670" t="s">
        <v>4659</v>
      </c>
      <c r="B670" t="s">
        <v>3889</v>
      </c>
      <c r="C670" t="s">
        <v>3890</v>
      </c>
      <c r="D670">
        <v>27.815000000000001</v>
      </c>
      <c r="E670">
        <v>27.795000000000002</v>
      </c>
      <c r="F670" s="2">
        <v>1E-3</v>
      </c>
      <c r="G670" t="s">
        <v>3797</v>
      </c>
      <c r="H670" t="s">
        <v>3800</v>
      </c>
      <c r="I670">
        <v>440585.57510000002</v>
      </c>
      <c r="J670">
        <v>1827578.2394999999</v>
      </c>
      <c r="K670">
        <v>440585.57510000002</v>
      </c>
      <c r="L670">
        <v>1827558.2394999999</v>
      </c>
      <c r="M670" t="s">
        <v>56</v>
      </c>
      <c r="N670" t="s">
        <v>57</v>
      </c>
      <c r="O670">
        <v>450</v>
      </c>
      <c r="P670" t="s">
        <v>3891</v>
      </c>
      <c r="Q670" t="s">
        <v>3892</v>
      </c>
      <c r="R670" t="s">
        <v>357</v>
      </c>
      <c r="S670" t="s">
        <v>432</v>
      </c>
      <c r="T670" t="s">
        <v>428</v>
      </c>
      <c r="U670">
        <v>-1.78E-2</v>
      </c>
      <c r="V670">
        <v>-6.7999999999999996E-3</v>
      </c>
      <c r="W670" t="s">
        <v>52</v>
      </c>
      <c r="X670">
        <v>0.90249999999999997</v>
      </c>
      <c r="Y670">
        <v>0.9325</v>
      </c>
      <c r="Z670">
        <v>0.9325</v>
      </c>
      <c r="AA670">
        <v>0.90249999999999997</v>
      </c>
      <c r="AB670">
        <v>20</v>
      </c>
      <c r="AC670">
        <v>20</v>
      </c>
      <c r="AD670">
        <v>18.800699999999999</v>
      </c>
      <c r="AE670">
        <v>18.800699999999999</v>
      </c>
      <c r="AF670" t="s">
        <v>3905</v>
      </c>
      <c r="AG670" t="s">
        <v>3905</v>
      </c>
      <c r="AH670" t="s">
        <v>3894</v>
      </c>
      <c r="AI670" t="s">
        <v>3894</v>
      </c>
      <c r="AJ670" t="s">
        <v>3895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3896</v>
      </c>
      <c r="AT670" t="s">
        <v>3890</v>
      </c>
      <c r="AU670" t="s">
        <v>3897</v>
      </c>
      <c r="AV670" t="s">
        <v>3898</v>
      </c>
      <c r="AW670">
        <v>2</v>
      </c>
      <c r="AX670">
        <v>0</v>
      </c>
    </row>
    <row r="671" spans="1:50" x14ac:dyDescent="0.25">
      <c r="A671" t="s">
        <v>4660</v>
      </c>
      <c r="B671" t="s">
        <v>3889</v>
      </c>
      <c r="C671" t="s">
        <v>3890</v>
      </c>
      <c r="D671">
        <v>27.803000000000001</v>
      </c>
      <c r="E671">
        <v>27.763999999999999</v>
      </c>
      <c r="F671" s="2">
        <v>1.9E-3</v>
      </c>
      <c r="G671" t="s">
        <v>3809</v>
      </c>
      <c r="H671" t="s">
        <v>3812</v>
      </c>
      <c r="I671">
        <v>440595.27510000003</v>
      </c>
      <c r="J671">
        <v>1827598.2394999999</v>
      </c>
      <c r="K671">
        <v>440595.27510000003</v>
      </c>
      <c r="L671">
        <v>1827578.2394999999</v>
      </c>
      <c r="M671" t="s">
        <v>56</v>
      </c>
      <c r="N671" t="s">
        <v>57</v>
      </c>
      <c r="O671">
        <v>450</v>
      </c>
      <c r="P671" t="s">
        <v>3891</v>
      </c>
      <c r="Q671" t="s">
        <v>3892</v>
      </c>
      <c r="R671" t="s">
        <v>797</v>
      </c>
      <c r="S671" s="1" t="s">
        <v>597</v>
      </c>
      <c r="T671" s="1" t="s">
        <v>432</v>
      </c>
      <c r="U671">
        <v>3.3099999999999997E-2</v>
      </c>
      <c r="V671">
        <v>3.3099999999999997E-2</v>
      </c>
      <c r="W671" t="s">
        <v>52</v>
      </c>
      <c r="X671">
        <v>0.98350000000000004</v>
      </c>
      <c r="Y671">
        <v>0.99439999999999995</v>
      </c>
      <c r="Z671">
        <v>0.99439999999999995</v>
      </c>
      <c r="AA671">
        <v>0.98350000000000004</v>
      </c>
      <c r="AB671">
        <v>20</v>
      </c>
      <c r="AC671">
        <v>20</v>
      </c>
      <c r="AD671">
        <v>18.801400000000001</v>
      </c>
      <c r="AE671">
        <v>18.801400000000001</v>
      </c>
      <c r="AF671" t="s">
        <v>3905</v>
      </c>
      <c r="AG671" t="s">
        <v>3905</v>
      </c>
      <c r="AH671" t="s">
        <v>3894</v>
      </c>
      <c r="AI671" t="s">
        <v>3894</v>
      </c>
      <c r="AJ671" t="s">
        <v>3895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3896</v>
      </c>
      <c r="AT671" t="s">
        <v>3890</v>
      </c>
      <c r="AU671" t="s">
        <v>3897</v>
      </c>
      <c r="AV671" t="s">
        <v>3898</v>
      </c>
      <c r="AW671">
        <v>2</v>
      </c>
      <c r="AX671">
        <v>0</v>
      </c>
    </row>
    <row r="672" spans="1:50" x14ac:dyDescent="0.25">
      <c r="A672" t="s">
        <v>4661</v>
      </c>
      <c r="B672" t="s">
        <v>3889</v>
      </c>
      <c r="C672" t="s">
        <v>3890</v>
      </c>
      <c r="D672">
        <v>27.835000000000001</v>
      </c>
      <c r="E672">
        <v>27.815000000000001</v>
      </c>
      <c r="F672" s="2">
        <v>1E-3</v>
      </c>
      <c r="G672" t="s">
        <v>3794</v>
      </c>
      <c r="H672" t="s">
        <v>3797</v>
      </c>
      <c r="I672">
        <v>440585.57510000002</v>
      </c>
      <c r="J672">
        <v>1827598.2394999999</v>
      </c>
      <c r="K672">
        <v>440585.57510000002</v>
      </c>
      <c r="L672">
        <v>1827578.2394999999</v>
      </c>
      <c r="M672" t="s">
        <v>56</v>
      </c>
      <c r="N672" t="s">
        <v>57</v>
      </c>
      <c r="O672">
        <v>450</v>
      </c>
      <c r="P672" t="s">
        <v>3891</v>
      </c>
      <c r="Q672" t="s">
        <v>3892</v>
      </c>
      <c r="R672" t="s">
        <v>357</v>
      </c>
      <c r="S672" t="s">
        <v>597</v>
      </c>
      <c r="T672" t="s">
        <v>432</v>
      </c>
      <c r="U672">
        <v>-2.8899999999999999E-2</v>
      </c>
      <c r="V672">
        <v>-1.78E-2</v>
      </c>
      <c r="W672" t="s">
        <v>52</v>
      </c>
      <c r="X672">
        <v>0.9325</v>
      </c>
      <c r="Y672">
        <v>0.96240000000000003</v>
      </c>
      <c r="Z672">
        <v>0.96240000000000003</v>
      </c>
      <c r="AA672">
        <v>0.9325</v>
      </c>
      <c r="AB672">
        <v>20</v>
      </c>
      <c r="AC672">
        <v>20</v>
      </c>
      <c r="AD672">
        <v>18.800699999999999</v>
      </c>
      <c r="AE672">
        <v>18.800699999999999</v>
      </c>
      <c r="AF672" t="s">
        <v>3905</v>
      </c>
      <c r="AG672" t="s">
        <v>3905</v>
      </c>
      <c r="AH672" t="s">
        <v>3894</v>
      </c>
      <c r="AI672" t="s">
        <v>3894</v>
      </c>
      <c r="AJ672" t="s">
        <v>3895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3896</v>
      </c>
      <c r="AT672" t="s">
        <v>3890</v>
      </c>
      <c r="AU672" t="s">
        <v>3897</v>
      </c>
      <c r="AV672" t="s">
        <v>3898</v>
      </c>
      <c r="AW672">
        <v>2</v>
      </c>
      <c r="AX672">
        <v>0</v>
      </c>
    </row>
    <row r="673" spans="1:50" x14ac:dyDescent="0.25">
      <c r="A673" t="s">
        <v>4662</v>
      </c>
      <c r="B673" t="s">
        <v>3889</v>
      </c>
      <c r="C673" t="s">
        <v>3890</v>
      </c>
      <c r="D673">
        <v>28.686</v>
      </c>
      <c r="E673">
        <v>28.657</v>
      </c>
      <c r="F673" s="2">
        <v>1.5E-3</v>
      </c>
      <c r="G673" t="s">
        <v>2890</v>
      </c>
      <c r="H673" t="s">
        <v>2893</v>
      </c>
      <c r="I673">
        <v>440387.3751</v>
      </c>
      <c r="J673">
        <v>1827649.7609000001</v>
      </c>
      <c r="K673">
        <v>440387.3751</v>
      </c>
      <c r="L673">
        <v>1827669.7609000001</v>
      </c>
      <c r="M673" t="s">
        <v>56</v>
      </c>
      <c r="N673" t="s">
        <v>57</v>
      </c>
      <c r="O673">
        <v>450</v>
      </c>
      <c r="P673" t="s">
        <v>3891</v>
      </c>
      <c r="Q673" t="s">
        <v>3892</v>
      </c>
      <c r="R673" t="s">
        <v>117</v>
      </c>
      <c r="S673" t="s">
        <v>525</v>
      </c>
      <c r="T673" t="s">
        <v>529</v>
      </c>
      <c r="U673">
        <v>3.6400000000000002E-2</v>
      </c>
      <c r="V673">
        <v>3.6400000000000002E-2</v>
      </c>
      <c r="W673" t="s">
        <v>52</v>
      </c>
      <c r="X673">
        <v>0.94059999999999999</v>
      </c>
      <c r="Y673">
        <v>0.95469999999999999</v>
      </c>
      <c r="Z673">
        <v>0.95050000000000001</v>
      </c>
      <c r="AA673">
        <v>0.95469999999999999</v>
      </c>
      <c r="AB673">
        <v>20</v>
      </c>
      <c r="AC673">
        <v>20</v>
      </c>
      <c r="AD673">
        <v>18.800999999999998</v>
      </c>
      <c r="AE673">
        <v>18.800999999999998</v>
      </c>
      <c r="AF673" t="s">
        <v>67</v>
      </c>
      <c r="AG673" t="s">
        <v>67</v>
      </c>
      <c r="AH673" t="s">
        <v>3894</v>
      </c>
      <c r="AI673" t="s">
        <v>3894</v>
      </c>
      <c r="AJ673" t="s">
        <v>3895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3896</v>
      </c>
      <c r="AT673" t="s">
        <v>3890</v>
      </c>
      <c r="AU673" t="s">
        <v>3897</v>
      </c>
      <c r="AV673" t="s">
        <v>3898</v>
      </c>
      <c r="AW673">
        <v>2</v>
      </c>
      <c r="AX673">
        <v>0</v>
      </c>
    </row>
    <row r="674" spans="1:50" x14ac:dyDescent="0.25">
      <c r="A674" t="s">
        <v>4663</v>
      </c>
      <c r="B674" t="s">
        <v>3889</v>
      </c>
      <c r="C674" t="s">
        <v>3890</v>
      </c>
      <c r="D674">
        <v>28.495999999999999</v>
      </c>
      <c r="E674">
        <v>28.474</v>
      </c>
      <c r="F674" s="2">
        <v>1.1000000000000001E-3</v>
      </c>
      <c r="G674" t="s">
        <v>2786</v>
      </c>
      <c r="H674" t="s">
        <v>2789</v>
      </c>
      <c r="I674">
        <v>440585.57510000002</v>
      </c>
      <c r="J674">
        <v>1827822.6984000001</v>
      </c>
      <c r="K674">
        <v>440585.57510000002</v>
      </c>
      <c r="L674">
        <v>1827802.6984000001</v>
      </c>
      <c r="M674" t="s">
        <v>56</v>
      </c>
      <c r="N674" t="s">
        <v>57</v>
      </c>
      <c r="O674">
        <v>450</v>
      </c>
      <c r="P674" t="s">
        <v>3891</v>
      </c>
      <c r="Q674" t="s">
        <v>3892</v>
      </c>
      <c r="R674" t="s">
        <v>2481</v>
      </c>
      <c r="S674" t="s">
        <v>529</v>
      </c>
      <c r="T674" t="s">
        <v>525</v>
      </c>
      <c r="U674">
        <v>0</v>
      </c>
      <c r="V674">
        <v>0</v>
      </c>
      <c r="W674" t="s">
        <v>52</v>
      </c>
      <c r="X674">
        <v>1.0463</v>
      </c>
      <c r="Y674">
        <v>1.1103000000000001</v>
      </c>
      <c r="Z674">
        <v>1.0463</v>
      </c>
      <c r="AA674">
        <v>1.1103000000000001</v>
      </c>
      <c r="AB674">
        <v>20</v>
      </c>
      <c r="AC674">
        <v>20</v>
      </c>
      <c r="AD674">
        <v>18.800799999999999</v>
      </c>
      <c r="AE674">
        <v>18.800799999999999</v>
      </c>
      <c r="AF674" t="s">
        <v>2233</v>
      </c>
      <c r="AG674" t="s">
        <v>2233</v>
      </c>
      <c r="AH674" t="s">
        <v>3894</v>
      </c>
      <c r="AI674" t="s">
        <v>3894</v>
      </c>
      <c r="AJ674" t="s">
        <v>3895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3896</v>
      </c>
      <c r="AT674" t="s">
        <v>3890</v>
      </c>
      <c r="AU674" t="s">
        <v>3897</v>
      </c>
      <c r="AV674" t="s">
        <v>3898</v>
      </c>
      <c r="AW674">
        <v>2</v>
      </c>
      <c r="AX674">
        <v>0</v>
      </c>
    </row>
    <row r="675" spans="1:50" x14ac:dyDescent="0.25">
      <c r="A675" t="s">
        <v>4664</v>
      </c>
      <c r="B675" t="s">
        <v>3889</v>
      </c>
      <c r="C675" t="s">
        <v>3890</v>
      </c>
      <c r="D675">
        <v>29.332999999999998</v>
      </c>
      <c r="E675">
        <v>29.27</v>
      </c>
      <c r="F675" s="2">
        <v>3.0000000000000001E-3</v>
      </c>
      <c r="G675" t="s">
        <v>235</v>
      </c>
      <c r="H675" t="s">
        <v>2596</v>
      </c>
      <c r="I675">
        <v>440464.07510000002</v>
      </c>
      <c r="J675">
        <v>1827863.7308</v>
      </c>
      <c r="K675">
        <v>440464.07510000002</v>
      </c>
      <c r="L675">
        <v>1827842.6987000001</v>
      </c>
      <c r="M675" t="s">
        <v>56</v>
      </c>
      <c r="N675" t="s">
        <v>57</v>
      </c>
      <c r="O675">
        <v>450</v>
      </c>
      <c r="P675" t="s">
        <v>3891</v>
      </c>
      <c r="Q675" t="s">
        <v>3892</v>
      </c>
      <c r="R675" t="s">
        <v>210</v>
      </c>
      <c r="S675" t="s">
        <v>237</v>
      </c>
      <c r="T675" t="s">
        <v>416</v>
      </c>
      <c r="U675">
        <v>0</v>
      </c>
      <c r="V675">
        <v>0</v>
      </c>
      <c r="W675" t="s">
        <v>52</v>
      </c>
      <c r="X675">
        <v>0.88249999999999995</v>
      </c>
      <c r="Y675">
        <v>0.98409999999999997</v>
      </c>
      <c r="Z675">
        <v>0.98409999999999997</v>
      </c>
      <c r="AA675">
        <v>0.88249999999999995</v>
      </c>
      <c r="AB675">
        <v>21.0321</v>
      </c>
      <c r="AC675">
        <v>21.0322</v>
      </c>
      <c r="AD675">
        <v>19.834199999999999</v>
      </c>
      <c r="AE675">
        <v>19.834299999999999</v>
      </c>
      <c r="AF675" t="s">
        <v>3905</v>
      </c>
      <c r="AG675" t="s">
        <v>3905</v>
      </c>
      <c r="AH675" t="s">
        <v>3894</v>
      </c>
      <c r="AI675" t="s">
        <v>3894</v>
      </c>
      <c r="AJ675" t="s">
        <v>3895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3896</v>
      </c>
      <c r="AT675" t="s">
        <v>3890</v>
      </c>
      <c r="AU675" t="s">
        <v>3897</v>
      </c>
      <c r="AV675" t="s">
        <v>3898</v>
      </c>
      <c r="AW675">
        <v>2</v>
      </c>
      <c r="AX675">
        <v>0</v>
      </c>
    </row>
    <row r="676" spans="1:50" x14ac:dyDescent="0.25">
      <c r="A676" t="s">
        <v>4665</v>
      </c>
      <c r="B676" t="s">
        <v>3889</v>
      </c>
      <c r="C676" t="s">
        <v>3890</v>
      </c>
      <c r="D676">
        <v>29.334</v>
      </c>
      <c r="E676">
        <v>29.27</v>
      </c>
      <c r="F676" s="2">
        <v>3.0000000000000001E-3</v>
      </c>
      <c r="G676" t="s">
        <v>230</v>
      </c>
      <c r="H676" t="s">
        <v>2599</v>
      </c>
      <c r="I676">
        <v>440454.3751</v>
      </c>
      <c r="J676">
        <v>1827863.8831</v>
      </c>
      <c r="K676">
        <v>440454.3751</v>
      </c>
      <c r="L676">
        <v>1827842.6987000001</v>
      </c>
      <c r="M676" t="s">
        <v>56</v>
      </c>
      <c r="N676" t="s">
        <v>57</v>
      </c>
      <c r="O676">
        <v>450</v>
      </c>
      <c r="P676" t="s">
        <v>3891</v>
      </c>
      <c r="Q676" t="s">
        <v>3892</v>
      </c>
      <c r="R676" t="s">
        <v>232</v>
      </c>
      <c r="S676" t="s">
        <v>233</v>
      </c>
      <c r="T676" t="s">
        <v>416</v>
      </c>
      <c r="U676">
        <v>0.1784</v>
      </c>
      <c r="V676">
        <v>0.1784</v>
      </c>
      <c r="W676" t="s">
        <v>52</v>
      </c>
      <c r="X676">
        <v>0.88249999999999995</v>
      </c>
      <c r="Y676">
        <v>0.98429999999999995</v>
      </c>
      <c r="Z676">
        <v>0.98429999999999995</v>
      </c>
      <c r="AA676">
        <v>0.88249999999999995</v>
      </c>
      <c r="AB676">
        <v>21.1844</v>
      </c>
      <c r="AC676">
        <v>21.1845</v>
      </c>
      <c r="AD676">
        <v>19.986499999999999</v>
      </c>
      <c r="AE676">
        <v>19.986599999999999</v>
      </c>
      <c r="AF676" t="s">
        <v>3905</v>
      </c>
      <c r="AG676" t="s">
        <v>3905</v>
      </c>
      <c r="AH676" t="s">
        <v>3894</v>
      </c>
      <c r="AI676" t="s">
        <v>3894</v>
      </c>
      <c r="AJ676" t="s">
        <v>3895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3896</v>
      </c>
      <c r="AT676" t="s">
        <v>3890</v>
      </c>
      <c r="AU676" t="s">
        <v>3897</v>
      </c>
      <c r="AV676" t="s">
        <v>3898</v>
      </c>
      <c r="AW676">
        <v>2</v>
      </c>
      <c r="AX676">
        <v>0</v>
      </c>
    </row>
    <row r="677" spans="1:50" x14ac:dyDescent="0.25">
      <c r="A677" t="s">
        <v>407</v>
      </c>
      <c r="B677" t="s">
        <v>3889</v>
      </c>
      <c r="C677" t="s">
        <v>3890</v>
      </c>
      <c r="D677">
        <v>33.165999999999997</v>
      </c>
      <c r="E677">
        <v>33.139000000000003</v>
      </c>
      <c r="F677" s="2">
        <v>2.3999999999999998E-3</v>
      </c>
      <c r="G677" t="s">
        <v>406</v>
      </c>
      <c r="H677" t="s">
        <v>323</v>
      </c>
      <c r="I677">
        <v>439938.87520000001</v>
      </c>
      <c r="J677">
        <v>1827274.1136</v>
      </c>
      <c r="K677">
        <v>439938.87520000001</v>
      </c>
      <c r="L677">
        <v>1827285.3596999999</v>
      </c>
      <c r="M677" t="s">
        <v>56</v>
      </c>
      <c r="N677" t="s">
        <v>57</v>
      </c>
      <c r="O677">
        <v>450</v>
      </c>
      <c r="P677" t="s">
        <v>3891</v>
      </c>
      <c r="Q677" t="s">
        <v>3892</v>
      </c>
      <c r="R677" t="s">
        <v>75</v>
      </c>
      <c r="S677" s="1" t="s">
        <v>408</v>
      </c>
      <c r="T677" t="s">
        <v>325</v>
      </c>
      <c r="U677">
        <v>-0.15129999999999999</v>
      </c>
      <c r="V677">
        <v>-0.15129999999999999</v>
      </c>
      <c r="W677" t="s">
        <v>52</v>
      </c>
      <c r="X677">
        <v>0.88249999999999995</v>
      </c>
      <c r="Y677">
        <v>0.88349999999999995</v>
      </c>
      <c r="Z677">
        <v>0.88249999999999995</v>
      </c>
      <c r="AA677">
        <v>0.88349999999999995</v>
      </c>
      <c r="AB677">
        <v>11.2461</v>
      </c>
      <c r="AC677">
        <v>11.2462</v>
      </c>
      <c r="AD677">
        <v>10.047800000000001</v>
      </c>
      <c r="AE677">
        <v>10.047800000000001</v>
      </c>
      <c r="AF677" t="s">
        <v>67</v>
      </c>
      <c r="AG677" t="s">
        <v>67</v>
      </c>
      <c r="AH677" t="s">
        <v>3894</v>
      </c>
      <c r="AI677" t="s">
        <v>3894</v>
      </c>
      <c r="AJ677" t="s">
        <v>3895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3896</v>
      </c>
      <c r="AT677" t="s">
        <v>3890</v>
      </c>
      <c r="AU677" t="s">
        <v>3897</v>
      </c>
      <c r="AV677" t="s">
        <v>3898</v>
      </c>
      <c r="AW677">
        <v>2</v>
      </c>
      <c r="AX677">
        <v>0</v>
      </c>
    </row>
    <row r="678" spans="1:50" x14ac:dyDescent="0.25">
      <c r="A678" t="s">
        <v>804</v>
      </c>
      <c r="B678" t="s">
        <v>3889</v>
      </c>
      <c r="C678" t="s">
        <v>3890</v>
      </c>
      <c r="D678">
        <v>29.081</v>
      </c>
      <c r="E678">
        <v>29.04</v>
      </c>
      <c r="F678" s="2">
        <v>3.0000000000000001E-3</v>
      </c>
      <c r="G678" t="s">
        <v>803</v>
      </c>
      <c r="H678" t="s">
        <v>3724</v>
      </c>
      <c r="I678">
        <v>440387.3751</v>
      </c>
      <c r="J678">
        <v>1827555.9924999999</v>
      </c>
      <c r="K678">
        <v>440387.3751</v>
      </c>
      <c r="L678">
        <v>1827569.7609000001</v>
      </c>
      <c r="M678" t="s">
        <v>56</v>
      </c>
      <c r="N678" t="s">
        <v>57</v>
      </c>
      <c r="O678">
        <v>450</v>
      </c>
      <c r="P678" t="s">
        <v>3891</v>
      </c>
      <c r="Q678" t="s">
        <v>3892</v>
      </c>
      <c r="R678" t="s">
        <v>117</v>
      </c>
      <c r="S678" s="1" t="s">
        <v>805</v>
      </c>
      <c r="T678" t="s">
        <v>1065</v>
      </c>
      <c r="U678">
        <v>3.6400000000000002E-2</v>
      </c>
      <c r="V678">
        <v>3.6400000000000002E-2</v>
      </c>
      <c r="W678" t="s">
        <v>52</v>
      </c>
      <c r="X678">
        <v>0.88170000000000004</v>
      </c>
      <c r="Y678">
        <v>0.91790000000000005</v>
      </c>
      <c r="Z678">
        <v>0.91790000000000005</v>
      </c>
      <c r="AA678">
        <v>0.88170000000000004</v>
      </c>
      <c r="AB678">
        <v>13.7684</v>
      </c>
      <c r="AC678">
        <v>13.7685</v>
      </c>
      <c r="AD678">
        <v>12.570499999999999</v>
      </c>
      <c r="AE678">
        <v>12.570600000000001</v>
      </c>
      <c r="AF678" t="s">
        <v>67</v>
      </c>
      <c r="AG678" t="s">
        <v>67</v>
      </c>
      <c r="AH678" t="s">
        <v>3894</v>
      </c>
      <c r="AI678" t="s">
        <v>3894</v>
      </c>
      <c r="AJ678" t="s">
        <v>3895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3896</v>
      </c>
      <c r="AT678" t="s">
        <v>3890</v>
      </c>
      <c r="AU678" t="s">
        <v>3897</v>
      </c>
      <c r="AV678" t="s">
        <v>3898</v>
      </c>
      <c r="AW678">
        <v>2</v>
      </c>
      <c r="AX678">
        <v>0</v>
      </c>
    </row>
    <row r="679" spans="1:50" x14ac:dyDescent="0.25">
      <c r="A679" t="s">
        <v>4666</v>
      </c>
      <c r="B679" t="s">
        <v>3889</v>
      </c>
      <c r="C679" t="s">
        <v>3890</v>
      </c>
      <c r="D679">
        <v>28.747</v>
      </c>
      <c r="E679">
        <v>28.704999999999998</v>
      </c>
      <c r="F679" s="2">
        <v>2.0999999999999999E-3</v>
      </c>
      <c r="G679" t="s">
        <v>3762</v>
      </c>
      <c r="H679" t="s">
        <v>3760</v>
      </c>
      <c r="I679">
        <v>440464.07510000002</v>
      </c>
      <c r="J679">
        <v>1827598.2394999999</v>
      </c>
      <c r="K679">
        <v>440464.07510000002</v>
      </c>
      <c r="L679">
        <v>1827618.2394999999</v>
      </c>
      <c r="M679" t="s">
        <v>56</v>
      </c>
      <c r="N679" t="s">
        <v>57</v>
      </c>
      <c r="O679">
        <v>450</v>
      </c>
      <c r="P679" t="s">
        <v>3891</v>
      </c>
      <c r="Q679" t="s">
        <v>3892</v>
      </c>
      <c r="R679" t="s">
        <v>171</v>
      </c>
      <c r="S679" t="s">
        <v>597</v>
      </c>
      <c r="T679" t="s">
        <v>440</v>
      </c>
      <c r="U679">
        <v>0</v>
      </c>
      <c r="V679">
        <v>0</v>
      </c>
      <c r="W679" t="s">
        <v>52</v>
      </c>
      <c r="X679">
        <v>0.88239999999999996</v>
      </c>
      <c r="Y679">
        <v>0.88480000000000003</v>
      </c>
      <c r="Z679">
        <v>0.88480000000000003</v>
      </c>
      <c r="AA679">
        <v>0.88239999999999996</v>
      </c>
      <c r="AB679">
        <v>20</v>
      </c>
      <c r="AC679">
        <v>20</v>
      </c>
      <c r="AD679">
        <v>18.801500000000001</v>
      </c>
      <c r="AE679">
        <v>18.801500000000001</v>
      </c>
      <c r="AF679" t="s">
        <v>67</v>
      </c>
      <c r="AG679" t="s">
        <v>67</v>
      </c>
      <c r="AH679" t="s">
        <v>3894</v>
      </c>
      <c r="AI679" t="s">
        <v>3894</v>
      </c>
      <c r="AJ679" t="s">
        <v>3895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3896</v>
      </c>
      <c r="AT679" t="s">
        <v>3890</v>
      </c>
      <c r="AU679" t="s">
        <v>3897</v>
      </c>
      <c r="AV679" t="s">
        <v>3898</v>
      </c>
      <c r="AW679">
        <v>2</v>
      </c>
      <c r="AX679">
        <v>0</v>
      </c>
    </row>
    <row r="680" spans="1:50" x14ac:dyDescent="0.25">
      <c r="A680" t="s">
        <v>4667</v>
      </c>
      <c r="B680" t="s">
        <v>3889</v>
      </c>
      <c r="C680" t="s">
        <v>3890</v>
      </c>
      <c r="D680">
        <v>28.747</v>
      </c>
      <c r="E680">
        <v>28.704999999999998</v>
      </c>
      <c r="F680" s="2">
        <v>2.0999999999999999E-3</v>
      </c>
      <c r="G680" t="s">
        <v>3750</v>
      </c>
      <c r="H680" t="s">
        <v>3747</v>
      </c>
      <c r="I680">
        <v>440454.3751</v>
      </c>
      <c r="J680">
        <v>1827598.2394999999</v>
      </c>
      <c r="K680">
        <v>440454.3751</v>
      </c>
      <c r="L680">
        <v>1827618.2394999999</v>
      </c>
      <c r="M680" t="s">
        <v>56</v>
      </c>
      <c r="N680" t="s">
        <v>57</v>
      </c>
      <c r="O680">
        <v>450</v>
      </c>
      <c r="P680" t="s">
        <v>3891</v>
      </c>
      <c r="Q680" t="s">
        <v>3892</v>
      </c>
      <c r="R680" t="s">
        <v>166</v>
      </c>
      <c r="S680" t="s">
        <v>597</v>
      </c>
      <c r="T680" t="s">
        <v>440</v>
      </c>
      <c r="U680">
        <v>-0.13489999999999999</v>
      </c>
      <c r="V680">
        <v>-0.13489999999999999</v>
      </c>
      <c r="W680" t="s">
        <v>52</v>
      </c>
      <c r="X680">
        <v>0.88239999999999996</v>
      </c>
      <c r="Y680">
        <v>0.88480000000000003</v>
      </c>
      <c r="Z680">
        <v>0.88480000000000003</v>
      </c>
      <c r="AA680">
        <v>0.88239999999999996</v>
      </c>
      <c r="AB680">
        <v>20</v>
      </c>
      <c r="AC680">
        <v>20</v>
      </c>
      <c r="AD680">
        <v>18.801500000000001</v>
      </c>
      <c r="AE680">
        <v>18.801500000000001</v>
      </c>
      <c r="AF680" t="s">
        <v>67</v>
      </c>
      <c r="AG680" t="s">
        <v>67</v>
      </c>
      <c r="AH680" t="s">
        <v>3894</v>
      </c>
      <c r="AI680" t="s">
        <v>3894</v>
      </c>
      <c r="AJ680" t="s">
        <v>3895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3896</v>
      </c>
      <c r="AT680" t="s">
        <v>3890</v>
      </c>
      <c r="AU680" t="s">
        <v>3897</v>
      </c>
      <c r="AV680" t="s">
        <v>3898</v>
      </c>
      <c r="AW680">
        <v>2</v>
      </c>
      <c r="AX680">
        <v>0</v>
      </c>
    </row>
    <row r="681" spans="1:50" x14ac:dyDescent="0.25">
      <c r="A681" t="s">
        <v>4668</v>
      </c>
      <c r="B681" t="s">
        <v>3889</v>
      </c>
      <c r="C681" t="s">
        <v>3890</v>
      </c>
      <c r="D681">
        <v>28.55</v>
      </c>
      <c r="E681">
        <v>28.529</v>
      </c>
      <c r="F681" s="2">
        <v>1E-3</v>
      </c>
      <c r="G681" t="s">
        <v>2860</v>
      </c>
      <c r="H681" t="s">
        <v>2864</v>
      </c>
      <c r="I681">
        <v>440454.3751</v>
      </c>
      <c r="J681">
        <v>1827637.5904999999</v>
      </c>
      <c r="K681">
        <v>440454.3751</v>
      </c>
      <c r="L681">
        <v>1827658.2394999999</v>
      </c>
      <c r="M681" t="s">
        <v>56</v>
      </c>
      <c r="N681" t="s">
        <v>57</v>
      </c>
      <c r="O681">
        <v>450</v>
      </c>
      <c r="P681" t="s">
        <v>3891</v>
      </c>
      <c r="Q681" t="s">
        <v>3892</v>
      </c>
      <c r="R681" t="s">
        <v>166</v>
      </c>
      <c r="S681" t="s">
        <v>2862</v>
      </c>
      <c r="T681" t="s">
        <v>448</v>
      </c>
      <c r="U681">
        <v>-0.13489999999999999</v>
      </c>
      <c r="V681">
        <v>-0.13489999999999999</v>
      </c>
      <c r="W681" t="s">
        <v>52</v>
      </c>
      <c r="X681">
        <v>0.96970000000000001</v>
      </c>
      <c r="Y681">
        <v>0.99450000000000005</v>
      </c>
      <c r="Z681">
        <v>0.99450000000000005</v>
      </c>
      <c r="AA681">
        <v>0.96970000000000001</v>
      </c>
      <c r="AB681">
        <v>20.649000000000001</v>
      </c>
      <c r="AC681">
        <v>20.649000000000001</v>
      </c>
      <c r="AD681">
        <v>19.4497</v>
      </c>
      <c r="AE681">
        <v>19.4497</v>
      </c>
      <c r="AF681" t="s">
        <v>67</v>
      </c>
      <c r="AG681" t="s">
        <v>67</v>
      </c>
      <c r="AH681" t="s">
        <v>3894</v>
      </c>
      <c r="AI681" t="s">
        <v>3894</v>
      </c>
      <c r="AJ681" t="s">
        <v>3895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3896</v>
      </c>
      <c r="AT681" t="s">
        <v>3890</v>
      </c>
      <c r="AU681" t="s">
        <v>3897</v>
      </c>
      <c r="AV681" t="s">
        <v>3898</v>
      </c>
      <c r="AW681">
        <v>2</v>
      </c>
      <c r="AX681">
        <v>0</v>
      </c>
    </row>
    <row r="682" spans="1:50" x14ac:dyDescent="0.25">
      <c r="A682" t="s">
        <v>4669</v>
      </c>
      <c r="B682" t="s">
        <v>3889</v>
      </c>
      <c r="C682" t="s">
        <v>3890</v>
      </c>
      <c r="D682">
        <v>28.957000000000001</v>
      </c>
      <c r="E682">
        <v>28.896999999999998</v>
      </c>
      <c r="F682" s="2">
        <v>3.0000000000000001E-3</v>
      </c>
      <c r="G682" t="s">
        <v>3713</v>
      </c>
      <c r="H682" t="s">
        <v>3710</v>
      </c>
      <c r="I682">
        <v>440398.47509999998</v>
      </c>
      <c r="J682">
        <v>1827589.7609000001</v>
      </c>
      <c r="K682">
        <v>440398.47509999998</v>
      </c>
      <c r="L682">
        <v>1827609.7609000001</v>
      </c>
      <c r="M682" t="s">
        <v>56</v>
      </c>
      <c r="N682" t="s">
        <v>57</v>
      </c>
      <c r="O682">
        <v>450</v>
      </c>
      <c r="P682" t="s">
        <v>3891</v>
      </c>
      <c r="Q682" t="s">
        <v>3892</v>
      </c>
      <c r="R682" t="s">
        <v>107</v>
      </c>
      <c r="S682" t="s">
        <v>1061</v>
      </c>
      <c r="T682" t="s">
        <v>1057</v>
      </c>
      <c r="U682">
        <v>-2.0000000000000001E-4</v>
      </c>
      <c r="V682">
        <v>-2.0000000000000001E-4</v>
      </c>
      <c r="W682" t="s">
        <v>52</v>
      </c>
      <c r="X682">
        <v>0.8821</v>
      </c>
      <c r="Y682">
        <v>0.89339999999999997</v>
      </c>
      <c r="Z682">
        <v>0.89339999999999997</v>
      </c>
      <c r="AA682">
        <v>0.8821</v>
      </c>
      <c r="AB682">
        <v>20</v>
      </c>
      <c r="AC682">
        <v>20.0001</v>
      </c>
      <c r="AD682">
        <v>18.802099999999999</v>
      </c>
      <c r="AE682">
        <v>18.802199999999999</v>
      </c>
      <c r="AF682" t="s">
        <v>67</v>
      </c>
      <c r="AG682" t="s">
        <v>67</v>
      </c>
      <c r="AH682" t="s">
        <v>3894</v>
      </c>
      <c r="AI682" t="s">
        <v>3894</v>
      </c>
      <c r="AJ682" t="s">
        <v>3895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3896</v>
      </c>
      <c r="AT682" t="s">
        <v>3890</v>
      </c>
      <c r="AU682" t="s">
        <v>3897</v>
      </c>
      <c r="AV682" t="s">
        <v>3898</v>
      </c>
      <c r="AW682">
        <v>2</v>
      </c>
      <c r="AX682">
        <v>0</v>
      </c>
    </row>
    <row r="683" spans="1:50" x14ac:dyDescent="0.25">
      <c r="A683" t="s">
        <v>4670</v>
      </c>
      <c r="B683" t="s">
        <v>3996</v>
      </c>
      <c r="C683" t="s">
        <v>3890</v>
      </c>
      <c r="D683">
        <v>27.145</v>
      </c>
      <c r="E683">
        <v>27.123999999999999</v>
      </c>
      <c r="F683" s="2">
        <v>1E-3</v>
      </c>
      <c r="G683" t="s">
        <v>3743</v>
      </c>
      <c r="H683" t="s">
        <v>3756</v>
      </c>
      <c r="I683">
        <v>440427.72869999998</v>
      </c>
      <c r="J683">
        <v>1827549.9786</v>
      </c>
      <c r="K683">
        <v>440448.24910000002</v>
      </c>
      <c r="L683">
        <v>1827549.9805999999</v>
      </c>
      <c r="M683" t="s">
        <v>56</v>
      </c>
      <c r="N683" t="s">
        <v>57</v>
      </c>
      <c r="O683">
        <v>1350</v>
      </c>
      <c r="P683" t="s">
        <v>3997</v>
      </c>
      <c r="Q683" t="s">
        <v>3998</v>
      </c>
      <c r="R683" t="s">
        <v>180</v>
      </c>
      <c r="S683" t="s">
        <v>3745</v>
      </c>
      <c r="T683" t="s">
        <v>3758</v>
      </c>
      <c r="U683">
        <v>-0.55520000000000003</v>
      </c>
      <c r="V683">
        <v>-0.55320000000000003</v>
      </c>
      <c r="W683" t="s">
        <v>52</v>
      </c>
      <c r="X683">
        <v>1.3383</v>
      </c>
      <c r="Y683">
        <v>1.431</v>
      </c>
      <c r="Z683">
        <v>1.431</v>
      </c>
      <c r="AA683">
        <v>1.3383</v>
      </c>
      <c r="AB683">
        <v>20.520399999999999</v>
      </c>
      <c r="AC683">
        <v>20.520399999999999</v>
      </c>
      <c r="AD683">
        <v>19.322199999999999</v>
      </c>
      <c r="AE683">
        <v>19.322199999999999</v>
      </c>
      <c r="AF683" t="s">
        <v>4671</v>
      </c>
      <c r="AG683" t="s">
        <v>4671</v>
      </c>
      <c r="AH683" t="s">
        <v>3894</v>
      </c>
      <c r="AI683" t="s">
        <v>3894</v>
      </c>
      <c r="AJ683" t="s">
        <v>3895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3896</v>
      </c>
      <c r="AT683" t="s">
        <v>3890</v>
      </c>
      <c r="AU683" t="s">
        <v>4000</v>
      </c>
      <c r="AV683" t="s">
        <v>3898</v>
      </c>
      <c r="AW683">
        <v>2</v>
      </c>
      <c r="AX683">
        <v>0</v>
      </c>
    </row>
    <row r="684" spans="1:50" x14ac:dyDescent="0.25">
      <c r="A684" t="s">
        <v>1802</v>
      </c>
      <c r="B684" t="s">
        <v>3889</v>
      </c>
      <c r="C684" t="s">
        <v>3890</v>
      </c>
      <c r="D684">
        <v>33.052999999999997</v>
      </c>
      <c r="E684">
        <v>33.006</v>
      </c>
      <c r="F684" s="2">
        <v>2.3999999999999998E-3</v>
      </c>
      <c r="G684" t="s">
        <v>1801</v>
      </c>
      <c r="H684" t="s">
        <v>1803</v>
      </c>
      <c r="I684">
        <v>440053.7745</v>
      </c>
      <c r="J684">
        <v>1828202.8171000001</v>
      </c>
      <c r="K684">
        <v>440053.7745</v>
      </c>
      <c r="L684">
        <v>1828182.8171000001</v>
      </c>
      <c r="M684" t="s">
        <v>56</v>
      </c>
      <c r="N684" t="s">
        <v>57</v>
      </c>
      <c r="O684">
        <v>450</v>
      </c>
      <c r="P684" t="s">
        <v>3891</v>
      </c>
      <c r="Q684" t="s">
        <v>3892</v>
      </c>
      <c r="R684" t="s">
        <v>502</v>
      </c>
      <c r="S684" t="s">
        <v>774</v>
      </c>
      <c r="T684" t="s">
        <v>452</v>
      </c>
      <c r="U684">
        <v>1.15E-2</v>
      </c>
      <c r="V684">
        <v>1.15E-2</v>
      </c>
      <c r="W684" t="s">
        <v>52</v>
      </c>
      <c r="X684">
        <v>0.88200000000000001</v>
      </c>
      <c r="Y684">
        <v>0.98850000000000005</v>
      </c>
      <c r="Z684">
        <v>0.88200000000000001</v>
      </c>
      <c r="AA684">
        <v>0.98850000000000005</v>
      </c>
      <c r="AB684">
        <v>20</v>
      </c>
      <c r="AC684">
        <v>20.0001</v>
      </c>
      <c r="AD684">
        <v>18.801600000000001</v>
      </c>
      <c r="AE684">
        <v>18.8017</v>
      </c>
      <c r="AF684" t="s">
        <v>2233</v>
      </c>
      <c r="AG684" t="s">
        <v>2233</v>
      </c>
      <c r="AH684" t="s">
        <v>3894</v>
      </c>
      <c r="AI684" t="s">
        <v>3894</v>
      </c>
      <c r="AJ684" t="s">
        <v>3895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3896</v>
      </c>
      <c r="AT684" t="s">
        <v>3890</v>
      </c>
      <c r="AU684" t="s">
        <v>3897</v>
      </c>
      <c r="AV684" t="s">
        <v>3898</v>
      </c>
      <c r="AW684">
        <v>2</v>
      </c>
      <c r="AX684">
        <v>0</v>
      </c>
    </row>
    <row r="685" spans="1:50" x14ac:dyDescent="0.25">
      <c r="A685" t="s">
        <v>1784</v>
      </c>
      <c r="B685" t="s">
        <v>3889</v>
      </c>
      <c r="C685" t="s">
        <v>3890</v>
      </c>
      <c r="D685">
        <v>33.052999999999997</v>
      </c>
      <c r="E685">
        <v>33.006</v>
      </c>
      <c r="F685" s="2">
        <v>2.3999999999999998E-3</v>
      </c>
      <c r="G685" t="s">
        <v>1783</v>
      </c>
      <c r="H685" t="s">
        <v>1786</v>
      </c>
      <c r="I685">
        <v>440044.07449999999</v>
      </c>
      <c r="J685">
        <v>1828202.8171000001</v>
      </c>
      <c r="K685">
        <v>440044.07449999999</v>
      </c>
      <c r="L685">
        <v>1828182.8171000001</v>
      </c>
      <c r="M685" t="s">
        <v>56</v>
      </c>
      <c r="N685" t="s">
        <v>57</v>
      </c>
      <c r="O685">
        <v>450</v>
      </c>
      <c r="P685" t="s">
        <v>3891</v>
      </c>
      <c r="Q685" t="s">
        <v>3892</v>
      </c>
      <c r="R685" t="s">
        <v>489</v>
      </c>
      <c r="S685" t="s">
        <v>774</v>
      </c>
      <c r="T685" s="1" t="s">
        <v>452</v>
      </c>
      <c r="U685">
        <v>0.15</v>
      </c>
      <c r="V685">
        <v>0.15</v>
      </c>
      <c r="W685" t="s">
        <v>52</v>
      </c>
      <c r="X685">
        <v>0.88200000000000001</v>
      </c>
      <c r="Y685">
        <v>0.98850000000000005</v>
      </c>
      <c r="Z685">
        <v>0.88200000000000001</v>
      </c>
      <c r="AA685">
        <v>0.98850000000000005</v>
      </c>
      <c r="AB685">
        <v>20</v>
      </c>
      <c r="AC685">
        <v>20.0001</v>
      </c>
      <c r="AD685">
        <v>18.801600000000001</v>
      </c>
      <c r="AE685">
        <v>18.8017</v>
      </c>
      <c r="AF685" t="s">
        <v>2233</v>
      </c>
      <c r="AG685" t="s">
        <v>2233</v>
      </c>
      <c r="AH685" t="s">
        <v>3894</v>
      </c>
      <c r="AI685" t="s">
        <v>3894</v>
      </c>
      <c r="AJ685" t="s">
        <v>3895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3896</v>
      </c>
      <c r="AT685" t="s">
        <v>3890</v>
      </c>
      <c r="AU685" t="s">
        <v>3897</v>
      </c>
      <c r="AV685" t="s">
        <v>3898</v>
      </c>
      <c r="AW685">
        <v>2</v>
      </c>
      <c r="AX685">
        <v>0</v>
      </c>
    </row>
    <row r="686" spans="1:50" x14ac:dyDescent="0.25">
      <c r="A686" t="s">
        <v>4672</v>
      </c>
      <c r="B686" t="s">
        <v>3889</v>
      </c>
      <c r="C686" t="s">
        <v>3890</v>
      </c>
      <c r="D686">
        <v>29.85</v>
      </c>
      <c r="E686">
        <v>29.827000000000002</v>
      </c>
      <c r="F686" s="2">
        <v>2.3E-3</v>
      </c>
      <c r="G686" t="s">
        <v>2412</v>
      </c>
      <c r="H686" t="s">
        <v>2415</v>
      </c>
      <c r="I686">
        <v>440510.42509999999</v>
      </c>
      <c r="J686">
        <v>1827925.5109000001</v>
      </c>
      <c r="K686">
        <v>440520.22509999998</v>
      </c>
      <c r="L686">
        <v>1827925.5109000001</v>
      </c>
      <c r="M686" t="s">
        <v>56</v>
      </c>
      <c r="N686" t="s">
        <v>57</v>
      </c>
      <c r="O686">
        <v>450</v>
      </c>
      <c r="P686" t="s">
        <v>3891</v>
      </c>
      <c r="Q686" t="s">
        <v>3892</v>
      </c>
      <c r="R686" t="s">
        <v>2395</v>
      </c>
      <c r="S686" t="s">
        <v>440</v>
      </c>
      <c r="T686" t="s">
        <v>2417</v>
      </c>
      <c r="U686">
        <v>-0.20230000000000001</v>
      </c>
      <c r="V686">
        <v>-0.2064</v>
      </c>
      <c r="W686" t="s">
        <v>52</v>
      </c>
      <c r="X686">
        <v>0.88170000000000004</v>
      </c>
      <c r="Y686">
        <v>0.88180000000000003</v>
      </c>
      <c r="Z686">
        <v>0.88170000000000004</v>
      </c>
      <c r="AA686">
        <v>0.88180000000000003</v>
      </c>
      <c r="AB686">
        <v>9.8000000000000007</v>
      </c>
      <c r="AC686">
        <v>9.8000000000000007</v>
      </c>
      <c r="AD686">
        <v>8.6015999999999995</v>
      </c>
      <c r="AE686">
        <v>8.6016999999999992</v>
      </c>
      <c r="AF686" t="s">
        <v>183</v>
      </c>
      <c r="AG686" t="s">
        <v>183</v>
      </c>
      <c r="AH686" t="s">
        <v>3894</v>
      </c>
      <c r="AI686" t="s">
        <v>3894</v>
      </c>
      <c r="AJ686" t="s">
        <v>3895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3896</v>
      </c>
      <c r="AT686" t="s">
        <v>3890</v>
      </c>
      <c r="AU686" t="s">
        <v>3897</v>
      </c>
      <c r="AV686" t="s">
        <v>3898</v>
      </c>
      <c r="AW686">
        <v>2</v>
      </c>
      <c r="AX686">
        <v>0</v>
      </c>
    </row>
    <row r="687" spans="1:50" x14ac:dyDescent="0.25">
      <c r="A687" t="s">
        <v>4673</v>
      </c>
      <c r="B687" t="s">
        <v>3889</v>
      </c>
      <c r="C687" t="s">
        <v>3890</v>
      </c>
      <c r="D687">
        <v>30.082000000000001</v>
      </c>
      <c r="E687">
        <v>30.036000000000001</v>
      </c>
      <c r="F687" s="2">
        <v>2.3E-3</v>
      </c>
      <c r="G687" t="s">
        <v>2397</v>
      </c>
      <c r="H687" t="s">
        <v>2400</v>
      </c>
      <c r="I687">
        <v>440410.42509999999</v>
      </c>
      <c r="J687">
        <v>1827925.5109000001</v>
      </c>
      <c r="K687">
        <v>440430.42509999999</v>
      </c>
      <c r="L687">
        <v>1827925.5109000001</v>
      </c>
      <c r="M687" t="s">
        <v>56</v>
      </c>
      <c r="N687" t="s">
        <v>57</v>
      </c>
      <c r="O687">
        <v>450</v>
      </c>
      <c r="P687" t="s">
        <v>3891</v>
      </c>
      <c r="Q687" t="s">
        <v>3892</v>
      </c>
      <c r="R687" t="s">
        <v>2395</v>
      </c>
      <c r="S687" t="s">
        <v>420</v>
      </c>
      <c r="T687" t="s">
        <v>424</v>
      </c>
      <c r="U687">
        <v>-0.16009999999999999</v>
      </c>
      <c r="V687">
        <v>-0.16850000000000001</v>
      </c>
      <c r="W687" t="s">
        <v>52</v>
      </c>
      <c r="X687">
        <v>0.88190000000000002</v>
      </c>
      <c r="Y687">
        <v>0.88239999999999996</v>
      </c>
      <c r="Z687">
        <v>0.88239999999999996</v>
      </c>
      <c r="AA687">
        <v>0.88190000000000002</v>
      </c>
      <c r="AB687">
        <v>20</v>
      </c>
      <c r="AC687">
        <v>20.0001</v>
      </c>
      <c r="AD687">
        <v>18.801600000000001</v>
      </c>
      <c r="AE687">
        <v>18.8017</v>
      </c>
      <c r="AF687" t="s">
        <v>183</v>
      </c>
      <c r="AG687" t="s">
        <v>183</v>
      </c>
      <c r="AH687" t="s">
        <v>3894</v>
      </c>
      <c r="AI687" t="s">
        <v>3894</v>
      </c>
      <c r="AJ687" t="s">
        <v>3895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3896</v>
      </c>
      <c r="AT687" t="s">
        <v>3890</v>
      </c>
      <c r="AU687" t="s">
        <v>3897</v>
      </c>
      <c r="AV687" t="s">
        <v>3898</v>
      </c>
      <c r="AW687">
        <v>2</v>
      </c>
      <c r="AX687">
        <v>0</v>
      </c>
    </row>
    <row r="688" spans="1:50" x14ac:dyDescent="0.25">
      <c r="A688" t="s">
        <v>455</v>
      </c>
      <c r="B688" t="s">
        <v>3889</v>
      </c>
      <c r="C688" t="s">
        <v>3890</v>
      </c>
      <c r="D688">
        <v>33.164000000000001</v>
      </c>
      <c r="E688">
        <v>33.137</v>
      </c>
      <c r="F688" s="2">
        <v>2.3999999999999998E-3</v>
      </c>
      <c r="G688" t="s">
        <v>454</v>
      </c>
      <c r="H688" t="s">
        <v>318</v>
      </c>
      <c r="I688">
        <v>439929.1752</v>
      </c>
      <c r="J688">
        <v>1827274.5490000001</v>
      </c>
      <c r="K688">
        <v>439929.1752</v>
      </c>
      <c r="L688">
        <v>1827286.0127999999</v>
      </c>
      <c r="M688" t="s">
        <v>56</v>
      </c>
      <c r="N688" t="s">
        <v>57</v>
      </c>
      <c r="O688">
        <v>450</v>
      </c>
      <c r="P688" t="s">
        <v>3891</v>
      </c>
      <c r="Q688" t="s">
        <v>3892</v>
      </c>
      <c r="R688" t="s">
        <v>320</v>
      </c>
      <c r="S688" t="s">
        <v>456</v>
      </c>
      <c r="T688" t="s">
        <v>321</v>
      </c>
      <c r="U688">
        <v>-5.4800000000000001E-2</v>
      </c>
      <c r="V688">
        <v>-5.4800000000000001E-2</v>
      </c>
      <c r="W688" t="s">
        <v>52</v>
      </c>
      <c r="X688">
        <v>0.88349999999999995</v>
      </c>
      <c r="Y688">
        <v>0.88400000000000001</v>
      </c>
      <c r="Z688">
        <v>0.88349999999999995</v>
      </c>
      <c r="AA688">
        <v>0.88400000000000001</v>
      </c>
      <c r="AB688">
        <v>11.463800000000001</v>
      </c>
      <c r="AC688">
        <v>11.463900000000001</v>
      </c>
      <c r="AD688">
        <v>10.265499999999999</v>
      </c>
      <c r="AE688">
        <v>10.265499999999999</v>
      </c>
      <c r="AF688" t="s">
        <v>67</v>
      </c>
      <c r="AG688" t="s">
        <v>67</v>
      </c>
      <c r="AH688" t="s">
        <v>3894</v>
      </c>
      <c r="AI688" t="s">
        <v>3894</v>
      </c>
      <c r="AJ688" t="s">
        <v>3895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3896</v>
      </c>
      <c r="AT688" t="s">
        <v>3890</v>
      </c>
      <c r="AU688" t="s">
        <v>3897</v>
      </c>
      <c r="AV688" t="s">
        <v>3898</v>
      </c>
      <c r="AW688">
        <v>2</v>
      </c>
      <c r="AX688">
        <v>0</v>
      </c>
    </row>
    <row r="689" spans="1:50" x14ac:dyDescent="0.25">
      <c r="A689" t="s">
        <v>4674</v>
      </c>
      <c r="B689" t="s">
        <v>3889</v>
      </c>
      <c r="C689" t="s">
        <v>3890</v>
      </c>
      <c r="D689">
        <v>33.139000000000003</v>
      </c>
      <c r="E689">
        <v>33.1</v>
      </c>
      <c r="F689" s="2">
        <v>2.3E-3</v>
      </c>
      <c r="G689" t="s">
        <v>323</v>
      </c>
      <c r="H689" t="s">
        <v>410</v>
      </c>
      <c r="I689">
        <v>439938.87520000001</v>
      </c>
      <c r="J689">
        <v>1827285.3596999999</v>
      </c>
      <c r="K689">
        <v>439938.87520000001</v>
      </c>
      <c r="L689">
        <v>1827302.138</v>
      </c>
      <c r="M689" t="s">
        <v>56</v>
      </c>
      <c r="N689" t="s">
        <v>57</v>
      </c>
      <c r="O689">
        <v>450</v>
      </c>
      <c r="P689" t="s">
        <v>3891</v>
      </c>
      <c r="Q689" t="s">
        <v>3892</v>
      </c>
      <c r="R689" t="s">
        <v>75</v>
      </c>
      <c r="S689" t="s">
        <v>325</v>
      </c>
      <c r="T689" t="s">
        <v>412</v>
      </c>
      <c r="U689">
        <v>-0.15129999999999999</v>
      </c>
      <c r="V689">
        <v>-0.15129999999999999</v>
      </c>
      <c r="W689" t="s">
        <v>52</v>
      </c>
      <c r="X689">
        <v>0.88349999999999995</v>
      </c>
      <c r="Y689">
        <v>0.88380000000000003</v>
      </c>
      <c r="Z689">
        <v>0.88349999999999995</v>
      </c>
      <c r="AA689">
        <v>0.88380000000000003</v>
      </c>
      <c r="AB689">
        <v>16.778300000000002</v>
      </c>
      <c r="AC689">
        <v>16.778300000000002</v>
      </c>
      <c r="AD689">
        <v>15.5799</v>
      </c>
      <c r="AE689">
        <v>15.5799</v>
      </c>
      <c r="AF689" t="s">
        <v>67</v>
      </c>
      <c r="AG689" t="s">
        <v>67</v>
      </c>
      <c r="AH689" t="s">
        <v>3894</v>
      </c>
      <c r="AI689" t="s">
        <v>3894</v>
      </c>
      <c r="AJ689" t="s">
        <v>3895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3896</v>
      </c>
      <c r="AT689" t="s">
        <v>3890</v>
      </c>
      <c r="AU689" t="s">
        <v>3897</v>
      </c>
      <c r="AV689" t="s">
        <v>3898</v>
      </c>
      <c r="AW689">
        <v>2</v>
      </c>
      <c r="AX689">
        <v>0</v>
      </c>
    </row>
    <row r="690" spans="1:50" x14ac:dyDescent="0.25">
      <c r="A690" t="s">
        <v>4675</v>
      </c>
      <c r="B690" t="s">
        <v>3889</v>
      </c>
      <c r="C690" t="s">
        <v>3890</v>
      </c>
      <c r="D690">
        <v>33.137</v>
      </c>
      <c r="E690">
        <v>33.103000000000002</v>
      </c>
      <c r="F690" s="2">
        <v>2.3E-3</v>
      </c>
      <c r="G690" t="s">
        <v>318</v>
      </c>
      <c r="H690" t="s">
        <v>458</v>
      </c>
      <c r="I690">
        <v>439929.1752</v>
      </c>
      <c r="J690">
        <v>1827286.0127999999</v>
      </c>
      <c r="K690">
        <v>439929.1752</v>
      </c>
      <c r="L690">
        <v>1827300.8706</v>
      </c>
      <c r="M690" t="s">
        <v>56</v>
      </c>
      <c r="N690" t="s">
        <v>57</v>
      </c>
      <c r="O690">
        <v>450</v>
      </c>
      <c r="P690" t="s">
        <v>3891</v>
      </c>
      <c r="Q690" t="s">
        <v>3892</v>
      </c>
      <c r="R690" t="s">
        <v>320</v>
      </c>
      <c r="S690" t="s">
        <v>321</v>
      </c>
      <c r="T690" t="s">
        <v>460</v>
      </c>
      <c r="U690">
        <v>-5.4800000000000001E-2</v>
      </c>
      <c r="V690">
        <v>-5.4800000000000001E-2</v>
      </c>
      <c r="W690" t="s">
        <v>52</v>
      </c>
      <c r="X690">
        <v>0.88370000000000004</v>
      </c>
      <c r="Y690">
        <v>0.88400000000000001</v>
      </c>
      <c r="Z690">
        <v>0.88400000000000001</v>
      </c>
      <c r="AA690">
        <v>0.88370000000000004</v>
      </c>
      <c r="AB690">
        <v>14.857799999999999</v>
      </c>
      <c r="AC690">
        <v>14.857799999999999</v>
      </c>
      <c r="AD690">
        <v>13.6594</v>
      </c>
      <c r="AE690">
        <v>13.6594</v>
      </c>
      <c r="AF690" t="s">
        <v>67</v>
      </c>
      <c r="AG690" t="s">
        <v>67</v>
      </c>
      <c r="AH690" t="s">
        <v>3894</v>
      </c>
      <c r="AI690" t="s">
        <v>3894</v>
      </c>
      <c r="AJ690" t="s">
        <v>3895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3896</v>
      </c>
      <c r="AT690" t="s">
        <v>3890</v>
      </c>
      <c r="AU690" t="s">
        <v>3897</v>
      </c>
      <c r="AV690" t="s">
        <v>3898</v>
      </c>
      <c r="AW690">
        <v>2</v>
      </c>
      <c r="AX690">
        <v>0</v>
      </c>
    </row>
    <row r="691" spans="1:50" x14ac:dyDescent="0.25">
      <c r="A691" t="s">
        <v>4676</v>
      </c>
      <c r="B691" t="s">
        <v>3889</v>
      </c>
      <c r="C691" t="s">
        <v>3890</v>
      </c>
      <c r="D691">
        <v>33.061999999999998</v>
      </c>
      <c r="E691">
        <v>33.015999999999998</v>
      </c>
      <c r="F691" s="2">
        <v>2.3E-3</v>
      </c>
      <c r="G691" t="s">
        <v>414</v>
      </c>
      <c r="H691" t="s">
        <v>418</v>
      </c>
      <c r="I691">
        <v>439938.87520000001</v>
      </c>
      <c r="J691">
        <v>1827319.4839000001</v>
      </c>
      <c r="K691">
        <v>439938.87520000001</v>
      </c>
      <c r="L691">
        <v>1827339.4839000001</v>
      </c>
      <c r="M691" t="s">
        <v>56</v>
      </c>
      <c r="N691" t="s">
        <v>57</v>
      </c>
      <c r="O691">
        <v>450</v>
      </c>
      <c r="P691" t="s">
        <v>3891</v>
      </c>
      <c r="Q691" t="s">
        <v>3892</v>
      </c>
      <c r="R691" t="s">
        <v>75</v>
      </c>
      <c r="S691" t="s">
        <v>416</v>
      </c>
      <c r="T691" t="s">
        <v>420</v>
      </c>
      <c r="U691">
        <v>-0.15129999999999999</v>
      </c>
      <c r="V691">
        <v>-0.15129999999999999</v>
      </c>
      <c r="W691" t="s">
        <v>52</v>
      </c>
      <c r="X691">
        <v>0.88160000000000005</v>
      </c>
      <c r="Y691">
        <v>0.88180000000000003</v>
      </c>
      <c r="Z691">
        <v>0.88180000000000003</v>
      </c>
      <c r="AA691">
        <v>0.88160000000000005</v>
      </c>
      <c r="AB691">
        <v>20</v>
      </c>
      <c r="AC691">
        <v>20.0001</v>
      </c>
      <c r="AD691">
        <v>18.801600000000001</v>
      </c>
      <c r="AE691">
        <v>18.8017</v>
      </c>
      <c r="AF691" t="s">
        <v>67</v>
      </c>
      <c r="AG691" t="s">
        <v>67</v>
      </c>
      <c r="AH691" t="s">
        <v>3894</v>
      </c>
      <c r="AI691" t="s">
        <v>3894</v>
      </c>
      <c r="AJ691" t="s">
        <v>3895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3896</v>
      </c>
      <c r="AT691" t="s">
        <v>3890</v>
      </c>
      <c r="AU691" t="s">
        <v>3897</v>
      </c>
      <c r="AV691" t="s">
        <v>3898</v>
      </c>
      <c r="AW691">
        <v>2</v>
      </c>
      <c r="AX691">
        <v>0</v>
      </c>
    </row>
    <row r="692" spans="1:50" x14ac:dyDescent="0.25">
      <c r="A692" t="s">
        <v>4677</v>
      </c>
      <c r="B692" t="s">
        <v>3889</v>
      </c>
      <c r="C692" t="s">
        <v>3890</v>
      </c>
      <c r="D692">
        <v>32.923000000000002</v>
      </c>
      <c r="E692">
        <v>32.877000000000002</v>
      </c>
      <c r="F692" s="2">
        <v>2.3E-3</v>
      </c>
      <c r="G692" t="s">
        <v>466</v>
      </c>
      <c r="H692" t="s">
        <v>468</v>
      </c>
      <c r="I692">
        <v>439929.1752</v>
      </c>
      <c r="J692">
        <v>1827379.4839000001</v>
      </c>
      <c r="K692">
        <v>439929.1752</v>
      </c>
      <c r="L692">
        <v>1827399.4839000001</v>
      </c>
      <c r="M692" t="s">
        <v>56</v>
      </c>
      <c r="N692" t="s">
        <v>57</v>
      </c>
      <c r="O692">
        <v>450</v>
      </c>
      <c r="P692" t="s">
        <v>3891</v>
      </c>
      <c r="Q692" t="s">
        <v>3892</v>
      </c>
      <c r="R692" t="s">
        <v>320</v>
      </c>
      <c r="S692" t="s">
        <v>428</v>
      </c>
      <c r="T692" t="s">
        <v>432</v>
      </c>
      <c r="U692">
        <v>-5.4800000000000001E-2</v>
      </c>
      <c r="V692">
        <v>-5.4800000000000001E-2</v>
      </c>
      <c r="W692" t="s">
        <v>52</v>
      </c>
      <c r="X692">
        <v>0.8821</v>
      </c>
      <c r="Y692">
        <v>0.88229999999999997</v>
      </c>
      <c r="Z692">
        <v>0.88229999999999997</v>
      </c>
      <c r="AA692">
        <v>0.8821</v>
      </c>
      <c r="AB692">
        <v>20</v>
      </c>
      <c r="AC692">
        <v>20.0001</v>
      </c>
      <c r="AD692">
        <v>18.801600000000001</v>
      </c>
      <c r="AE692">
        <v>18.8017</v>
      </c>
      <c r="AF692" t="s">
        <v>67</v>
      </c>
      <c r="AG692" t="s">
        <v>67</v>
      </c>
      <c r="AH692" t="s">
        <v>3894</v>
      </c>
      <c r="AI692" t="s">
        <v>3894</v>
      </c>
      <c r="AJ692" t="s">
        <v>3895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3896</v>
      </c>
      <c r="AT692" t="s">
        <v>3890</v>
      </c>
      <c r="AU692" t="s">
        <v>3897</v>
      </c>
      <c r="AV692" t="s">
        <v>3898</v>
      </c>
      <c r="AW692">
        <v>2</v>
      </c>
      <c r="AX692">
        <v>0</v>
      </c>
    </row>
    <row r="693" spans="1:50" x14ac:dyDescent="0.25">
      <c r="A693" t="s">
        <v>4678</v>
      </c>
      <c r="B693" t="s">
        <v>3889</v>
      </c>
      <c r="C693" t="s">
        <v>3890</v>
      </c>
      <c r="D693">
        <v>32.969000000000001</v>
      </c>
      <c r="E693">
        <v>32.923000000000002</v>
      </c>
      <c r="F693" s="2">
        <v>2.3E-3</v>
      </c>
      <c r="G693" t="s">
        <v>464</v>
      </c>
      <c r="H693" t="s">
        <v>466</v>
      </c>
      <c r="I693">
        <v>439929.1752</v>
      </c>
      <c r="J693">
        <v>1827359.4839000001</v>
      </c>
      <c r="K693">
        <v>439929.1752</v>
      </c>
      <c r="L693">
        <v>1827379.4839000001</v>
      </c>
      <c r="M693" t="s">
        <v>56</v>
      </c>
      <c r="N693" t="s">
        <v>57</v>
      </c>
      <c r="O693">
        <v>450</v>
      </c>
      <c r="P693" t="s">
        <v>3891</v>
      </c>
      <c r="Q693" t="s">
        <v>3892</v>
      </c>
      <c r="R693" t="s">
        <v>320</v>
      </c>
      <c r="S693" t="s">
        <v>424</v>
      </c>
      <c r="T693" t="s">
        <v>428</v>
      </c>
      <c r="U693">
        <v>-5.4800000000000001E-2</v>
      </c>
      <c r="V693">
        <v>-5.4800000000000001E-2</v>
      </c>
      <c r="W693" t="s">
        <v>52</v>
      </c>
      <c r="X693">
        <v>0.88229999999999997</v>
      </c>
      <c r="Y693">
        <v>0.88249999999999995</v>
      </c>
      <c r="Z693">
        <v>0.88249999999999995</v>
      </c>
      <c r="AA693">
        <v>0.88229999999999997</v>
      </c>
      <c r="AB693">
        <v>20</v>
      </c>
      <c r="AC693">
        <v>20.0001</v>
      </c>
      <c r="AD693">
        <v>18.801600000000001</v>
      </c>
      <c r="AE693">
        <v>18.8017</v>
      </c>
      <c r="AF693" t="s">
        <v>67</v>
      </c>
      <c r="AG693" t="s">
        <v>67</v>
      </c>
      <c r="AH693" t="s">
        <v>3894</v>
      </c>
      <c r="AI693" t="s">
        <v>3894</v>
      </c>
      <c r="AJ693" t="s">
        <v>3895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3896</v>
      </c>
      <c r="AT693" t="s">
        <v>3890</v>
      </c>
      <c r="AU693" t="s">
        <v>3897</v>
      </c>
      <c r="AV693" t="s">
        <v>3898</v>
      </c>
      <c r="AW693">
        <v>2</v>
      </c>
      <c r="AX693">
        <v>0</v>
      </c>
    </row>
    <row r="694" spans="1:50" x14ac:dyDescent="0.25">
      <c r="A694" t="s">
        <v>4679</v>
      </c>
      <c r="B694" t="s">
        <v>3889</v>
      </c>
      <c r="C694" t="s">
        <v>3890</v>
      </c>
      <c r="D694">
        <v>32.923000000000002</v>
      </c>
      <c r="E694">
        <v>32.877000000000002</v>
      </c>
      <c r="F694" s="2">
        <v>2.3E-3</v>
      </c>
      <c r="G694" t="s">
        <v>426</v>
      </c>
      <c r="H694" t="s">
        <v>430</v>
      </c>
      <c r="I694">
        <v>439938.87520000001</v>
      </c>
      <c r="J694">
        <v>1827379.4839000001</v>
      </c>
      <c r="K694">
        <v>439938.87520000001</v>
      </c>
      <c r="L694">
        <v>1827399.4839000001</v>
      </c>
      <c r="M694" t="s">
        <v>56</v>
      </c>
      <c r="N694" t="s">
        <v>57</v>
      </c>
      <c r="O694">
        <v>450</v>
      </c>
      <c r="P694" t="s">
        <v>3891</v>
      </c>
      <c r="Q694" t="s">
        <v>3892</v>
      </c>
      <c r="R694" t="s">
        <v>75</v>
      </c>
      <c r="S694" t="s">
        <v>428</v>
      </c>
      <c r="T694" t="s">
        <v>432</v>
      </c>
      <c r="U694">
        <v>-0.15129999999999999</v>
      </c>
      <c r="V694">
        <v>-0.15129999999999999</v>
      </c>
      <c r="W694" t="s">
        <v>52</v>
      </c>
      <c r="X694">
        <v>0.8821</v>
      </c>
      <c r="Y694">
        <v>0.88229999999999997</v>
      </c>
      <c r="Z694">
        <v>0.88229999999999997</v>
      </c>
      <c r="AA694">
        <v>0.8821</v>
      </c>
      <c r="AB694">
        <v>20</v>
      </c>
      <c r="AC694">
        <v>20.0001</v>
      </c>
      <c r="AD694">
        <v>18.801600000000001</v>
      </c>
      <c r="AE694">
        <v>18.8017</v>
      </c>
      <c r="AF694" t="s">
        <v>67</v>
      </c>
      <c r="AG694" t="s">
        <v>67</v>
      </c>
      <c r="AH694" t="s">
        <v>3894</v>
      </c>
      <c r="AI694" t="s">
        <v>3894</v>
      </c>
      <c r="AJ694" t="s">
        <v>3895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3896</v>
      </c>
      <c r="AT694" t="s">
        <v>3890</v>
      </c>
      <c r="AU694" t="s">
        <v>3897</v>
      </c>
      <c r="AV694" t="s">
        <v>3898</v>
      </c>
      <c r="AW694">
        <v>2</v>
      </c>
      <c r="AX694">
        <v>0</v>
      </c>
    </row>
    <row r="695" spans="1:50" x14ac:dyDescent="0.25">
      <c r="A695" t="s">
        <v>4680</v>
      </c>
      <c r="B695" t="s">
        <v>3889</v>
      </c>
      <c r="C695" t="s">
        <v>3890</v>
      </c>
      <c r="D695">
        <v>32.969000000000001</v>
      </c>
      <c r="E695">
        <v>32.923000000000002</v>
      </c>
      <c r="F695" s="2">
        <v>2.3E-3</v>
      </c>
      <c r="G695" t="s">
        <v>422</v>
      </c>
      <c r="H695" t="s">
        <v>426</v>
      </c>
      <c r="I695">
        <v>439938.87520000001</v>
      </c>
      <c r="J695">
        <v>1827359.4839000001</v>
      </c>
      <c r="K695">
        <v>439938.87520000001</v>
      </c>
      <c r="L695">
        <v>1827379.4839000001</v>
      </c>
      <c r="M695" t="s">
        <v>56</v>
      </c>
      <c r="N695" t="s">
        <v>57</v>
      </c>
      <c r="O695">
        <v>450</v>
      </c>
      <c r="P695" t="s">
        <v>3891</v>
      </c>
      <c r="Q695" t="s">
        <v>3892</v>
      </c>
      <c r="R695" t="s">
        <v>75</v>
      </c>
      <c r="S695" t="s">
        <v>424</v>
      </c>
      <c r="T695" t="s">
        <v>428</v>
      </c>
      <c r="U695">
        <v>-0.15129999999999999</v>
      </c>
      <c r="V695">
        <v>-0.15129999999999999</v>
      </c>
      <c r="W695" t="s">
        <v>52</v>
      </c>
      <c r="X695">
        <v>0.88229999999999997</v>
      </c>
      <c r="Y695">
        <v>0.88249999999999995</v>
      </c>
      <c r="Z695">
        <v>0.88249999999999995</v>
      </c>
      <c r="AA695">
        <v>0.88229999999999997</v>
      </c>
      <c r="AB695">
        <v>20</v>
      </c>
      <c r="AC695">
        <v>20.0001</v>
      </c>
      <c r="AD695">
        <v>18.801600000000001</v>
      </c>
      <c r="AE695">
        <v>18.8017</v>
      </c>
      <c r="AF695" t="s">
        <v>67</v>
      </c>
      <c r="AG695" t="s">
        <v>67</v>
      </c>
      <c r="AH695" t="s">
        <v>3894</v>
      </c>
      <c r="AI695" t="s">
        <v>3894</v>
      </c>
      <c r="AJ695" t="s">
        <v>3895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3896</v>
      </c>
      <c r="AT695" t="s">
        <v>3890</v>
      </c>
      <c r="AU695" t="s">
        <v>3897</v>
      </c>
      <c r="AV695" t="s">
        <v>3898</v>
      </c>
      <c r="AW695">
        <v>2</v>
      </c>
      <c r="AX695">
        <v>0</v>
      </c>
    </row>
    <row r="696" spans="1:50" x14ac:dyDescent="0.25">
      <c r="A696" t="s">
        <v>4681</v>
      </c>
      <c r="B696" t="s">
        <v>3889</v>
      </c>
      <c r="C696" t="s">
        <v>3890</v>
      </c>
      <c r="D696">
        <v>33.015999999999998</v>
      </c>
      <c r="E696">
        <v>32.969000000000001</v>
      </c>
      <c r="F696" s="2">
        <v>2.3E-3</v>
      </c>
      <c r="G696" t="s">
        <v>418</v>
      </c>
      <c r="H696" t="s">
        <v>422</v>
      </c>
      <c r="I696">
        <v>439938.87520000001</v>
      </c>
      <c r="J696">
        <v>1827339.4839000001</v>
      </c>
      <c r="K696">
        <v>439938.87520000001</v>
      </c>
      <c r="L696">
        <v>1827359.4839000001</v>
      </c>
      <c r="M696" t="s">
        <v>56</v>
      </c>
      <c r="N696" t="s">
        <v>57</v>
      </c>
      <c r="O696">
        <v>450</v>
      </c>
      <c r="P696" t="s">
        <v>3891</v>
      </c>
      <c r="Q696" t="s">
        <v>3892</v>
      </c>
      <c r="R696" t="s">
        <v>75</v>
      </c>
      <c r="S696" t="s">
        <v>420</v>
      </c>
      <c r="T696" t="s">
        <v>424</v>
      </c>
      <c r="U696">
        <v>-0.15129999999999999</v>
      </c>
      <c r="V696">
        <v>-0.15129999999999999</v>
      </c>
      <c r="W696" t="s">
        <v>52</v>
      </c>
      <c r="X696">
        <v>0.88160000000000005</v>
      </c>
      <c r="Y696">
        <v>0.88249999999999995</v>
      </c>
      <c r="Z696">
        <v>0.88160000000000005</v>
      </c>
      <c r="AA696">
        <v>0.88249999999999995</v>
      </c>
      <c r="AB696">
        <v>20</v>
      </c>
      <c r="AC696">
        <v>20.0001</v>
      </c>
      <c r="AD696">
        <v>18.801600000000001</v>
      </c>
      <c r="AE696">
        <v>18.8017</v>
      </c>
      <c r="AF696" t="s">
        <v>67</v>
      </c>
      <c r="AG696" t="s">
        <v>67</v>
      </c>
      <c r="AH696" t="s">
        <v>3894</v>
      </c>
      <c r="AI696" t="s">
        <v>3894</v>
      </c>
      <c r="AJ696" t="s">
        <v>3895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3896</v>
      </c>
      <c r="AT696" t="s">
        <v>3890</v>
      </c>
      <c r="AU696" t="s">
        <v>3897</v>
      </c>
      <c r="AV696" t="s">
        <v>3898</v>
      </c>
      <c r="AW696">
        <v>2</v>
      </c>
      <c r="AX696">
        <v>0</v>
      </c>
    </row>
    <row r="697" spans="1:50" x14ac:dyDescent="0.25">
      <c r="A697" t="s">
        <v>4682</v>
      </c>
      <c r="B697" t="s">
        <v>3889</v>
      </c>
      <c r="C697" t="s">
        <v>3890</v>
      </c>
      <c r="D697">
        <v>33.015999999999998</v>
      </c>
      <c r="E697">
        <v>32.969000000000001</v>
      </c>
      <c r="F697" s="2">
        <v>2.3E-3</v>
      </c>
      <c r="G697" t="s">
        <v>462</v>
      </c>
      <c r="H697" t="s">
        <v>464</v>
      </c>
      <c r="I697">
        <v>439929.1752</v>
      </c>
      <c r="J697">
        <v>1827339.4839000001</v>
      </c>
      <c r="K697">
        <v>439929.1752</v>
      </c>
      <c r="L697">
        <v>1827359.4839000001</v>
      </c>
      <c r="M697" t="s">
        <v>56</v>
      </c>
      <c r="N697" t="s">
        <v>57</v>
      </c>
      <c r="O697">
        <v>450</v>
      </c>
      <c r="P697" t="s">
        <v>3891</v>
      </c>
      <c r="Q697" t="s">
        <v>3892</v>
      </c>
      <c r="R697" t="s">
        <v>320</v>
      </c>
      <c r="S697" t="s">
        <v>420</v>
      </c>
      <c r="T697" t="s">
        <v>424</v>
      </c>
      <c r="U697">
        <v>-5.4800000000000001E-2</v>
      </c>
      <c r="V697">
        <v>-5.4800000000000001E-2</v>
      </c>
      <c r="W697" t="s">
        <v>52</v>
      </c>
      <c r="X697">
        <v>0.88160000000000005</v>
      </c>
      <c r="Y697">
        <v>0.88249999999999995</v>
      </c>
      <c r="Z697">
        <v>0.88160000000000005</v>
      </c>
      <c r="AA697">
        <v>0.88249999999999995</v>
      </c>
      <c r="AB697">
        <v>20</v>
      </c>
      <c r="AC697">
        <v>20.0001</v>
      </c>
      <c r="AD697">
        <v>18.801600000000001</v>
      </c>
      <c r="AE697">
        <v>18.8017</v>
      </c>
      <c r="AF697" t="s">
        <v>67</v>
      </c>
      <c r="AG697" t="s">
        <v>67</v>
      </c>
      <c r="AH697" t="s">
        <v>3894</v>
      </c>
      <c r="AI697" t="s">
        <v>3894</v>
      </c>
      <c r="AJ697" t="s">
        <v>3895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3896</v>
      </c>
      <c r="AT697" t="s">
        <v>3890</v>
      </c>
      <c r="AU697" t="s">
        <v>3897</v>
      </c>
      <c r="AV697" t="s">
        <v>3898</v>
      </c>
      <c r="AW697">
        <v>2</v>
      </c>
      <c r="AX697">
        <v>0</v>
      </c>
    </row>
    <row r="698" spans="1:50" x14ac:dyDescent="0.25">
      <c r="A698" t="s">
        <v>4683</v>
      </c>
      <c r="B698" t="s">
        <v>3889</v>
      </c>
      <c r="C698" t="s">
        <v>3890</v>
      </c>
      <c r="D698">
        <v>33.061999999999998</v>
      </c>
      <c r="E698">
        <v>33.015999999999998</v>
      </c>
      <c r="F698" s="2">
        <v>2.3E-3</v>
      </c>
      <c r="G698" t="s">
        <v>327</v>
      </c>
      <c r="H698" t="s">
        <v>462</v>
      </c>
      <c r="I698">
        <v>439929.1752</v>
      </c>
      <c r="J698">
        <v>1827319.4405</v>
      </c>
      <c r="K698">
        <v>439929.1752</v>
      </c>
      <c r="L698">
        <v>1827339.4839000001</v>
      </c>
      <c r="M698" t="s">
        <v>56</v>
      </c>
      <c r="N698" t="s">
        <v>57</v>
      </c>
      <c r="O698">
        <v>450</v>
      </c>
      <c r="P698" t="s">
        <v>3891</v>
      </c>
      <c r="Q698" t="s">
        <v>3892</v>
      </c>
      <c r="R698" t="s">
        <v>320</v>
      </c>
      <c r="S698" t="s">
        <v>329</v>
      </c>
      <c r="T698" t="s">
        <v>420</v>
      </c>
      <c r="U698">
        <v>-5.4800000000000001E-2</v>
      </c>
      <c r="V698">
        <v>-5.4800000000000001E-2</v>
      </c>
      <c r="W698" t="s">
        <v>52</v>
      </c>
      <c r="X698">
        <v>0.88160000000000005</v>
      </c>
      <c r="Y698">
        <v>0.88190000000000002</v>
      </c>
      <c r="Z698">
        <v>0.88190000000000002</v>
      </c>
      <c r="AA698">
        <v>0.88160000000000005</v>
      </c>
      <c r="AB698">
        <v>20.043299999999999</v>
      </c>
      <c r="AC698">
        <v>20.043399999999998</v>
      </c>
      <c r="AD698">
        <v>18.844899999999999</v>
      </c>
      <c r="AE698">
        <v>18.844999999999999</v>
      </c>
      <c r="AF698" t="s">
        <v>67</v>
      </c>
      <c r="AG698" t="s">
        <v>67</v>
      </c>
      <c r="AH698" t="s">
        <v>3894</v>
      </c>
      <c r="AI698" t="s">
        <v>3894</v>
      </c>
      <c r="AJ698" t="s">
        <v>3895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3896</v>
      </c>
      <c r="AT698" t="s">
        <v>3890</v>
      </c>
      <c r="AU698" t="s">
        <v>3897</v>
      </c>
      <c r="AV698" t="s">
        <v>3898</v>
      </c>
      <c r="AW698">
        <v>2</v>
      </c>
      <c r="AX698">
        <v>0</v>
      </c>
    </row>
    <row r="699" spans="1:50" x14ac:dyDescent="0.25">
      <c r="A699" t="s">
        <v>4684</v>
      </c>
      <c r="B699" t="s">
        <v>3889</v>
      </c>
      <c r="C699" t="s">
        <v>3890</v>
      </c>
      <c r="D699">
        <v>29.617999999999999</v>
      </c>
      <c r="E699">
        <v>29.573</v>
      </c>
      <c r="F699" s="2">
        <v>2.2000000000000001E-3</v>
      </c>
      <c r="G699" t="s">
        <v>3129</v>
      </c>
      <c r="H699" t="s">
        <v>3133</v>
      </c>
      <c r="I699">
        <v>440454.3751</v>
      </c>
      <c r="J699">
        <v>1827335.041</v>
      </c>
      <c r="K699">
        <v>440454.3751</v>
      </c>
      <c r="L699">
        <v>1827355.041</v>
      </c>
      <c r="M699" t="s">
        <v>56</v>
      </c>
      <c r="N699" t="s">
        <v>57</v>
      </c>
      <c r="O699">
        <v>450</v>
      </c>
      <c r="P699" t="s">
        <v>3891</v>
      </c>
      <c r="Q699" t="s">
        <v>3892</v>
      </c>
      <c r="R699" t="s">
        <v>3118</v>
      </c>
      <c r="S699" t="s">
        <v>3131</v>
      </c>
      <c r="T699" t="s">
        <v>3135</v>
      </c>
      <c r="U699">
        <v>-9.2799999999999994E-2</v>
      </c>
      <c r="V699">
        <v>-9.2799999999999994E-2</v>
      </c>
      <c r="W699" t="s">
        <v>52</v>
      </c>
      <c r="X699">
        <v>0.89990000000000003</v>
      </c>
      <c r="Y699">
        <v>0.90159999999999996</v>
      </c>
      <c r="Z699">
        <v>0.89990000000000003</v>
      </c>
      <c r="AA699">
        <v>0.90159999999999996</v>
      </c>
      <c r="AB699">
        <v>20</v>
      </c>
      <c r="AC699">
        <v>20.0001</v>
      </c>
      <c r="AD699">
        <v>18.801600000000001</v>
      </c>
      <c r="AE699">
        <v>18.801600000000001</v>
      </c>
      <c r="AF699" t="s">
        <v>67</v>
      </c>
      <c r="AG699" t="s">
        <v>67</v>
      </c>
      <c r="AH699" t="s">
        <v>3894</v>
      </c>
      <c r="AI699" t="s">
        <v>3894</v>
      </c>
      <c r="AJ699" t="s">
        <v>3895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3896</v>
      </c>
      <c r="AT699" t="s">
        <v>3890</v>
      </c>
      <c r="AU699" t="s">
        <v>3897</v>
      </c>
      <c r="AV699" t="s">
        <v>3898</v>
      </c>
      <c r="AW699">
        <v>2</v>
      </c>
      <c r="AX699">
        <v>0</v>
      </c>
    </row>
    <row r="700" spans="1:50" x14ac:dyDescent="0.25">
      <c r="A700" t="s">
        <v>4685</v>
      </c>
      <c r="B700" t="s">
        <v>3889</v>
      </c>
      <c r="C700" t="s">
        <v>3890</v>
      </c>
      <c r="D700">
        <v>33.103000000000002</v>
      </c>
      <c r="E700">
        <v>33.061999999999998</v>
      </c>
      <c r="F700" s="2">
        <v>2.2000000000000001E-3</v>
      </c>
      <c r="G700" t="s">
        <v>458</v>
      </c>
      <c r="H700" t="s">
        <v>327</v>
      </c>
      <c r="I700">
        <v>439929.1752</v>
      </c>
      <c r="J700">
        <v>1827300.8706</v>
      </c>
      <c r="K700">
        <v>439929.1752</v>
      </c>
      <c r="L700">
        <v>1827319.4405</v>
      </c>
      <c r="M700" t="s">
        <v>56</v>
      </c>
      <c r="N700" t="s">
        <v>57</v>
      </c>
      <c r="O700">
        <v>450</v>
      </c>
      <c r="P700" t="s">
        <v>3891</v>
      </c>
      <c r="Q700" t="s">
        <v>3892</v>
      </c>
      <c r="R700" t="s">
        <v>320</v>
      </c>
      <c r="S700" t="s">
        <v>460</v>
      </c>
      <c r="T700" t="s">
        <v>329</v>
      </c>
      <c r="U700">
        <v>-5.4800000000000001E-2</v>
      </c>
      <c r="V700">
        <v>-5.4800000000000001E-2</v>
      </c>
      <c r="W700" t="s">
        <v>52</v>
      </c>
      <c r="X700">
        <v>0.88190000000000002</v>
      </c>
      <c r="Y700">
        <v>0.88370000000000004</v>
      </c>
      <c r="Z700">
        <v>0.88370000000000004</v>
      </c>
      <c r="AA700">
        <v>0.88190000000000002</v>
      </c>
      <c r="AB700">
        <v>18.569900000000001</v>
      </c>
      <c r="AC700">
        <v>18.57</v>
      </c>
      <c r="AD700">
        <v>17.371500000000001</v>
      </c>
      <c r="AE700">
        <v>17.371500000000001</v>
      </c>
      <c r="AF700" t="s">
        <v>67</v>
      </c>
      <c r="AG700" t="s">
        <v>67</v>
      </c>
      <c r="AH700" t="s">
        <v>3894</v>
      </c>
      <c r="AI700" t="s">
        <v>3894</v>
      </c>
      <c r="AJ700" t="s">
        <v>3895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3896</v>
      </c>
      <c r="AT700" t="s">
        <v>3890</v>
      </c>
      <c r="AU700" t="s">
        <v>3897</v>
      </c>
      <c r="AV700" t="s">
        <v>3898</v>
      </c>
      <c r="AW700">
        <v>2</v>
      </c>
      <c r="AX700">
        <v>0</v>
      </c>
    </row>
    <row r="701" spans="1:50" x14ac:dyDescent="0.25">
      <c r="A701" t="s">
        <v>4686</v>
      </c>
      <c r="B701" t="s">
        <v>3889</v>
      </c>
      <c r="C701" t="s">
        <v>3890</v>
      </c>
      <c r="D701">
        <v>33.1</v>
      </c>
      <c r="E701">
        <v>33.061999999999998</v>
      </c>
      <c r="F701" s="2">
        <v>2.2000000000000001E-3</v>
      </c>
      <c r="G701" t="s">
        <v>410</v>
      </c>
      <c r="H701" t="s">
        <v>414</v>
      </c>
      <c r="I701">
        <v>439938.87520000001</v>
      </c>
      <c r="J701">
        <v>1827302.138</v>
      </c>
      <c r="K701">
        <v>439938.87520000001</v>
      </c>
      <c r="L701">
        <v>1827319.4839000001</v>
      </c>
      <c r="M701" t="s">
        <v>56</v>
      </c>
      <c r="N701" t="s">
        <v>57</v>
      </c>
      <c r="O701">
        <v>450</v>
      </c>
      <c r="P701" t="s">
        <v>3891</v>
      </c>
      <c r="Q701" t="s">
        <v>3892</v>
      </c>
      <c r="R701" t="s">
        <v>75</v>
      </c>
      <c r="S701" t="s">
        <v>412</v>
      </c>
      <c r="T701" t="s">
        <v>416</v>
      </c>
      <c r="U701">
        <v>-0.15129999999999999</v>
      </c>
      <c r="V701">
        <v>-0.15129999999999999</v>
      </c>
      <c r="W701" t="s">
        <v>52</v>
      </c>
      <c r="X701">
        <v>0.88180000000000003</v>
      </c>
      <c r="Y701">
        <v>0.88380000000000003</v>
      </c>
      <c r="Z701">
        <v>0.88380000000000003</v>
      </c>
      <c r="AA701">
        <v>0.88180000000000003</v>
      </c>
      <c r="AB701">
        <v>17.3459</v>
      </c>
      <c r="AC701">
        <v>17.3459</v>
      </c>
      <c r="AD701">
        <v>16.147400000000001</v>
      </c>
      <c r="AE701">
        <v>16.147500000000001</v>
      </c>
      <c r="AF701" t="s">
        <v>67</v>
      </c>
      <c r="AG701" t="s">
        <v>67</v>
      </c>
      <c r="AH701" t="s">
        <v>3894</v>
      </c>
      <c r="AI701" t="s">
        <v>3894</v>
      </c>
      <c r="AJ701" t="s">
        <v>3895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3896</v>
      </c>
      <c r="AT701" t="s">
        <v>3890</v>
      </c>
      <c r="AU701" t="s">
        <v>3897</v>
      </c>
      <c r="AV701" t="s">
        <v>3898</v>
      </c>
      <c r="AW701">
        <v>2</v>
      </c>
      <c r="AX701">
        <v>0</v>
      </c>
    </row>
    <row r="702" spans="1:50" x14ac:dyDescent="0.25">
      <c r="A702" t="s">
        <v>4687</v>
      </c>
      <c r="B702" t="s">
        <v>3889</v>
      </c>
      <c r="C702" t="s">
        <v>3890</v>
      </c>
      <c r="D702">
        <v>28.526</v>
      </c>
      <c r="E702">
        <v>28.506</v>
      </c>
      <c r="F702" s="2">
        <v>1E-3</v>
      </c>
      <c r="G702" t="s">
        <v>2854</v>
      </c>
      <c r="H702" t="s">
        <v>2857</v>
      </c>
      <c r="I702">
        <v>440464.07510000002</v>
      </c>
      <c r="J702">
        <v>1827658.2394999999</v>
      </c>
      <c r="K702">
        <v>440464.07510000002</v>
      </c>
      <c r="L702">
        <v>1827678.2394999999</v>
      </c>
      <c r="M702" t="s">
        <v>56</v>
      </c>
      <c r="N702" t="s">
        <v>57</v>
      </c>
      <c r="O702">
        <v>450</v>
      </c>
      <c r="P702" t="s">
        <v>3891</v>
      </c>
      <c r="Q702" t="s">
        <v>3892</v>
      </c>
      <c r="R702" t="s">
        <v>171</v>
      </c>
      <c r="S702" t="s">
        <v>448</v>
      </c>
      <c r="T702" t="s">
        <v>452</v>
      </c>
      <c r="U702">
        <v>0</v>
      </c>
      <c r="V702">
        <v>0</v>
      </c>
      <c r="W702" t="s">
        <v>52</v>
      </c>
      <c r="X702">
        <v>0.94840000000000002</v>
      </c>
      <c r="Y702">
        <v>0.97270000000000001</v>
      </c>
      <c r="Z702">
        <v>0.97270000000000001</v>
      </c>
      <c r="AA702">
        <v>0.94840000000000002</v>
      </c>
      <c r="AB702">
        <v>20</v>
      </c>
      <c r="AC702">
        <v>20</v>
      </c>
      <c r="AD702">
        <v>18.800699999999999</v>
      </c>
      <c r="AE702">
        <v>18.800699999999999</v>
      </c>
      <c r="AF702" t="s">
        <v>67</v>
      </c>
      <c r="AG702" t="s">
        <v>67</v>
      </c>
      <c r="AH702" t="s">
        <v>3894</v>
      </c>
      <c r="AI702" t="s">
        <v>3894</v>
      </c>
      <c r="AJ702" t="s">
        <v>3895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3896</v>
      </c>
      <c r="AT702" t="s">
        <v>3890</v>
      </c>
      <c r="AU702" t="s">
        <v>3897</v>
      </c>
      <c r="AV702" t="s">
        <v>3898</v>
      </c>
      <c r="AW702">
        <v>2</v>
      </c>
      <c r="AX702">
        <v>0</v>
      </c>
    </row>
    <row r="703" spans="1:50" x14ac:dyDescent="0.25">
      <c r="A703" t="s">
        <v>4688</v>
      </c>
      <c r="B703" t="s">
        <v>3889</v>
      </c>
      <c r="C703" t="s">
        <v>3890</v>
      </c>
      <c r="D703">
        <v>28.529</v>
      </c>
      <c r="E703">
        <v>28.509</v>
      </c>
      <c r="F703" s="2">
        <v>1E-3</v>
      </c>
      <c r="G703" t="s">
        <v>2864</v>
      </c>
      <c r="H703" t="s">
        <v>2867</v>
      </c>
      <c r="I703">
        <v>440454.3751</v>
      </c>
      <c r="J703">
        <v>1827658.2394999999</v>
      </c>
      <c r="K703">
        <v>440454.3751</v>
      </c>
      <c r="L703">
        <v>1827678.2394999999</v>
      </c>
      <c r="M703" t="s">
        <v>56</v>
      </c>
      <c r="N703" t="s">
        <v>57</v>
      </c>
      <c r="O703">
        <v>450</v>
      </c>
      <c r="P703" t="s">
        <v>3891</v>
      </c>
      <c r="Q703" t="s">
        <v>3892</v>
      </c>
      <c r="R703" t="s">
        <v>166</v>
      </c>
      <c r="S703" t="s">
        <v>448</v>
      </c>
      <c r="T703" t="s">
        <v>452</v>
      </c>
      <c r="U703">
        <v>-0.13489999999999999</v>
      </c>
      <c r="V703">
        <v>-0.13489999999999999</v>
      </c>
      <c r="W703" t="s">
        <v>52</v>
      </c>
      <c r="X703">
        <v>0.94540000000000002</v>
      </c>
      <c r="Y703">
        <v>0.96970000000000001</v>
      </c>
      <c r="Z703">
        <v>0.96970000000000001</v>
      </c>
      <c r="AA703">
        <v>0.94540000000000002</v>
      </c>
      <c r="AB703">
        <v>20</v>
      </c>
      <c r="AC703">
        <v>20</v>
      </c>
      <c r="AD703">
        <v>18.800699999999999</v>
      </c>
      <c r="AE703">
        <v>18.800699999999999</v>
      </c>
      <c r="AF703" t="s">
        <v>67</v>
      </c>
      <c r="AG703" t="s">
        <v>67</v>
      </c>
      <c r="AH703" t="s">
        <v>3894</v>
      </c>
      <c r="AI703" t="s">
        <v>3894</v>
      </c>
      <c r="AJ703" t="s">
        <v>3895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3896</v>
      </c>
      <c r="AT703" t="s">
        <v>3890</v>
      </c>
      <c r="AU703" t="s">
        <v>3897</v>
      </c>
      <c r="AV703" t="s">
        <v>3898</v>
      </c>
      <c r="AW703">
        <v>2</v>
      </c>
      <c r="AX703">
        <v>0</v>
      </c>
    </row>
    <row r="704" spans="1:50" x14ac:dyDescent="0.25">
      <c r="A704" t="s">
        <v>1628</v>
      </c>
      <c r="B704" t="s">
        <v>3889</v>
      </c>
      <c r="C704" t="s">
        <v>3890</v>
      </c>
      <c r="D704">
        <v>32.026000000000003</v>
      </c>
      <c r="E704">
        <v>32.000999999999998</v>
      </c>
      <c r="F704" s="2">
        <v>1.1999999999999999E-3</v>
      </c>
      <c r="G704" t="s">
        <v>1627</v>
      </c>
      <c r="H704" t="s">
        <v>388</v>
      </c>
      <c r="I704">
        <v>440044.07449999999</v>
      </c>
      <c r="J704">
        <v>1827841.2918</v>
      </c>
      <c r="K704">
        <v>440044.07449999999</v>
      </c>
      <c r="L704">
        <v>1827821.1868</v>
      </c>
      <c r="M704" t="s">
        <v>56</v>
      </c>
      <c r="N704" t="s">
        <v>57</v>
      </c>
      <c r="O704">
        <v>450</v>
      </c>
      <c r="P704" t="s">
        <v>3891</v>
      </c>
      <c r="Q704" t="s">
        <v>3892</v>
      </c>
      <c r="R704" t="s">
        <v>390</v>
      </c>
      <c r="S704" t="s">
        <v>1629</v>
      </c>
      <c r="T704" t="s">
        <v>391</v>
      </c>
      <c r="U704">
        <v>0.15</v>
      </c>
      <c r="V704">
        <v>0.15</v>
      </c>
      <c r="W704" t="s">
        <v>52</v>
      </c>
      <c r="X704">
        <v>0.88329999999999997</v>
      </c>
      <c r="Y704">
        <v>0.9486</v>
      </c>
      <c r="Z704">
        <v>0.88329999999999997</v>
      </c>
      <c r="AA704">
        <v>0.9486</v>
      </c>
      <c r="AB704">
        <v>20.1051</v>
      </c>
      <c r="AC704">
        <v>20.1051</v>
      </c>
      <c r="AD704">
        <v>18.905899999999999</v>
      </c>
      <c r="AE704">
        <v>18.905999999999999</v>
      </c>
      <c r="AF704" t="s">
        <v>2233</v>
      </c>
      <c r="AG704" t="s">
        <v>2233</v>
      </c>
      <c r="AH704" t="s">
        <v>3894</v>
      </c>
      <c r="AI704" t="s">
        <v>3894</v>
      </c>
      <c r="AJ704" t="s">
        <v>3895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3896</v>
      </c>
      <c r="AT704" t="s">
        <v>3890</v>
      </c>
      <c r="AU704" t="s">
        <v>3897</v>
      </c>
      <c r="AV704" t="s">
        <v>3898</v>
      </c>
      <c r="AW704">
        <v>2</v>
      </c>
      <c r="AX704">
        <v>0</v>
      </c>
    </row>
    <row r="705" spans="1:50" x14ac:dyDescent="0.25">
      <c r="A705" t="s">
        <v>4689</v>
      </c>
      <c r="B705" t="s">
        <v>4010</v>
      </c>
      <c r="C705" t="s">
        <v>3890</v>
      </c>
      <c r="D705">
        <v>32.656999999999996</v>
      </c>
      <c r="E705">
        <v>32.612000000000002</v>
      </c>
      <c r="F705" s="2">
        <v>2.2000000000000001E-3</v>
      </c>
      <c r="G705" t="s">
        <v>1552</v>
      </c>
      <c r="H705" t="s">
        <v>1555</v>
      </c>
      <c r="I705">
        <v>439951.42479999998</v>
      </c>
      <c r="J705">
        <v>1827905.8171000001</v>
      </c>
      <c r="K705">
        <v>439951.42479999998</v>
      </c>
      <c r="L705">
        <v>1827885.8171000001</v>
      </c>
      <c r="M705" t="s">
        <v>56</v>
      </c>
      <c r="N705" t="s">
        <v>57</v>
      </c>
      <c r="O705">
        <v>900</v>
      </c>
      <c r="P705" t="s">
        <v>109</v>
      </c>
      <c r="Q705" t="s">
        <v>3919</v>
      </c>
      <c r="R705" t="s">
        <v>1510</v>
      </c>
      <c r="S705" t="s">
        <v>1061</v>
      </c>
      <c r="T705" t="s">
        <v>1065</v>
      </c>
      <c r="U705">
        <v>-2.5000000000000001E-2</v>
      </c>
      <c r="V705">
        <v>-2.5000000000000001E-2</v>
      </c>
      <c r="W705" t="s">
        <v>52</v>
      </c>
      <c r="X705">
        <v>0.85250000000000004</v>
      </c>
      <c r="Y705">
        <v>0.9032</v>
      </c>
      <c r="Z705">
        <v>0.9032</v>
      </c>
      <c r="AA705">
        <v>0.85250000000000004</v>
      </c>
      <c r="AB705">
        <v>20</v>
      </c>
      <c r="AC705">
        <v>20.0001</v>
      </c>
      <c r="AD705">
        <v>18.802700000000002</v>
      </c>
      <c r="AE705">
        <v>18.802700000000002</v>
      </c>
      <c r="AF705" t="s">
        <v>4011</v>
      </c>
      <c r="AG705" t="s">
        <v>4011</v>
      </c>
      <c r="AH705" t="s">
        <v>3894</v>
      </c>
      <c r="AI705" t="s">
        <v>3894</v>
      </c>
      <c r="AJ705" t="s">
        <v>3895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3896</v>
      </c>
      <c r="AT705" t="s">
        <v>3890</v>
      </c>
      <c r="AU705" t="s">
        <v>4012</v>
      </c>
      <c r="AV705" t="s">
        <v>3898</v>
      </c>
      <c r="AW705">
        <v>2</v>
      </c>
      <c r="AX705">
        <v>0</v>
      </c>
    </row>
    <row r="706" spans="1:50" x14ac:dyDescent="0.25">
      <c r="A706" t="s">
        <v>4690</v>
      </c>
      <c r="B706" t="s">
        <v>4010</v>
      </c>
      <c r="C706" t="s">
        <v>3890</v>
      </c>
      <c r="D706">
        <v>32.655999999999999</v>
      </c>
      <c r="E706">
        <v>32.612000000000002</v>
      </c>
      <c r="F706" s="2">
        <v>2.2000000000000001E-3</v>
      </c>
      <c r="G706" t="s">
        <v>1449</v>
      </c>
      <c r="H706" t="s">
        <v>1452</v>
      </c>
      <c r="I706">
        <v>439962.02480000001</v>
      </c>
      <c r="J706">
        <v>1827905.8171000001</v>
      </c>
      <c r="K706">
        <v>439962.02480000001</v>
      </c>
      <c r="L706">
        <v>1827885.8171000001</v>
      </c>
      <c r="M706" t="s">
        <v>56</v>
      </c>
      <c r="N706" t="s">
        <v>57</v>
      </c>
      <c r="O706">
        <v>900</v>
      </c>
      <c r="P706" t="s">
        <v>109</v>
      </c>
      <c r="Q706" t="s">
        <v>3919</v>
      </c>
      <c r="R706" t="s">
        <v>1404</v>
      </c>
      <c r="S706" t="s">
        <v>1061</v>
      </c>
      <c r="T706" t="s">
        <v>1065</v>
      </c>
      <c r="U706">
        <v>0.15290000000000001</v>
      </c>
      <c r="V706">
        <v>0.14430000000000001</v>
      </c>
      <c r="W706" t="s">
        <v>52</v>
      </c>
      <c r="X706">
        <v>0.85250000000000004</v>
      </c>
      <c r="Y706">
        <v>0.9042</v>
      </c>
      <c r="Z706">
        <v>0.9042</v>
      </c>
      <c r="AA706">
        <v>0.85250000000000004</v>
      </c>
      <c r="AB706">
        <v>20</v>
      </c>
      <c r="AC706">
        <v>20</v>
      </c>
      <c r="AD706">
        <v>18.802600000000002</v>
      </c>
      <c r="AE706">
        <v>18.802700000000002</v>
      </c>
      <c r="AF706" t="s">
        <v>4011</v>
      </c>
      <c r="AG706" t="s">
        <v>4011</v>
      </c>
      <c r="AH706" t="s">
        <v>3894</v>
      </c>
      <c r="AI706" t="s">
        <v>3894</v>
      </c>
      <c r="AJ706" t="s">
        <v>3895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3896</v>
      </c>
      <c r="AT706" t="s">
        <v>3890</v>
      </c>
      <c r="AU706" t="s">
        <v>4012</v>
      </c>
      <c r="AV706" t="s">
        <v>3898</v>
      </c>
      <c r="AW706">
        <v>2</v>
      </c>
      <c r="AX706">
        <v>0</v>
      </c>
    </row>
    <row r="707" spans="1:50" x14ac:dyDescent="0.25">
      <c r="A707" t="s">
        <v>4691</v>
      </c>
      <c r="B707" t="s">
        <v>3889</v>
      </c>
      <c r="C707" t="s">
        <v>3890</v>
      </c>
      <c r="D707">
        <v>29.907</v>
      </c>
      <c r="E707">
        <v>29.884</v>
      </c>
      <c r="F707" s="2">
        <v>2.2000000000000001E-3</v>
      </c>
      <c r="G707" t="s">
        <v>2170</v>
      </c>
      <c r="H707" t="s">
        <v>2174</v>
      </c>
      <c r="I707">
        <v>440313.31</v>
      </c>
      <c r="J707">
        <v>1827821.1248000001</v>
      </c>
      <c r="K707">
        <v>440323.97489999997</v>
      </c>
      <c r="L707">
        <v>1827821.1248000001</v>
      </c>
      <c r="M707" t="s">
        <v>56</v>
      </c>
      <c r="N707" t="s">
        <v>57</v>
      </c>
      <c r="O707">
        <v>450</v>
      </c>
      <c r="P707" t="s">
        <v>3891</v>
      </c>
      <c r="Q707" t="s">
        <v>3892</v>
      </c>
      <c r="R707" t="s">
        <v>2162</v>
      </c>
      <c r="S707" t="s">
        <v>2172</v>
      </c>
      <c r="T707" s="1" t="s">
        <v>4071</v>
      </c>
      <c r="U707">
        <v>0.4088</v>
      </c>
      <c r="V707">
        <v>0.44440000000000002</v>
      </c>
      <c r="W707" t="s">
        <v>52</v>
      </c>
      <c r="X707">
        <v>0.83309999999999995</v>
      </c>
      <c r="Y707">
        <v>0.88770000000000004</v>
      </c>
      <c r="Z707">
        <v>0.88029999999999997</v>
      </c>
      <c r="AA707">
        <v>0.88770000000000004</v>
      </c>
      <c r="AB707">
        <v>10.664899999999999</v>
      </c>
      <c r="AC707">
        <v>10.664899999999999</v>
      </c>
      <c r="AD707">
        <v>9.4664000000000001</v>
      </c>
      <c r="AE707">
        <v>9.4664000000000001</v>
      </c>
      <c r="AF707" t="s">
        <v>183</v>
      </c>
      <c r="AG707" t="s">
        <v>183</v>
      </c>
      <c r="AH707" t="s">
        <v>3894</v>
      </c>
      <c r="AI707" t="s">
        <v>3894</v>
      </c>
      <c r="AJ707" t="s">
        <v>3895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3896</v>
      </c>
      <c r="AT707" t="s">
        <v>3890</v>
      </c>
      <c r="AU707" t="s">
        <v>3897</v>
      </c>
      <c r="AV707" t="s">
        <v>3898</v>
      </c>
      <c r="AW707">
        <v>2</v>
      </c>
      <c r="AX707">
        <v>0</v>
      </c>
    </row>
    <row r="708" spans="1:50" x14ac:dyDescent="0.25">
      <c r="A708" t="s">
        <v>4692</v>
      </c>
      <c r="B708" t="s">
        <v>3889</v>
      </c>
      <c r="C708" t="s">
        <v>3890</v>
      </c>
      <c r="D708">
        <v>29.626000000000001</v>
      </c>
      <c r="E708">
        <v>29.582000000000001</v>
      </c>
      <c r="F708" s="2">
        <v>2.2000000000000001E-3</v>
      </c>
      <c r="G708" t="s">
        <v>3149</v>
      </c>
      <c r="H708" t="s">
        <v>3152</v>
      </c>
      <c r="I708">
        <v>440464.07510000002</v>
      </c>
      <c r="J708">
        <v>1827335.041</v>
      </c>
      <c r="K708">
        <v>440464.07510000002</v>
      </c>
      <c r="L708">
        <v>1827355.041</v>
      </c>
      <c r="M708" t="s">
        <v>56</v>
      </c>
      <c r="N708" t="s">
        <v>57</v>
      </c>
      <c r="O708">
        <v>450</v>
      </c>
      <c r="P708" t="s">
        <v>3891</v>
      </c>
      <c r="Q708" t="s">
        <v>3892</v>
      </c>
      <c r="R708" t="s">
        <v>3142</v>
      </c>
      <c r="S708" t="s">
        <v>3131</v>
      </c>
      <c r="T708" t="s">
        <v>3135</v>
      </c>
      <c r="U708">
        <v>0</v>
      </c>
      <c r="V708">
        <v>0</v>
      </c>
      <c r="W708" t="s">
        <v>52</v>
      </c>
      <c r="X708">
        <v>0.89190000000000003</v>
      </c>
      <c r="Y708">
        <v>0.89259999999999995</v>
      </c>
      <c r="Z708">
        <v>0.89190000000000003</v>
      </c>
      <c r="AA708">
        <v>0.89259999999999995</v>
      </c>
      <c r="AB708">
        <v>20</v>
      </c>
      <c r="AC708">
        <v>20</v>
      </c>
      <c r="AD708">
        <v>18.801500000000001</v>
      </c>
      <c r="AE708">
        <v>18.801600000000001</v>
      </c>
      <c r="AF708" t="s">
        <v>67</v>
      </c>
      <c r="AG708" t="s">
        <v>67</v>
      </c>
      <c r="AH708" t="s">
        <v>3894</v>
      </c>
      <c r="AI708" t="s">
        <v>3894</v>
      </c>
      <c r="AJ708" t="s">
        <v>3895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3896</v>
      </c>
      <c r="AT708" t="s">
        <v>3890</v>
      </c>
      <c r="AU708" t="s">
        <v>3897</v>
      </c>
      <c r="AV708" t="s">
        <v>3898</v>
      </c>
      <c r="AW708">
        <v>2</v>
      </c>
      <c r="AX708">
        <v>0</v>
      </c>
    </row>
    <row r="709" spans="1:50" x14ac:dyDescent="0.25">
      <c r="A709" t="s">
        <v>4693</v>
      </c>
      <c r="B709" t="s">
        <v>3889</v>
      </c>
      <c r="C709" t="s">
        <v>3890</v>
      </c>
      <c r="D709">
        <v>29.667999999999999</v>
      </c>
      <c r="E709">
        <v>29.626000000000001</v>
      </c>
      <c r="F709" s="2">
        <v>2.0999999999999999E-3</v>
      </c>
      <c r="G709" t="s">
        <v>3145</v>
      </c>
      <c r="H709" t="s">
        <v>3149</v>
      </c>
      <c r="I709">
        <v>440464.07510000002</v>
      </c>
      <c r="J709">
        <v>1827315.4073000001</v>
      </c>
      <c r="K709">
        <v>440464.07510000002</v>
      </c>
      <c r="L709">
        <v>1827335.041</v>
      </c>
      <c r="M709" t="s">
        <v>56</v>
      </c>
      <c r="N709" t="s">
        <v>57</v>
      </c>
      <c r="O709">
        <v>450</v>
      </c>
      <c r="P709" t="s">
        <v>3891</v>
      </c>
      <c r="Q709" t="s">
        <v>3892</v>
      </c>
      <c r="R709" t="s">
        <v>3142</v>
      </c>
      <c r="S709" t="s">
        <v>3147</v>
      </c>
      <c r="T709" t="s">
        <v>3131</v>
      </c>
      <c r="U709">
        <v>0</v>
      </c>
      <c r="V709">
        <v>0</v>
      </c>
      <c r="W709" t="s">
        <v>52</v>
      </c>
      <c r="X709">
        <v>0.89190000000000003</v>
      </c>
      <c r="Y709">
        <v>0.89249999999999996</v>
      </c>
      <c r="Z709">
        <v>0.89249999999999996</v>
      </c>
      <c r="AA709">
        <v>0.89190000000000003</v>
      </c>
      <c r="AB709">
        <v>19.633700000000001</v>
      </c>
      <c r="AC709">
        <v>19.633800000000001</v>
      </c>
      <c r="AD709">
        <v>18.435199999999998</v>
      </c>
      <c r="AE709">
        <v>18.435300000000002</v>
      </c>
      <c r="AF709" t="s">
        <v>67</v>
      </c>
      <c r="AG709" t="s">
        <v>67</v>
      </c>
      <c r="AH709" t="s">
        <v>3894</v>
      </c>
      <c r="AI709" t="s">
        <v>3894</v>
      </c>
      <c r="AJ709" t="s">
        <v>3895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3896</v>
      </c>
      <c r="AT709" t="s">
        <v>3890</v>
      </c>
      <c r="AU709" t="s">
        <v>3897</v>
      </c>
      <c r="AV709" t="s">
        <v>3898</v>
      </c>
      <c r="AW709">
        <v>2</v>
      </c>
      <c r="AX709">
        <v>0</v>
      </c>
    </row>
    <row r="710" spans="1:50" x14ac:dyDescent="0.25">
      <c r="A710" t="s">
        <v>4694</v>
      </c>
      <c r="B710" t="s">
        <v>3889</v>
      </c>
      <c r="C710" t="s">
        <v>3890</v>
      </c>
      <c r="D710">
        <v>29.712</v>
      </c>
      <c r="E710">
        <v>29.669</v>
      </c>
      <c r="F710" s="2">
        <v>2.2000000000000001E-3</v>
      </c>
      <c r="G710" t="s">
        <v>3121</v>
      </c>
      <c r="H710" t="s">
        <v>3125</v>
      </c>
      <c r="I710">
        <v>440454.3751</v>
      </c>
      <c r="J710">
        <v>1827295.041</v>
      </c>
      <c r="K710">
        <v>440454.3751</v>
      </c>
      <c r="L710">
        <v>1827315.041</v>
      </c>
      <c r="M710" t="s">
        <v>56</v>
      </c>
      <c r="N710" t="s">
        <v>57</v>
      </c>
      <c r="O710">
        <v>450</v>
      </c>
      <c r="P710" t="s">
        <v>3891</v>
      </c>
      <c r="Q710" t="s">
        <v>3892</v>
      </c>
      <c r="R710" t="s">
        <v>3118</v>
      </c>
      <c r="S710" t="s">
        <v>3123</v>
      </c>
      <c r="T710" t="s">
        <v>3127</v>
      </c>
      <c r="U710">
        <v>-9.2799999999999994E-2</v>
      </c>
      <c r="V710">
        <v>-9.2799999999999994E-2</v>
      </c>
      <c r="W710" t="s">
        <v>52</v>
      </c>
      <c r="X710">
        <v>0.89229999999999998</v>
      </c>
      <c r="Y710">
        <v>0.89259999999999995</v>
      </c>
      <c r="Z710">
        <v>0.89259999999999995</v>
      </c>
      <c r="AA710">
        <v>0.89229999999999998</v>
      </c>
      <c r="AB710">
        <v>20</v>
      </c>
      <c r="AC710">
        <v>20</v>
      </c>
      <c r="AD710">
        <v>18.801500000000001</v>
      </c>
      <c r="AE710">
        <v>18.801500000000001</v>
      </c>
      <c r="AF710" t="s">
        <v>67</v>
      </c>
      <c r="AG710" t="s">
        <v>67</v>
      </c>
      <c r="AH710" t="s">
        <v>3894</v>
      </c>
      <c r="AI710" t="s">
        <v>3894</v>
      </c>
      <c r="AJ710" t="s">
        <v>3895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3896</v>
      </c>
      <c r="AT710" t="s">
        <v>3890</v>
      </c>
      <c r="AU710" t="s">
        <v>3897</v>
      </c>
      <c r="AV710" t="s">
        <v>3898</v>
      </c>
      <c r="AW710">
        <v>2</v>
      </c>
      <c r="AX710">
        <v>0</v>
      </c>
    </row>
    <row r="711" spans="1:50" x14ac:dyDescent="0.25">
      <c r="A711" t="s">
        <v>3141</v>
      </c>
      <c r="B711" t="s">
        <v>3889</v>
      </c>
      <c r="C711" t="s">
        <v>3890</v>
      </c>
      <c r="D711">
        <v>29.756</v>
      </c>
      <c r="E711">
        <v>29.712</v>
      </c>
      <c r="F711" s="2">
        <v>2.2000000000000001E-3</v>
      </c>
      <c r="G711" t="s">
        <v>3140</v>
      </c>
      <c r="H711" t="s">
        <v>3143</v>
      </c>
      <c r="I711">
        <v>440464.07510000002</v>
      </c>
      <c r="J711">
        <v>1827275.041</v>
      </c>
      <c r="K711">
        <v>440464.07510000002</v>
      </c>
      <c r="L711">
        <v>1827295.041</v>
      </c>
      <c r="M711" t="s">
        <v>56</v>
      </c>
      <c r="N711" t="s">
        <v>57</v>
      </c>
      <c r="O711">
        <v>450</v>
      </c>
      <c r="P711" t="s">
        <v>3891</v>
      </c>
      <c r="Q711" t="s">
        <v>3892</v>
      </c>
      <c r="R711" t="s">
        <v>3142</v>
      </c>
      <c r="S711" t="s">
        <v>3119</v>
      </c>
      <c r="T711" t="s">
        <v>3123</v>
      </c>
      <c r="U711">
        <v>0</v>
      </c>
      <c r="V711">
        <v>0</v>
      </c>
      <c r="W711" t="s">
        <v>52</v>
      </c>
      <c r="X711">
        <v>0.89200000000000002</v>
      </c>
      <c r="Y711">
        <v>0.89259999999999995</v>
      </c>
      <c r="Z711">
        <v>0.89200000000000002</v>
      </c>
      <c r="AA711">
        <v>0.89259999999999995</v>
      </c>
      <c r="AB711">
        <v>20</v>
      </c>
      <c r="AC711">
        <v>20</v>
      </c>
      <c r="AD711">
        <v>18.801500000000001</v>
      </c>
      <c r="AE711">
        <v>18.801600000000001</v>
      </c>
      <c r="AF711" t="s">
        <v>67</v>
      </c>
      <c r="AG711" t="s">
        <v>67</v>
      </c>
      <c r="AH711" t="s">
        <v>3894</v>
      </c>
      <c r="AI711" t="s">
        <v>3894</v>
      </c>
      <c r="AJ711" t="s">
        <v>3895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3896</v>
      </c>
      <c r="AT711" t="s">
        <v>3890</v>
      </c>
      <c r="AU711" t="s">
        <v>3897</v>
      </c>
      <c r="AV711" t="s">
        <v>3898</v>
      </c>
      <c r="AW711">
        <v>2</v>
      </c>
      <c r="AX711">
        <v>0</v>
      </c>
    </row>
    <row r="712" spans="1:50" x14ac:dyDescent="0.25">
      <c r="A712" t="s">
        <v>3117</v>
      </c>
      <c r="B712" t="s">
        <v>3889</v>
      </c>
      <c r="C712" t="s">
        <v>3890</v>
      </c>
      <c r="D712">
        <v>29.756</v>
      </c>
      <c r="E712">
        <v>29.712</v>
      </c>
      <c r="F712" s="2">
        <v>2.2000000000000001E-3</v>
      </c>
      <c r="G712" t="s">
        <v>3116</v>
      </c>
      <c r="H712" t="s">
        <v>3121</v>
      </c>
      <c r="I712">
        <v>440454.3751</v>
      </c>
      <c r="J712">
        <v>1827275.041</v>
      </c>
      <c r="K712">
        <v>440454.3751</v>
      </c>
      <c r="L712">
        <v>1827295.041</v>
      </c>
      <c r="M712" t="s">
        <v>56</v>
      </c>
      <c r="N712" t="s">
        <v>57</v>
      </c>
      <c r="O712">
        <v>450</v>
      </c>
      <c r="P712" t="s">
        <v>3891</v>
      </c>
      <c r="Q712" t="s">
        <v>3892</v>
      </c>
      <c r="R712" t="s">
        <v>3118</v>
      </c>
      <c r="S712" s="1" t="s">
        <v>3119</v>
      </c>
      <c r="T712" s="1" t="s">
        <v>3123</v>
      </c>
      <c r="U712">
        <v>-9.2799999999999994E-2</v>
      </c>
      <c r="V712">
        <v>-9.2799999999999994E-2</v>
      </c>
      <c r="W712" t="s">
        <v>52</v>
      </c>
      <c r="X712">
        <v>0.89200000000000002</v>
      </c>
      <c r="Y712">
        <v>0.89259999999999995</v>
      </c>
      <c r="Z712">
        <v>0.89200000000000002</v>
      </c>
      <c r="AA712">
        <v>0.89259999999999995</v>
      </c>
      <c r="AB712">
        <v>20</v>
      </c>
      <c r="AC712">
        <v>20</v>
      </c>
      <c r="AD712">
        <v>18.801500000000001</v>
      </c>
      <c r="AE712">
        <v>18.801600000000001</v>
      </c>
      <c r="AF712" t="s">
        <v>67</v>
      </c>
      <c r="AG712" t="s">
        <v>67</v>
      </c>
      <c r="AH712" t="s">
        <v>3894</v>
      </c>
      <c r="AI712" t="s">
        <v>3894</v>
      </c>
      <c r="AJ712" t="s">
        <v>3895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3896</v>
      </c>
      <c r="AT712" t="s">
        <v>3890</v>
      </c>
      <c r="AU712" t="s">
        <v>3897</v>
      </c>
      <c r="AV712" t="s">
        <v>3898</v>
      </c>
      <c r="AW712">
        <v>2</v>
      </c>
      <c r="AX712">
        <v>0</v>
      </c>
    </row>
    <row r="713" spans="1:50" x14ac:dyDescent="0.25">
      <c r="A713" t="s">
        <v>4695</v>
      </c>
      <c r="B713" t="s">
        <v>3889</v>
      </c>
      <c r="C713" t="s">
        <v>3890</v>
      </c>
      <c r="D713">
        <v>29.712</v>
      </c>
      <c r="E713">
        <v>29.667999999999999</v>
      </c>
      <c r="F713" s="2">
        <v>2.2000000000000001E-3</v>
      </c>
      <c r="G713" t="s">
        <v>3143</v>
      </c>
      <c r="H713" t="s">
        <v>3145</v>
      </c>
      <c r="I713">
        <v>440464.07510000002</v>
      </c>
      <c r="J713">
        <v>1827295.041</v>
      </c>
      <c r="K713">
        <v>440464.07510000002</v>
      </c>
      <c r="L713">
        <v>1827315.4073000001</v>
      </c>
      <c r="M713" t="s">
        <v>56</v>
      </c>
      <c r="N713" t="s">
        <v>57</v>
      </c>
      <c r="O713">
        <v>450</v>
      </c>
      <c r="P713" t="s">
        <v>3891</v>
      </c>
      <c r="Q713" t="s">
        <v>3892</v>
      </c>
      <c r="R713" t="s">
        <v>3142</v>
      </c>
      <c r="S713" t="s">
        <v>3123</v>
      </c>
      <c r="T713" t="s">
        <v>3147</v>
      </c>
      <c r="U713">
        <v>0</v>
      </c>
      <c r="V713">
        <v>0</v>
      </c>
      <c r="W713" t="s">
        <v>52</v>
      </c>
      <c r="X713">
        <v>0.89249999999999996</v>
      </c>
      <c r="Y713">
        <v>0.89259999999999995</v>
      </c>
      <c r="Z713">
        <v>0.89259999999999995</v>
      </c>
      <c r="AA713">
        <v>0.89249999999999996</v>
      </c>
      <c r="AB713">
        <v>20.366299999999999</v>
      </c>
      <c r="AC713">
        <v>20.366299999999999</v>
      </c>
      <c r="AD713">
        <v>19.1678</v>
      </c>
      <c r="AE713">
        <v>19.1678</v>
      </c>
      <c r="AF713" t="s">
        <v>67</v>
      </c>
      <c r="AG713" t="s">
        <v>67</v>
      </c>
      <c r="AH713" t="s">
        <v>3894</v>
      </c>
      <c r="AI713" t="s">
        <v>3894</v>
      </c>
      <c r="AJ713" t="s">
        <v>3895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3896</v>
      </c>
      <c r="AT713" t="s">
        <v>3890</v>
      </c>
      <c r="AU713" t="s">
        <v>3897</v>
      </c>
      <c r="AV713" t="s">
        <v>3898</v>
      </c>
      <c r="AW713">
        <v>2</v>
      </c>
      <c r="AX713">
        <v>0</v>
      </c>
    </row>
    <row r="714" spans="1:50" x14ac:dyDescent="0.25">
      <c r="A714" t="s">
        <v>4696</v>
      </c>
      <c r="B714" t="s">
        <v>3947</v>
      </c>
      <c r="C714" t="s">
        <v>3890</v>
      </c>
      <c r="D714">
        <v>26.14</v>
      </c>
      <c r="E714">
        <v>26.120999999999999</v>
      </c>
      <c r="F714" s="2">
        <v>2E-3</v>
      </c>
      <c r="G714" t="s">
        <v>3678</v>
      </c>
      <c r="H714" t="s">
        <v>3697</v>
      </c>
      <c r="I714">
        <v>440585.57510000002</v>
      </c>
      <c r="J714">
        <v>1827531.7851</v>
      </c>
      <c r="K714">
        <v>440595.27510000003</v>
      </c>
      <c r="L714">
        <v>1827531.7879999999</v>
      </c>
      <c r="M714" t="s">
        <v>56</v>
      </c>
      <c r="N714" t="s">
        <v>57</v>
      </c>
      <c r="O714">
        <v>1050</v>
      </c>
      <c r="P714" t="s">
        <v>3918</v>
      </c>
      <c r="Q714" t="s">
        <v>3930</v>
      </c>
      <c r="R714" t="s">
        <v>141</v>
      </c>
      <c r="S714" t="s">
        <v>3680</v>
      </c>
      <c r="T714" t="s">
        <v>3699</v>
      </c>
      <c r="U714">
        <v>0.2346</v>
      </c>
      <c r="V714">
        <v>0.23760000000000001</v>
      </c>
      <c r="W714" t="s">
        <v>52</v>
      </c>
      <c r="X714">
        <v>1.855</v>
      </c>
      <c r="Y714">
        <v>1.9169</v>
      </c>
      <c r="Z714">
        <v>1.8555999999999999</v>
      </c>
      <c r="AA714">
        <v>1.8553999999999999</v>
      </c>
      <c r="AB714">
        <v>9.6999999999999993</v>
      </c>
      <c r="AC714">
        <v>9.6999999999999993</v>
      </c>
      <c r="AD714">
        <v>8.5027000000000008</v>
      </c>
      <c r="AE714">
        <v>8.5028000000000006</v>
      </c>
      <c r="AF714" t="s">
        <v>4697</v>
      </c>
      <c r="AG714" t="s">
        <v>4697</v>
      </c>
      <c r="AH714" t="s">
        <v>3894</v>
      </c>
      <c r="AI714" t="s">
        <v>3894</v>
      </c>
      <c r="AJ714" t="s">
        <v>3895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3896</v>
      </c>
      <c r="AT714" t="s">
        <v>3890</v>
      </c>
      <c r="AU714" t="s">
        <v>3950</v>
      </c>
      <c r="AV714" t="s">
        <v>3898</v>
      </c>
      <c r="AW714">
        <v>2</v>
      </c>
      <c r="AX714">
        <v>0</v>
      </c>
    </row>
    <row r="715" spans="1:50" x14ac:dyDescent="0.25">
      <c r="A715" t="s">
        <v>1124</v>
      </c>
      <c r="B715" t="s">
        <v>3889</v>
      </c>
      <c r="C715" t="s">
        <v>3890</v>
      </c>
      <c r="D715">
        <v>30.096</v>
      </c>
      <c r="E715">
        <v>30.053000000000001</v>
      </c>
      <c r="F715" s="2">
        <v>2.0999999999999999E-3</v>
      </c>
      <c r="G715" t="s">
        <v>1123</v>
      </c>
      <c r="H715" t="s">
        <v>1127</v>
      </c>
      <c r="I715">
        <v>440258.3749</v>
      </c>
      <c r="J715">
        <v>1827572.9</v>
      </c>
      <c r="K715">
        <v>440258.3749</v>
      </c>
      <c r="L715">
        <v>1827592.9</v>
      </c>
      <c r="M715" t="s">
        <v>56</v>
      </c>
      <c r="N715" t="s">
        <v>57</v>
      </c>
      <c r="O715">
        <v>450</v>
      </c>
      <c r="P715" t="s">
        <v>3891</v>
      </c>
      <c r="Q715" t="s">
        <v>3892</v>
      </c>
      <c r="R715" t="s">
        <v>275</v>
      </c>
      <c r="S715" t="s">
        <v>1125</v>
      </c>
      <c r="T715" t="s">
        <v>1129</v>
      </c>
      <c r="U715">
        <v>2.1499999999999998E-2</v>
      </c>
      <c r="V715">
        <v>2.1499999999999998E-2</v>
      </c>
      <c r="W715" t="s">
        <v>52</v>
      </c>
      <c r="X715">
        <v>0.8871</v>
      </c>
      <c r="Y715">
        <v>0.8901</v>
      </c>
      <c r="Z715">
        <v>0.8871</v>
      </c>
      <c r="AA715">
        <v>0.8901</v>
      </c>
      <c r="AB715">
        <v>20</v>
      </c>
      <c r="AC715">
        <v>20</v>
      </c>
      <c r="AD715">
        <v>18.801500000000001</v>
      </c>
      <c r="AE715">
        <v>18.801500000000001</v>
      </c>
      <c r="AF715" t="s">
        <v>67</v>
      </c>
      <c r="AG715" t="s">
        <v>67</v>
      </c>
      <c r="AH715" t="s">
        <v>3894</v>
      </c>
      <c r="AI715" t="s">
        <v>3894</v>
      </c>
      <c r="AJ715" t="s">
        <v>3895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3896</v>
      </c>
      <c r="AT715" t="s">
        <v>3890</v>
      </c>
      <c r="AU715" t="s">
        <v>3897</v>
      </c>
      <c r="AV715" t="s">
        <v>3898</v>
      </c>
      <c r="AW715">
        <v>2</v>
      </c>
      <c r="AX715">
        <v>0</v>
      </c>
    </row>
    <row r="716" spans="1:50" x14ac:dyDescent="0.25">
      <c r="A716" t="s">
        <v>4698</v>
      </c>
      <c r="B716" t="s">
        <v>3889</v>
      </c>
      <c r="C716" t="s">
        <v>3890</v>
      </c>
      <c r="D716">
        <v>28.545000000000002</v>
      </c>
      <c r="E716">
        <v>28.526</v>
      </c>
      <c r="F716" s="2">
        <v>1E-3</v>
      </c>
      <c r="G716" t="s">
        <v>2850</v>
      </c>
      <c r="H716" t="s">
        <v>2854</v>
      </c>
      <c r="I716">
        <v>440464.07510000002</v>
      </c>
      <c r="J716">
        <v>1827638.781</v>
      </c>
      <c r="K716">
        <v>440464.07510000002</v>
      </c>
      <c r="L716">
        <v>1827658.2394999999</v>
      </c>
      <c r="M716" t="s">
        <v>56</v>
      </c>
      <c r="N716" t="s">
        <v>57</v>
      </c>
      <c r="O716">
        <v>450</v>
      </c>
      <c r="P716" t="s">
        <v>3891</v>
      </c>
      <c r="Q716" t="s">
        <v>3892</v>
      </c>
      <c r="R716" t="s">
        <v>171</v>
      </c>
      <c r="S716" t="s">
        <v>2852</v>
      </c>
      <c r="T716" t="s">
        <v>448</v>
      </c>
      <c r="U716">
        <v>0</v>
      </c>
      <c r="V716">
        <v>0</v>
      </c>
      <c r="W716" t="s">
        <v>52</v>
      </c>
      <c r="X716">
        <v>0.97270000000000001</v>
      </c>
      <c r="Y716">
        <v>0.99690000000000001</v>
      </c>
      <c r="Z716">
        <v>0.99690000000000001</v>
      </c>
      <c r="AA716">
        <v>0.97270000000000001</v>
      </c>
      <c r="AB716">
        <v>19.458500000000001</v>
      </c>
      <c r="AC716">
        <v>19.458500000000001</v>
      </c>
      <c r="AD716">
        <v>18.2592</v>
      </c>
      <c r="AE716">
        <v>18.2592</v>
      </c>
      <c r="AF716" t="s">
        <v>67</v>
      </c>
      <c r="AG716" t="s">
        <v>67</v>
      </c>
      <c r="AH716" t="s">
        <v>3894</v>
      </c>
      <c r="AI716" t="s">
        <v>3894</v>
      </c>
      <c r="AJ716" t="s">
        <v>3895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3896</v>
      </c>
      <c r="AT716" t="s">
        <v>3890</v>
      </c>
      <c r="AU716" t="s">
        <v>3897</v>
      </c>
      <c r="AV716" t="s">
        <v>3898</v>
      </c>
      <c r="AW716">
        <v>2</v>
      </c>
      <c r="AX716">
        <v>0</v>
      </c>
    </row>
    <row r="717" spans="1:50" x14ac:dyDescent="0.25">
      <c r="A717" t="s">
        <v>4699</v>
      </c>
      <c r="B717" t="s">
        <v>3889</v>
      </c>
      <c r="C717" t="s">
        <v>3890</v>
      </c>
      <c r="D717">
        <v>29.224</v>
      </c>
      <c r="E717">
        <v>29.181999999999999</v>
      </c>
      <c r="F717" s="2">
        <v>2.0999999999999999E-3</v>
      </c>
      <c r="G717" t="s">
        <v>3179</v>
      </c>
      <c r="H717" t="s">
        <v>3183</v>
      </c>
      <c r="I717">
        <v>440519.97509999998</v>
      </c>
      <c r="J717">
        <v>1827335.2019</v>
      </c>
      <c r="K717">
        <v>440519.97509999998</v>
      </c>
      <c r="L717">
        <v>1827355.2019</v>
      </c>
      <c r="M717" t="s">
        <v>56</v>
      </c>
      <c r="N717" t="s">
        <v>57</v>
      </c>
      <c r="O717">
        <v>450</v>
      </c>
      <c r="P717" t="s">
        <v>3891</v>
      </c>
      <c r="Q717" t="s">
        <v>3892</v>
      </c>
      <c r="R717" t="s">
        <v>3168</v>
      </c>
      <c r="S717" t="s">
        <v>3181</v>
      </c>
      <c r="T717" t="s">
        <v>3185</v>
      </c>
      <c r="U717">
        <v>-4.7000000000000002E-3</v>
      </c>
      <c r="V717">
        <v>-4.7000000000000002E-3</v>
      </c>
      <c r="W717" t="s">
        <v>52</v>
      </c>
      <c r="X717">
        <v>0.89139999999999997</v>
      </c>
      <c r="Y717">
        <v>0.8921</v>
      </c>
      <c r="Z717">
        <v>0.8921</v>
      </c>
      <c r="AA717">
        <v>0.89139999999999997</v>
      </c>
      <c r="AB717">
        <v>20</v>
      </c>
      <c r="AC717">
        <v>20</v>
      </c>
      <c r="AD717">
        <v>18.801500000000001</v>
      </c>
      <c r="AE717">
        <v>18.801500000000001</v>
      </c>
      <c r="AF717" t="s">
        <v>67</v>
      </c>
      <c r="AG717" t="s">
        <v>67</v>
      </c>
      <c r="AH717" t="s">
        <v>3894</v>
      </c>
      <c r="AI717" t="s">
        <v>3894</v>
      </c>
      <c r="AJ717" t="s">
        <v>3895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3896</v>
      </c>
      <c r="AT717" t="s">
        <v>3890</v>
      </c>
      <c r="AU717" t="s">
        <v>3897</v>
      </c>
      <c r="AV717" t="s">
        <v>3898</v>
      </c>
      <c r="AW717">
        <v>2</v>
      </c>
      <c r="AX717">
        <v>0</v>
      </c>
    </row>
    <row r="718" spans="1:50" x14ac:dyDescent="0.25">
      <c r="A718" t="s">
        <v>4700</v>
      </c>
      <c r="B718" t="s">
        <v>3889</v>
      </c>
      <c r="C718" t="s">
        <v>3890</v>
      </c>
      <c r="D718">
        <v>29.224</v>
      </c>
      <c r="E718">
        <v>29.181999999999999</v>
      </c>
      <c r="F718" s="2">
        <v>2.0999999999999999E-3</v>
      </c>
      <c r="G718" t="s">
        <v>3195</v>
      </c>
      <c r="H718" t="s">
        <v>3197</v>
      </c>
      <c r="I718">
        <v>440529.67509999999</v>
      </c>
      <c r="J718">
        <v>1827335.2019</v>
      </c>
      <c r="K718">
        <v>440529.67509999999</v>
      </c>
      <c r="L718">
        <v>1827355.2019</v>
      </c>
      <c r="M718" t="s">
        <v>56</v>
      </c>
      <c r="N718" t="s">
        <v>57</v>
      </c>
      <c r="O718">
        <v>450</v>
      </c>
      <c r="P718" t="s">
        <v>3891</v>
      </c>
      <c r="Q718" t="s">
        <v>3892</v>
      </c>
      <c r="R718" t="s">
        <v>352</v>
      </c>
      <c r="S718" t="s">
        <v>3181</v>
      </c>
      <c r="T718" t="s">
        <v>3185</v>
      </c>
      <c r="U718">
        <v>0</v>
      </c>
      <c r="V718">
        <v>0</v>
      </c>
      <c r="W718" t="s">
        <v>52</v>
      </c>
      <c r="X718">
        <v>0.89139999999999997</v>
      </c>
      <c r="Y718">
        <v>0.8921</v>
      </c>
      <c r="Z718">
        <v>0.8921</v>
      </c>
      <c r="AA718">
        <v>0.89139999999999997</v>
      </c>
      <c r="AB718">
        <v>20</v>
      </c>
      <c r="AC718">
        <v>20</v>
      </c>
      <c r="AD718">
        <v>18.801500000000001</v>
      </c>
      <c r="AE718">
        <v>18.801500000000001</v>
      </c>
      <c r="AF718" t="s">
        <v>67</v>
      </c>
      <c r="AG718" t="s">
        <v>67</v>
      </c>
      <c r="AH718" t="s">
        <v>3894</v>
      </c>
      <c r="AI718" t="s">
        <v>3894</v>
      </c>
      <c r="AJ718" t="s">
        <v>3895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3896</v>
      </c>
      <c r="AT718" t="s">
        <v>3890</v>
      </c>
      <c r="AU718" t="s">
        <v>3897</v>
      </c>
      <c r="AV718" t="s">
        <v>3898</v>
      </c>
      <c r="AW718">
        <v>2</v>
      </c>
      <c r="AX718">
        <v>0</v>
      </c>
    </row>
    <row r="719" spans="1:50" x14ac:dyDescent="0.25">
      <c r="A719" t="s">
        <v>4701</v>
      </c>
      <c r="B719" t="s">
        <v>3996</v>
      </c>
      <c r="C719" t="s">
        <v>3890</v>
      </c>
      <c r="D719">
        <v>25.305</v>
      </c>
      <c r="E719">
        <v>25.295999999999999</v>
      </c>
      <c r="F719" s="2">
        <v>8.9999999999999998E-4</v>
      </c>
      <c r="G719" t="s">
        <v>3803</v>
      </c>
      <c r="H719" t="s">
        <v>3818</v>
      </c>
      <c r="I719">
        <v>440585.57510000002</v>
      </c>
      <c r="J719">
        <v>1827549.9848</v>
      </c>
      <c r="K719">
        <v>440595.27510000003</v>
      </c>
      <c r="L719">
        <v>1827549.9667</v>
      </c>
      <c r="M719" t="s">
        <v>56</v>
      </c>
      <c r="N719" t="s">
        <v>57</v>
      </c>
      <c r="O719">
        <v>1350</v>
      </c>
      <c r="P719" t="s">
        <v>3997</v>
      </c>
      <c r="Q719" t="s">
        <v>3998</v>
      </c>
      <c r="R719" t="s">
        <v>180</v>
      </c>
      <c r="S719" t="s">
        <v>3680</v>
      </c>
      <c r="T719" t="s">
        <v>3699</v>
      </c>
      <c r="U719">
        <v>-0.54900000000000004</v>
      </c>
      <c r="V719">
        <v>-0.56710000000000005</v>
      </c>
      <c r="W719" t="s">
        <v>52</v>
      </c>
      <c r="X719">
        <v>2.0695999999999999</v>
      </c>
      <c r="Y719">
        <v>2.1573000000000002</v>
      </c>
      <c r="Z719">
        <v>2.0832000000000002</v>
      </c>
      <c r="AA719">
        <v>2.0695999999999999</v>
      </c>
      <c r="AB719">
        <v>9.6999999999999993</v>
      </c>
      <c r="AC719">
        <v>9.6999999999999993</v>
      </c>
      <c r="AD719">
        <v>8.5016999999999996</v>
      </c>
      <c r="AE719">
        <v>8.5016999999999996</v>
      </c>
      <c r="AF719" t="s">
        <v>4702</v>
      </c>
      <c r="AG719" t="s">
        <v>4702</v>
      </c>
      <c r="AH719" t="s">
        <v>3894</v>
      </c>
      <c r="AI719" t="s">
        <v>3894</v>
      </c>
      <c r="AJ719" t="s">
        <v>3895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3896</v>
      </c>
      <c r="AT719" t="s">
        <v>3890</v>
      </c>
      <c r="AU719" t="s">
        <v>4000</v>
      </c>
      <c r="AV719" t="s">
        <v>3898</v>
      </c>
      <c r="AW719">
        <v>2</v>
      </c>
      <c r="AX719">
        <v>0</v>
      </c>
    </row>
    <row r="720" spans="1:50" x14ac:dyDescent="0.25">
      <c r="A720" t="s">
        <v>4703</v>
      </c>
      <c r="B720" t="s">
        <v>3889</v>
      </c>
      <c r="C720" t="s">
        <v>3890</v>
      </c>
      <c r="D720">
        <v>31.847000000000001</v>
      </c>
      <c r="E720">
        <v>31.805</v>
      </c>
      <c r="F720" s="2">
        <v>2.0999999999999999E-3</v>
      </c>
      <c r="G720" t="s">
        <v>225</v>
      </c>
      <c r="H720" t="s">
        <v>1911</v>
      </c>
      <c r="I720">
        <v>440068.44990000001</v>
      </c>
      <c r="J720">
        <v>1827853.3740999999</v>
      </c>
      <c r="K720">
        <v>440088.22489999997</v>
      </c>
      <c r="L720">
        <v>1827853.3740999999</v>
      </c>
      <c r="M720" t="s">
        <v>56</v>
      </c>
      <c r="N720" t="s">
        <v>57</v>
      </c>
      <c r="O720">
        <v>450</v>
      </c>
      <c r="P720" t="s">
        <v>3891</v>
      </c>
      <c r="Q720" t="s">
        <v>3892</v>
      </c>
      <c r="R720" t="s">
        <v>227</v>
      </c>
      <c r="S720" t="s">
        <v>228</v>
      </c>
      <c r="T720" t="s">
        <v>1913</v>
      </c>
      <c r="U720">
        <v>0</v>
      </c>
      <c r="V720">
        <v>0</v>
      </c>
      <c r="W720" t="s">
        <v>52</v>
      </c>
      <c r="X720">
        <v>0.88170000000000004</v>
      </c>
      <c r="Y720">
        <v>0.94679999999999997</v>
      </c>
      <c r="Z720">
        <v>0.94679999999999997</v>
      </c>
      <c r="AA720">
        <v>0.88170000000000004</v>
      </c>
      <c r="AB720">
        <v>19.774999999999999</v>
      </c>
      <c r="AC720">
        <v>19.774999999999999</v>
      </c>
      <c r="AD720">
        <v>18.576499999999999</v>
      </c>
      <c r="AE720">
        <v>18.576499999999999</v>
      </c>
      <c r="AF720" t="s">
        <v>183</v>
      </c>
      <c r="AG720" t="s">
        <v>183</v>
      </c>
      <c r="AH720" t="s">
        <v>3894</v>
      </c>
      <c r="AI720" t="s">
        <v>3894</v>
      </c>
      <c r="AJ720" t="s">
        <v>3895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3896</v>
      </c>
      <c r="AT720" t="s">
        <v>3890</v>
      </c>
      <c r="AU720" t="s">
        <v>3897</v>
      </c>
      <c r="AV720" t="s">
        <v>3898</v>
      </c>
      <c r="AW720">
        <v>2</v>
      </c>
      <c r="AX720">
        <v>0</v>
      </c>
    </row>
    <row r="721" spans="1:50" x14ac:dyDescent="0.25">
      <c r="A721" t="s">
        <v>4704</v>
      </c>
      <c r="B721" t="s">
        <v>3889</v>
      </c>
      <c r="C721" t="s">
        <v>3890</v>
      </c>
      <c r="D721">
        <v>29.44</v>
      </c>
      <c r="E721">
        <v>29.399000000000001</v>
      </c>
      <c r="F721" s="2">
        <v>2.0999999999999999E-3</v>
      </c>
      <c r="G721" t="s">
        <v>1115</v>
      </c>
      <c r="H721" t="s">
        <v>1119</v>
      </c>
      <c r="I721">
        <v>440290.4252</v>
      </c>
      <c r="J721">
        <v>1827692.6895000001</v>
      </c>
      <c r="K721">
        <v>440270.4252</v>
      </c>
      <c r="L721">
        <v>1827692.6895000001</v>
      </c>
      <c r="M721" t="s">
        <v>56</v>
      </c>
      <c r="N721" t="s">
        <v>57</v>
      </c>
      <c r="O721">
        <v>450</v>
      </c>
      <c r="P721" t="s">
        <v>3891</v>
      </c>
      <c r="Q721" t="s">
        <v>3892</v>
      </c>
      <c r="R721" t="s">
        <v>1112</v>
      </c>
      <c r="S721" t="s">
        <v>1117</v>
      </c>
      <c r="T721" t="s">
        <v>1121</v>
      </c>
      <c r="U721">
        <v>-0.15679999999999999</v>
      </c>
      <c r="V721">
        <v>-0.1618</v>
      </c>
      <c r="W721" t="s">
        <v>52</v>
      </c>
      <c r="X721">
        <v>1.1284000000000001</v>
      </c>
      <c r="Y721">
        <v>1.3375999999999999</v>
      </c>
      <c r="Z721">
        <v>1.1284000000000001</v>
      </c>
      <c r="AA721">
        <v>1.3375999999999999</v>
      </c>
      <c r="AB721">
        <v>20</v>
      </c>
      <c r="AC721">
        <v>20</v>
      </c>
      <c r="AD721">
        <v>18.801400000000001</v>
      </c>
      <c r="AE721">
        <v>18.801500000000001</v>
      </c>
      <c r="AF721" t="s">
        <v>4630</v>
      </c>
      <c r="AG721" t="s">
        <v>4630</v>
      </c>
      <c r="AH721" t="s">
        <v>3894</v>
      </c>
      <c r="AI721" t="s">
        <v>3894</v>
      </c>
      <c r="AJ721" t="s">
        <v>3895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3896</v>
      </c>
      <c r="AT721" t="s">
        <v>3890</v>
      </c>
      <c r="AU721" t="s">
        <v>3897</v>
      </c>
      <c r="AV721" t="s">
        <v>3898</v>
      </c>
      <c r="AW721">
        <v>2</v>
      </c>
      <c r="AX721">
        <v>0</v>
      </c>
    </row>
    <row r="722" spans="1:50" x14ac:dyDescent="0.25">
      <c r="A722" t="s">
        <v>4705</v>
      </c>
      <c r="B722" t="s">
        <v>3889</v>
      </c>
      <c r="C722" t="s">
        <v>3890</v>
      </c>
      <c r="D722">
        <v>30.015999999999998</v>
      </c>
      <c r="E722">
        <v>29.974</v>
      </c>
      <c r="F722" s="2">
        <v>2.0999999999999999E-3</v>
      </c>
      <c r="G722" t="s">
        <v>1131</v>
      </c>
      <c r="H722" t="s">
        <v>282</v>
      </c>
      <c r="I722">
        <v>440258.3749</v>
      </c>
      <c r="J722">
        <v>1827612.9</v>
      </c>
      <c r="K722">
        <v>440258.3749</v>
      </c>
      <c r="L722">
        <v>1827633.3661</v>
      </c>
      <c r="M722" t="s">
        <v>56</v>
      </c>
      <c r="N722" t="s">
        <v>57</v>
      </c>
      <c r="O722">
        <v>450</v>
      </c>
      <c r="P722" t="s">
        <v>3891</v>
      </c>
      <c r="Q722" t="s">
        <v>3892</v>
      </c>
      <c r="R722" t="s">
        <v>275</v>
      </c>
      <c r="S722" t="s">
        <v>1133</v>
      </c>
      <c r="T722" t="s">
        <v>284</v>
      </c>
      <c r="U722">
        <v>2.1499999999999998E-2</v>
      </c>
      <c r="V722">
        <v>2.1499999999999998E-2</v>
      </c>
      <c r="W722" t="s">
        <v>52</v>
      </c>
      <c r="X722">
        <v>0.8871</v>
      </c>
      <c r="Y722">
        <v>0.88819999999999999</v>
      </c>
      <c r="Z722">
        <v>0.8871</v>
      </c>
      <c r="AA722">
        <v>0.88819999999999999</v>
      </c>
      <c r="AB722">
        <v>20.466200000000001</v>
      </c>
      <c r="AC722">
        <v>20.466200000000001</v>
      </c>
      <c r="AD722">
        <v>19.267600000000002</v>
      </c>
      <c r="AE722">
        <v>19.267600000000002</v>
      </c>
      <c r="AF722" t="s">
        <v>67</v>
      </c>
      <c r="AG722" t="s">
        <v>67</v>
      </c>
      <c r="AH722" t="s">
        <v>3894</v>
      </c>
      <c r="AI722" t="s">
        <v>3894</v>
      </c>
      <c r="AJ722" t="s">
        <v>3895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3896</v>
      </c>
      <c r="AT722" t="s">
        <v>3890</v>
      </c>
      <c r="AU722" t="s">
        <v>3897</v>
      </c>
      <c r="AV722" t="s">
        <v>3898</v>
      </c>
      <c r="AW722">
        <v>2</v>
      </c>
      <c r="AX722">
        <v>0</v>
      </c>
    </row>
    <row r="723" spans="1:50" x14ac:dyDescent="0.25">
      <c r="A723" t="s">
        <v>4706</v>
      </c>
      <c r="B723" t="s">
        <v>3889</v>
      </c>
      <c r="C723" t="s">
        <v>3890</v>
      </c>
      <c r="D723">
        <v>29.475000000000001</v>
      </c>
      <c r="E723">
        <v>29.434000000000001</v>
      </c>
      <c r="F723" s="2">
        <v>2.0999999999999999E-3</v>
      </c>
      <c r="G723" t="s">
        <v>1059</v>
      </c>
      <c r="H723" t="s">
        <v>1063</v>
      </c>
      <c r="I723">
        <v>440290.4252</v>
      </c>
      <c r="J723">
        <v>1827703.7895</v>
      </c>
      <c r="K723">
        <v>440270.4252</v>
      </c>
      <c r="L723">
        <v>1827703.7895</v>
      </c>
      <c r="M723" t="s">
        <v>56</v>
      </c>
      <c r="N723" t="s">
        <v>57</v>
      </c>
      <c r="O723">
        <v>450</v>
      </c>
      <c r="P723" t="s">
        <v>3891</v>
      </c>
      <c r="Q723" t="s">
        <v>3892</v>
      </c>
      <c r="R723" t="s">
        <v>1056</v>
      </c>
      <c r="S723" s="1" t="s">
        <v>1061</v>
      </c>
      <c r="T723" t="s">
        <v>1065</v>
      </c>
      <c r="U723">
        <v>7.4999999999999997E-2</v>
      </c>
      <c r="V723">
        <v>7.4999999999999997E-2</v>
      </c>
      <c r="W723" t="s">
        <v>52</v>
      </c>
      <c r="X723">
        <v>1.0933999999999999</v>
      </c>
      <c r="Y723">
        <v>1.3026</v>
      </c>
      <c r="Z723">
        <v>1.0933999999999999</v>
      </c>
      <c r="AA723">
        <v>1.3026</v>
      </c>
      <c r="AB723">
        <v>20</v>
      </c>
      <c r="AC723">
        <v>20</v>
      </c>
      <c r="AD723">
        <v>18.801400000000001</v>
      </c>
      <c r="AE723">
        <v>18.801500000000001</v>
      </c>
      <c r="AF723" t="s">
        <v>4630</v>
      </c>
      <c r="AG723" t="s">
        <v>4630</v>
      </c>
      <c r="AH723" t="s">
        <v>3894</v>
      </c>
      <c r="AI723" t="s">
        <v>3894</v>
      </c>
      <c r="AJ723" t="s">
        <v>3895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3896</v>
      </c>
      <c r="AT723" t="s">
        <v>3890</v>
      </c>
      <c r="AU723" t="s">
        <v>3897</v>
      </c>
      <c r="AV723" t="s">
        <v>3898</v>
      </c>
      <c r="AW723">
        <v>2</v>
      </c>
      <c r="AX723">
        <v>0</v>
      </c>
    </row>
    <row r="724" spans="1:50" x14ac:dyDescent="0.25">
      <c r="A724" t="s">
        <v>4707</v>
      </c>
      <c r="B724" t="s">
        <v>4004</v>
      </c>
      <c r="C724" t="s">
        <v>3890</v>
      </c>
      <c r="D724">
        <v>28.373000000000001</v>
      </c>
      <c r="E724">
        <v>28.332000000000001</v>
      </c>
      <c r="F724" s="2">
        <v>2.0999999999999999E-3</v>
      </c>
      <c r="G724" t="s">
        <v>3012</v>
      </c>
      <c r="H724" t="s">
        <v>3015</v>
      </c>
      <c r="I724">
        <v>440470.4252</v>
      </c>
      <c r="J724">
        <v>1827703.7145</v>
      </c>
      <c r="K724">
        <v>440490.4252</v>
      </c>
      <c r="L724">
        <v>1827703.7145</v>
      </c>
      <c r="M724" t="s">
        <v>56</v>
      </c>
      <c r="N724" t="s">
        <v>57</v>
      </c>
      <c r="O724">
        <v>600</v>
      </c>
      <c r="P724" t="s">
        <v>58</v>
      </c>
      <c r="Q724" t="s">
        <v>3892</v>
      </c>
      <c r="R724" t="s">
        <v>1056</v>
      </c>
      <c r="S724" t="s">
        <v>432</v>
      </c>
      <c r="T724" t="s">
        <v>597</v>
      </c>
      <c r="U724">
        <v>0</v>
      </c>
      <c r="V724">
        <v>0</v>
      </c>
      <c r="W724" t="s">
        <v>52</v>
      </c>
      <c r="X724">
        <v>0.87960000000000005</v>
      </c>
      <c r="Y724">
        <v>0.88039999999999996</v>
      </c>
      <c r="Z724">
        <v>0.88019999999999998</v>
      </c>
      <c r="AA724">
        <v>0.88039999999999996</v>
      </c>
      <c r="AB724">
        <v>20</v>
      </c>
      <c r="AC724">
        <v>20</v>
      </c>
      <c r="AD724">
        <v>18.8017</v>
      </c>
      <c r="AE724">
        <v>18.8018</v>
      </c>
      <c r="AF724" t="s">
        <v>183</v>
      </c>
      <c r="AG724" t="s">
        <v>183</v>
      </c>
      <c r="AH724" t="s">
        <v>3894</v>
      </c>
      <c r="AI724" t="s">
        <v>3894</v>
      </c>
      <c r="AJ724" t="s">
        <v>3895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3896</v>
      </c>
      <c r="AT724" t="s">
        <v>3890</v>
      </c>
      <c r="AU724" t="s">
        <v>4006</v>
      </c>
      <c r="AV724" t="s">
        <v>3898</v>
      </c>
      <c r="AW724">
        <v>2</v>
      </c>
      <c r="AX724">
        <v>0</v>
      </c>
    </row>
    <row r="725" spans="1:50" x14ac:dyDescent="0.25">
      <c r="A725" t="s">
        <v>4708</v>
      </c>
      <c r="B725" t="s">
        <v>3889</v>
      </c>
      <c r="C725" t="s">
        <v>3890</v>
      </c>
      <c r="D725">
        <v>27.763999999999999</v>
      </c>
      <c r="E725">
        <v>27.722999999999999</v>
      </c>
      <c r="F725" s="2">
        <v>2.0999999999999999E-3</v>
      </c>
      <c r="G725" t="s">
        <v>3673</v>
      </c>
      <c r="H725" t="s">
        <v>3675</v>
      </c>
      <c r="I725">
        <v>440585.57510000002</v>
      </c>
      <c r="J725">
        <v>1827498.2394999999</v>
      </c>
      <c r="K725">
        <v>440585.57510000002</v>
      </c>
      <c r="L725">
        <v>1827518.2394999999</v>
      </c>
      <c r="M725" t="s">
        <v>56</v>
      </c>
      <c r="N725" t="s">
        <v>57</v>
      </c>
      <c r="O725">
        <v>450</v>
      </c>
      <c r="P725" t="s">
        <v>3891</v>
      </c>
      <c r="Q725" t="s">
        <v>3892</v>
      </c>
      <c r="R725" t="s">
        <v>357</v>
      </c>
      <c r="S725" t="s">
        <v>416</v>
      </c>
      <c r="T725" t="s">
        <v>420</v>
      </c>
      <c r="U725">
        <v>2.63E-2</v>
      </c>
      <c r="V725">
        <v>1.5299999999999999E-2</v>
      </c>
      <c r="W725" t="s">
        <v>52</v>
      </c>
      <c r="X725">
        <v>0.86870000000000003</v>
      </c>
      <c r="Y725">
        <v>0.88180000000000003</v>
      </c>
      <c r="Z725">
        <v>0.88160000000000005</v>
      </c>
      <c r="AA725">
        <v>0.88180000000000003</v>
      </c>
      <c r="AB725">
        <v>20</v>
      </c>
      <c r="AC725">
        <v>20</v>
      </c>
      <c r="AD725">
        <v>18.801400000000001</v>
      </c>
      <c r="AE725">
        <v>18.801500000000001</v>
      </c>
      <c r="AF725" t="s">
        <v>3973</v>
      </c>
      <c r="AG725" t="s">
        <v>3973</v>
      </c>
      <c r="AH725" t="s">
        <v>3894</v>
      </c>
      <c r="AI725" t="s">
        <v>3894</v>
      </c>
      <c r="AJ725" t="s">
        <v>3895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3896</v>
      </c>
      <c r="AT725" t="s">
        <v>3890</v>
      </c>
      <c r="AU725" t="s">
        <v>3897</v>
      </c>
      <c r="AV725" t="s">
        <v>3898</v>
      </c>
      <c r="AW725">
        <v>2</v>
      </c>
      <c r="AX725">
        <v>0</v>
      </c>
    </row>
    <row r="726" spans="1:50" x14ac:dyDescent="0.25">
      <c r="A726" t="s">
        <v>4709</v>
      </c>
      <c r="B726" t="s">
        <v>3889</v>
      </c>
      <c r="C726" t="s">
        <v>3890</v>
      </c>
      <c r="D726">
        <v>27.763999999999999</v>
      </c>
      <c r="E726">
        <v>27.722999999999999</v>
      </c>
      <c r="F726" s="2">
        <v>2.0999999999999999E-3</v>
      </c>
      <c r="G726" t="s">
        <v>3692</v>
      </c>
      <c r="H726" t="s">
        <v>3694</v>
      </c>
      <c r="I726">
        <v>440595.27510000003</v>
      </c>
      <c r="J726">
        <v>1827498.2394999999</v>
      </c>
      <c r="K726">
        <v>440595.27510000003</v>
      </c>
      <c r="L726">
        <v>1827518.2394999999</v>
      </c>
      <c r="M726" t="s">
        <v>56</v>
      </c>
      <c r="N726" t="s">
        <v>57</v>
      </c>
      <c r="O726">
        <v>450</v>
      </c>
      <c r="P726" t="s">
        <v>3891</v>
      </c>
      <c r="Q726" t="s">
        <v>3892</v>
      </c>
      <c r="R726" t="s">
        <v>797</v>
      </c>
      <c r="S726" t="s">
        <v>416</v>
      </c>
      <c r="T726" t="s">
        <v>420</v>
      </c>
      <c r="U726">
        <v>3.3099999999999997E-2</v>
      </c>
      <c r="V726">
        <v>3.3099999999999997E-2</v>
      </c>
      <c r="W726" t="s">
        <v>52</v>
      </c>
      <c r="X726">
        <v>0.86870000000000003</v>
      </c>
      <c r="Y726">
        <v>0.88180000000000003</v>
      </c>
      <c r="Z726">
        <v>0.88160000000000005</v>
      </c>
      <c r="AA726">
        <v>0.88180000000000003</v>
      </c>
      <c r="AB726">
        <v>20</v>
      </c>
      <c r="AC726">
        <v>20</v>
      </c>
      <c r="AD726">
        <v>18.801400000000001</v>
      </c>
      <c r="AE726">
        <v>18.801500000000001</v>
      </c>
      <c r="AF726" t="s">
        <v>3973</v>
      </c>
      <c r="AG726" t="s">
        <v>3973</v>
      </c>
      <c r="AH726" t="s">
        <v>3894</v>
      </c>
      <c r="AI726" t="s">
        <v>3894</v>
      </c>
      <c r="AJ726" t="s">
        <v>3895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3896</v>
      </c>
      <c r="AT726" t="s">
        <v>3890</v>
      </c>
      <c r="AU726" t="s">
        <v>3897</v>
      </c>
      <c r="AV726" t="s">
        <v>3898</v>
      </c>
      <c r="AW726">
        <v>2</v>
      </c>
      <c r="AX726">
        <v>0</v>
      </c>
    </row>
    <row r="727" spans="1:50" x14ac:dyDescent="0.25">
      <c r="A727" t="s">
        <v>4710</v>
      </c>
      <c r="B727" t="s">
        <v>3889</v>
      </c>
      <c r="C727" t="s">
        <v>3890</v>
      </c>
      <c r="D727">
        <v>29.263999999999999</v>
      </c>
      <c r="E727">
        <v>29.224</v>
      </c>
      <c r="F727" s="2">
        <v>2E-3</v>
      </c>
      <c r="G727" t="s">
        <v>3175</v>
      </c>
      <c r="H727" t="s">
        <v>3179</v>
      </c>
      <c r="I727">
        <v>440519.97509999998</v>
      </c>
      <c r="J727">
        <v>1827315.4855</v>
      </c>
      <c r="K727">
        <v>440519.97509999998</v>
      </c>
      <c r="L727">
        <v>1827335.2019</v>
      </c>
      <c r="M727" t="s">
        <v>56</v>
      </c>
      <c r="N727" t="s">
        <v>57</v>
      </c>
      <c r="O727">
        <v>450</v>
      </c>
      <c r="P727" t="s">
        <v>3891</v>
      </c>
      <c r="Q727" t="s">
        <v>3892</v>
      </c>
      <c r="R727" t="s">
        <v>3168</v>
      </c>
      <c r="S727" t="s">
        <v>3177</v>
      </c>
      <c r="T727" t="s">
        <v>3181</v>
      </c>
      <c r="U727">
        <v>-4.7000000000000002E-3</v>
      </c>
      <c r="V727">
        <v>-4.7000000000000002E-3</v>
      </c>
      <c r="W727" t="s">
        <v>52</v>
      </c>
      <c r="X727">
        <v>0.8921</v>
      </c>
      <c r="Y727">
        <v>0.89410000000000001</v>
      </c>
      <c r="Z727">
        <v>0.89410000000000001</v>
      </c>
      <c r="AA727">
        <v>0.8921</v>
      </c>
      <c r="AB727">
        <v>19.7163</v>
      </c>
      <c r="AC727">
        <v>19.7164</v>
      </c>
      <c r="AD727">
        <v>18.517800000000001</v>
      </c>
      <c r="AE727">
        <v>18.517800000000001</v>
      </c>
      <c r="AF727" t="s">
        <v>67</v>
      </c>
      <c r="AG727" t="s">
        <v>67</v>
      </c>
      <c r="AH727" t="s">
        <v>3894</v>
      </c>
      <c r="AI727" t="s">
        <v>3894</v>
      </c>
      <c r="AJ727" t="s">
        <v>3895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3896</v>
      </c>
      <c r="AT727" t="s">
        <v>3890</v>
      </c>
      <c r="AU727" t="s">
        <v>3897</v>
      </c>
      <c r="AV727" t="s">
        <v>3898</v>
      </c>
      <c r="AW727">
        <v>2</v>
      </c>
      <c r="AX727">
        <v>0</v>
      </c>
    </row>
    <row r="728" spans="1:50" x14ac:dyDescent="0.25">
      <c r="A728" t="s">
        <v>4711</v>
      </c>
      <c r="B728" t="s">
        <v>3889</v>
      </c>
      <c r="C728" t="s">
        <v>3890</v>
      </c>
      <c r="D728">
        <v>29.265000000000001</v>
      </c>
      <c r="E728">
        <v>29.224</v>
      </c>
      <c r="F728" s="2">
        <v>2.0999999999999999E-3</v>
      </c>
      <c r="G728" t="s">
        <v>350</v>
      </c>
      <c r="H728" t="s">
        <v>3195</v>
      </c>
      <c r="I728">
        <v>440529.67509999999</v>
      </c>
      <c r="J728">
        <v>1827315.2164</v>
      </c>
      <c r="K728">
        <v>440529.67509999999</v>
      </c>
      <c r="L728">
        <v>1827335.2019</v>
      </c>
      <c r="M728" t="s">
        <v>56</v>
      </c>
      <c r="N728" t="s">
        <v>57</v>
      </c>
      <c r="O728">
        <v>450</v>
      </c>
      <c r="P728" t="s">
        <v>3891</v>
      </c>
      <c r="Q728" t="s">
        <v>3892</v>
      </c>
      <c r="R728" t="s">
        <v>352</v>
      </c>
      <c r="S728" t="s">
        <v>353</v>
      </c>
      <c r="T728" t="s">
        <v>3181</v>
      </c>
      <c r="U728">
        <v>0</v>
      </c>
      <c r="V728">
        <v>0</v>
      </c>
      <c r="W728" t="s">
        <v>52</v>
      </c>
      <c r="X728">
        <v>0.8921</v>
      </c>
      <c r="Y728">
        <v>0.89370000000000005</v>
      </c>
      <c r="Z728">
        <v>0.89370000000000005</v>
      </c>
      <c r="AA728">
        <v>0.8921</v>
      </c>
      <c r="AB728">
        <v>19.985499999999998</v>
      </c>
      <c r="AC728">
        <v>19.985499999999998</v>
      </c>
      <c r="AD728">
        <v>18.786899999999999</v>
      </c>
      <c r="AE728">
        <v>18.786999999999999</v>
      </c>
      <c r="AF728" t="s">
        <v>67</v>
      </c>
      <c r="AG728" t="s">
        <v>67</v>
      </c>
      <c r="AH728" t="s">
        <v>3894</v>
      </c>
      <c r="AI728" t="s">
        <v>3894</v>
      </c>
      <c r="AJ728" t="s">
        <v>3895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3896</v>
      </c>
      <c r="AT728" t="s">
        <v>3890</v>
      </c>
      <c r="AU728" t="s">
        <v>3897</v>
      </c>
      <c r="AV728" t="s">
        <v>3898</v>
      </c>
      <c r="AW728">
        <v>2</v>
      </c>
      <c r="AX728">
        <v>0</v>
      </c>
    </row>
    <row r="729" spans="1:50" x14ac:dyDescent="0.25">
      <c r="A729" t="s">
        <v>4712</v>
      </c>
      <c r="B729" t="s">
        <v>4004</v>
      </c>
      <c r="C729" t="s">
        <v>3890</v>
      </c>
      <c r="D729">
        <v>28.251999999999999</v>
      </c>
      <c r="E729">
        <v>28.212</v>
      </c>
      <c r="F729" s="2">
        <v>2E-3</v>
      </c>
      <c r="G729" t="s">
        <v>3021</v>
      </c>
      <c r="H729" t="s">
        <v>3024</v>
      </c>
      <c r="I729">
        <v>440530.4252</v>
      </c>
      <c r="J729">
        <v>1827703.7145</v>
      </c>
      <c r="K729">
        <v>440550.4252</v>
      </c>
      <c r="L729">
        <v>1827703.7145</v>
      </c>
      <c r="M729" t="s">
        <v>56</v>
      </c>
      <c r="N729" t="s">
        <v>57</v>
      </c>
      <c r="O729">
        <v>600</v>
      </c>
      <c r="P729" t="s">
        <v>58</v>
      </c>
      <c r="Q729" t="s">
        <v>3892</v>
      </c>
      <c r="R729" t="s">
        <v>1056</v>
      </c>
      <c r="S729" t="s">
        <v>444</v>
      </c>
      <c r="T729" t="s">
        <v>448</v>
      </c>
      <c r="U729">
        <v>0</v>
      </c>
      <c r="V729">
        <v>0</v>
      </c>
      <c r="W729" t="s">
        <v>52</v>
      </c>
      <c r="X729">
        <v>0.88029999999999997</v>
      </c>
      <c r="Y729">
        <v>0.88029999999999997</v>
      </c>
      <c r="Z729">
        <v>0.88029999999999997</v>
      </c>
      <c r="AA729">
        <v>0.88029999999999997</v>
      </c>
      <c r="AB729">
        <v>20</v>
      </c>
      <c r="AC729">
        <v>20</v>
      </c>
      <c r="AD729">
        <v>18.8017</v>
      </c>
      <c r="AE729">
        <v>18.8017</v>
      </c>
      <c r="AF729" t="s">
        <v>183</v>
      </c>
      <c r="AG729" t="s">
        <v>183</v>
      </c>
      <c r="AH729" t="s">
        <v>3894</v>
      </c>
      <c r="AI729" t="s">
        <v>3894</v>
      </c>
      <c r="AJ729" t="s">
        <v>3895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3896</v>
      </c>
      <c r="AT729" t="s">
        <v>3890</v>
      </c>
      <c r="AU729" t="s">
        <v>4006</v>
      </c>
      <c r="AV729" t="s">
        <v>3898</v>
      </c>
      <c r="AW729">
        <v>2</v>
      </c>
      <c r="AX729">
        <v>0</v>
      </c>
    </row>
    <row r="730" spans="1:50" x14ac:dyDescent="0.25">
      <c r="A730" t="s">
        <v>4713</v>
      </c>
      <c r="B730" t="s">
        <v>4004</v>
      </c>
      <c r="C730" t="s">
        <v>3890</v>
      </c>
      <c r="D730">
        <v>28.332000000000001</v>
      </c>
      <c r="E730">
        <v>28.292000000000002</v>
      </c>
      <c r="F730" s="2">
        <v>2E-3</v>
      </c>
      <c r="G730" t="s">
        <v>3015</v>
      </c>
      <c r="H730" t="s">
        <v>3018</v>
      </c>
      <c r="I730">
        <v>440490.4252</v>
      </c>
      <c r="J730">
        <v>1827703.7145</v>
      </c>
      <c r="K730">
        <v>440510.4252</v>
      </c>
      <c r="L730">
        <v>1827703.7145</v>
      </c>
      <c r="M730" t="s">
        <v>56</v>
      </c>
      <c r="N730" t="s">
        <v>57</v>
      </c>
      <c r="O730">
        <v>600</v>
      </c>
      <c r="P730" t="s">
        <v>58</v>
      </c>
      <c r="Q730" t="s">
        <v>3892</v>
      </c>
      <c r="R730" t="s">
        <v>1056</v>
      </c>
      <c r="S730" t="s">
        <v>597</v>
      </c>
      <c r="T730" t="s">
        <v>440</v>
      </c>
      <c r="U730">
        <v>0</v>
      </c>
      <c r="V730">
        <v>0</v>
      </c>
      <c r="W730" t="s">
        <v>52</v>
      </c>
      <c r="X730">
        <v>0.88039999999999996</v>
      </c>
      <c r="Y730">
        <v>0.88039999999999996</v>
      </c>
      <c r="Z730">
        <v>0.88039999999999996</v>
      </c>
      <c r="AA730">
        <v>0.88039999999999996</v>
      </c>
      <c r="AB730">
        <v>20</v>
      </c>
      <c r="AC730">
        <v>20</v>
      </c>
      <c r="AD730">
        <v>18.8017</v>
      </c>
      <c r="AE730">
        <v>18.8017</v>
      </c>
      <c r="AF730" t="s">
        <v>183</v>
      </c>
      <c r="AG730" t="s">
        <v>183</v>
      </c>
      <c r="AH730" t="s">
        <v>3894</v>
      </c>
      <c r="AI730" t="s">
        <v>3894</v>
      </c>
      <c r="AJ730" t="s">
        <v>3895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3896</v>
      </c>
      <c r="AT730" t="s">
        <v>3890</v>
      </c>
      <c r="AU730" t="s">
        <v>4006</v>
      </c>
      <c r="AV730" t="s">
        <v>3898</v>
      </c>
      <c r="AW730">
        <v>2</v>
      </c>
      <c r="AX730">
        <v>0</v>
      </c>
    </row>
    <row r="731" spans="1:50" x14ac:dyDescent="0.25">
      <c r="A731" t="s">
        <v>4714</v>
      </c>
      <c r="B731" t="s">
        <v>4004</v>
      </c>
      <c r="C731" t="s">
        <v>3890</v>
      </c>
      <c r="D731">
        <v>28.212</v>
      </c>
      <c r="E731">
        <v>28.172000000000001</v>
      </c>
      <c r="F731" s="2">
        <v>2E-3</v>
      </c>
      <c r="G731" t="s">
        <v>3024</v>
      </c>
      <c r="H731" t="s">
        <v>3027</v>
      </c>
      <c r="I731">
        <v>440550.4252</v>
      </c>
      <c r="J731">
        <v>1827703.7145</v>
      </c>
      <c r="K731">
        <v>440570.4252</v>
      </c>
      <c r="L731">
        <v>1827703.7145</v>
      </c>
      <c r="M731" t="s">
        <v>56</v>
      </c>
      <c r="N731" t="s">
        <v>57</v>
      </c>
      <c r="O731">
        <v>600</v>
      </c>
      <c r="P731" t="s">
        <v>58</v>
      </c>
      <c r="Q731" t="s">
        <v>3892</v>
      </c>
      <c r="R731" t="s">
        <v>1056</v>
      </c>
      <c r="S731" s="1" t="s">
        <v>448</v>
      </c>
      <c r="T731" s="1" t="s">
        <v>452</v>
      </c>
      <c r="U731">
        <v>0</v>
      </c>
      <c r="V731">
        <v>0</v>
      </c>
      <c r="W731" t="s">
        <v>52</v>
      </c>
      <c r="X731">
        <v>0.88029999999999997</v>
      </c>
      <c r="Y731">
        <v>0.88029999999999997</v>
      </c>
      <c r="Z731">
        <v>0.88029999999999997</v>
      </c>
      <c r="AA731">
        <v>0.88029999999999997</v>
      </c>
      <c r="AB731">
        <v>20</v>
      </c>
      <c r="AC731">
        <v>20</v>
      </c>
      <c r="AD731">
        <v>18.8017</v>
      </c>
      <c r="AE731">
        <v>18.8017</v>
      </c>
      <c r="AF731" t="s">
        <v>183</v>
      </c>
      <c r="AG731" t="s">
        <v>183</v>
      </c>
      <c r="AH731" t="s">
        <v>3894</v>
      </c>
      <c r="AI731" t="s">
        <v>3894</v>
      </c>
      <c r="AJ731" t="s">
        <v>3895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3896</v>
      </c>
      <c r="AT731" t="s">
        <v>3890</v>
      </c>
      <c r="AU731" t="s">
        <v>4006</v>
      </c>
      <c r="AV731" t="s">
        <v>3898</v>
      </c>
      <c r="AW731">
        <v>2</v>
      </c>
      <c r="AX731">
        <v>0</v>
      </c>
    </row>
    <row r="732" spans="1:50" x14ac:dyDescent="0.25">
      <c r="A732" t="s">
        <v>4715</v>
      </c>
      <c r="B732" t="s">
        <v>4004</v>
      </c>
      <c r="C732" t="s">
        <v>3890</v>
      </c>
      <c r="D732">
        <v>28.292000000000002</v>
      </c>
      <c r="E732">
        <v>28.251999999999999</v>
      </c>
      <c r="F732" s="2">
        <v>2E-3</v>
      </c>
      <c r="G732" t="s">
        <v>3018</v>
      </c>
      <c r="H732" t="s">
        <v>3021</v>
      </c>
      <c r="I732">
        <v>440510.4252</v>
      </c>
      <c r="J732">
        <v>1827703.7145</v>
      </c>
      <c r="K732">
        <v>440530.4252</v>
      </c>
      <c r="L732">
        <v>1827703.7145</v>
      </c>
      <c r="M732" t="s">
        <v>56</v>
      </c>
      <c r="N732" t="s">
        <v>57</v>
      </c>
      <c r="O732">
        <v>600</v>
      </c>
      <c r="P732" t="s">
        <v>58</v>
      </c>
      <c r="Q732" t="s">
        <v>3892</v>
      </c>
      <c r="R732" t="s">
        <v>1056</v>
      </c>
      <c r="S732" s="1" t="s">
        <v>440</v>
      </c>
      <c r="T732" t="s">
        <v>444</v>
      </c>
      <c r="U732">
        <v>0</v>
      </c>
      <c r="V732">
        <v>0</v>
      </c>
      <c r="W732" t="s">
        <v>52</v>
      </c>
      <c r="X732">
        <v>0.88029999999999997</v>
      </c>
      <c r="Y732">
        <v>0.88039999999999996</v>
      </c>
      <c r="Z732">
        <v>0.88039999999999996</v>
      </c>
      <c r="AA732">
        <v>0.88029999999999997</v>
      </c>
      <c r="AB732">
        <v>20</v>
      </c>
      <c r="AC732">
        <v>20</v>
      </c>
      <c r="AD732">
        <v>18.8017</v>
      </c>
      <c r="AE732">
        <v>18.8017</v>
      </c>
      <c r="AF732" t="s">
        <v>183</v>
      </c>
      <c r="AG732" t="s">
        <v>183</v>
      </c>
      <c r="AH732" t="s">
        <v>3894</v>
      </c>
      <c r="AI732" t="s">
        <v>3894</v>
      </c>
      <c r="AJ732" t="s">
        <v>3895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3896</v>
      </c>
      <c r="AT732" t="s">
        <v>3890</v>
      </c>
      <c r="AU732" t="s">
        <v>4006</v>
      </c>
      <c r="AV732" t="s">
        <v>3898</v>
      </c>
      <c r="AW732">
        <v>2</v>
      </c>
      <c r="AX732">
        <v>0</v>
      </c>
    </row>
    <row r="733" spans="1:50" x14ac:dyDescent="0.25">
      <c r="A733" t="s">
        <v>4716</v>
      </c>
      <c r="B733" t="s">
        <v>3889</v>
      </c>
      <c r="C733" t="s">
        <v>3890</v>
      </c>
      <c r="D733">
        <v>30.056000000000001</v>
      </c>
      <c r="E733">
        <v>30.015999999999998</v>
      </c>
      <c r="F733" s="2">
        <v>2E-3</v>
      </c>
      <c r="G733" t="s">
        <v>1148</v>
      </c>
      <c r="H733" t="s">
        <v>1150</v>
      </c>
      <c r="I733">
        <v>440248.67489999998</v>
      </c>
      <c r="J733">
        <v>1827592.9</v>
      </c>
      <c r="K733">
        <v>440248.67489999998</v>
      </c>
      <c r="L733">
        <v>1827612.9</v>
      </c>
      <c r="M733" t="s">
        <v>56</v>
      </c>
      <c r="N733" t="s">
        <v>57</v>
      </c>
      <c r="O733">
        <v>450</v>
      </c>
      <c r="P733" t="s">
        <v>3891</v>
      </c>
      <c r="Q733" t="s">
        <v>3892</v>
      </c>
      <c r="R733" t="s">
        <v>1087</v>
      </c>
      <c r="S733" t="s">
        <v>1129</v>
      </c>
      <c r="T733" t="s">
        <v>1133</v>
      </c>
      <c r="U733">
        <v>0.15</v>
      </c>
      <c r="V733">
        <v>0.15</v>
      </c>
      <c r="W733" t="s">
        <v>52</v>
      </c>
      <c r="X733">
        <v>0.8871</v>
      </c>
      <c r="Y733">
        <v>0.8871</v>
      </c>
      <c r="Z733">
        <v>0.8871</v>
      </c>
      <c r="AA733">
        <v>0.8871</v>
      </c>
      <c r="AB733">
        <v>20</v>
      </c>
      <c r="AC733">
        <v>20</v>
      </c>
      <c r="AD733">
        <v>18.801400000000001</v>
      </c>
      <c r="AE733">
        <v>18.801400000000001</v>
      </c>
      <c r="AF733" t="s">
        <v>67</v>
      </c>
      <c r="AG733" t="s">
        <v>67</v>
      </c>
      <c r="AH733" t="s">
        <v>3894</v>
      </c>
      <c r="AI733" t="s">
        <v>3894</v>
      </c>
      <c r="AJ733" t="s">
        <v>3895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3896</v>
      </c>
      <c r="AT733" t="s">
        <v>3890</v>
      </c>
      <c r="AU733" t="s">
        <v>3897</v>
      </c>
      <c r="AV733" t="s">
        <v>3898</v>
      </c>
      <c r="AW733">
        <v>2</v>
      </c>
      <c r="AX733">
        <v>0</v>
      </c>
    </row>
    <row r="734" spans="1:50" x14ac:dyDescent="0.25">
      <c r="A734" t="s">
        <v>1147</v>
      </c>
      <c r="B734" t="s">
        <v>3889</v>
      </c>
      <c r="C734" t="s">
        <v>3890</v>
      </c>
      <c r="D734">
        <v>30.096</v>
      </c>
      <c r="E734">
        <v>30.056000000000001</v>
      </c>
      <c r="F734" s="2">
        <v>2E-3</v>
      </c>
      <c r="G734" t="s">
        <v>1146</v>
      </c>
      <c r="H734" t="s">
        <v>1148</v>
      </c>
      <c r="I734">
        <v>440248.67489999998</v>
      </c>
      <c r="J734">
        <v>1827572.9</v>
      </c>
      <c r="K734">
        <v>440248.67489999998</v>
      </c>
      <c r="L734">
        <v>1827592.9</v>
      </c>
      <c r="M734" t="s">
        <v>56</v>
      </c>
      <c r="N734" t="s">
        <v>57</v>
      </c>
      <c r="O734">
        <v>450</v>
      </c>
      <c r="P734" t="s">
        <v>3891</v>
      </c>
      <c r="Q734" t="s">
        <v>3892</v>
      </c>
      <c r="R734" t="s">
        <v>1087</v>
      </c>
      <c r="S734" t="s">
        <v>1125</v>
      </c>
      <c r="T734" t="s">
        <v>1129</v>
      </c>
      <c r="U734">
        <v>0.15</v>
      </c>
      <c r="V734">
        <v>0.15</v>
      </c>
      <c r="W734" t="s">
        <v>52</v>
      </c>
      <c r="X734">
        <v>0.8871</v>
      </c>
      <c r="Y734">
        <v>0.8871</v>
      </c>
      <c r="Z734">
        <v>0.8871</v>
      </c>
      <c r="AA734">
        <v>0.8871</v>
      </c>
      <c r="AB734">
        <v>20</v>
      </c>
      <c r="AC734">
        <v>20</v>
      </c>
      <c r="AD734">
        <v>18.801400000000001</v>
      </c>
      <c r="AE734">
        <v>18.801400000000001</v>
      </c>
      <c r="AF734" t="s">
        <v>67</v>
      </c>
      <c r="AG734" t="s">
        <v>67</v>
      </c>
      <c r="AH734" t="s">
        <v>3894</v>
      </c>
      <c r="AI734" t="s">
        <v>3894</v>
      </c>
      <c r="AJ734" t="s">
        <v>3895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3896</v>
      </c>
      <c r="AT734" t="s">
        <v>3890</v>
      </c>
      <c r="AU734" t="s">
        <v>3897</v>
      </c>
      <c r="AV734" t="s">
        <v>3898</v>
      </c>
      <c r="AW734">
        <v>2</v>
      </c>
      <c r="AX734">
        <v>0</v>
      </c>
    </row>
    <row r="735" spans="1:50" x14ac:dyDescent="0.25">
      <c r="A735" t="s">
        <v>4717</v>
      </c>
      <c r="B735" t="s">
        <v>3889</v>
      </c>
      <c r="C735" t="s">
        <v>3890</v>
      </c>
      <c r="D735">
        <v>30.015999999999998</v>
      </c>
      <c r="E735">
        <v>29.975999999999999</v>
      </c>
      <c r="F735" s="2">
        <v>2E-3</v>
      </c>
      <c r="G735" t="s">
        <v>1150</v>
      </c>
      <c r="H735" t="s">
        <v>1152</v>
      </c>
      <c r="I735">
        <v>440248.67489999998</v>
      </c>
      <c r="J735">
        <v>1827612.9</v>
      </c>
      <c r="K735">
        <v>440248.67489999998</v>
      </c>
      <c r="L735">
        <v>1827632.9</v>
      </c>
      <c r="M735" t="s">
        <v>56</v>
      </c>
      <c r="N735" t="s">
        <v>57</v>
      </c>
      <c r="O735">
        <v>450</v>
      </c>
      <c r="P735" t="s">
        <v>3891</v>
      </c>
      <c r="Q735" t="s">
        <v>3892</v>
      </c>
      <c r="R735" t="s">
        <v>1087</v>
      </c>
      <c r="S735" t="s">
        <v>1133</v>
      </c>
      <c r="T735" t="s">
        <v>1154</v>
      </c>
      <c r="U735">
        <v>0.15</v>
      </c>
      <c r="V735">
        <v>0.15</v>
      </c>
      <c r="W735" t="s">
        <v>52</v>
      </c>
      <c r="X735">
        <v>0.8871</v>
      </c>
      <c r="Y735">
        <v>0.8871</v>
      </c>
      <c r="Z735">
        <v>0.8871</v>
      </c>
      <c r="AA735">
        <v>0.8871</v>
      </c>
      <c r="AB735">
        <v>20</v>
      </c>
      <c r="AC735">
        <v>20</v>
      </c>
      <c r="AD735">
        <v>18.801400000000001</v>
      </c>
      <c r="AE735">
        <v>18.801400000000001</v>
      </c>
      <c r="AF735" t="s">
        <v>67</v>
      </c>
      <c r="AG735" t="s">
        <v>67</v>
      </c>
      <c r="AH735" t="s">
        <v>3894</v>
      </c>
      <c r="AI735" t="s">
        <v>3894</v>
      </c>
      <c r="AJ735" t="s">
        <v>3895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3896</v>
      </c>
      <c r="AT735" t="s">
        <v>3890</v>
      </c>
      <c r="AU735" t="s">
        <v>3897</v>
      </c>
      <c r="AV735" t="s">
        <v>3898</v>
      </c>
      <c r="AW735">
        <v>2</v>
      </c>
      <c r="AX735">
        <v>0</v>
      </c>
    </row>
    <row r="736" spans="1:50" x14ac:dyDescent="0.25">
      <c r="A736" t="s">
        <v>4718</v>
      </c>
      <c r="B736" t="s">
        <v>3889</v>
      </c>
      <c r="C736" t="s">
        <v>3890</v>
      </c>
      <c r="D736">
        <v>29.399000000000001</v>
      </c>
      <c r="E736">
        <v>29.36</v>
      </c>
      <c r="F736" s="2">
        <v>1.9E-3</v>
      </c>
      <c r="G736" t="s">
        <v>2959</v>
      </c>
      <c r="H736" t="s">
        <v>3821</v>
      </c>
      <c r="I736">
        <v>440398.47509999998</v>
      </c>
      <c r="J736">
        <v>1827869.7609000001</v>
      </c>
      <c r="K736">
        <v>440398.47509999998</v>
      </c>
      <c r="L736">
        <v>1827849.7461000001</v>
      </c>
      <c r="M736" t="s">
        <v>56</v>
      </c>
      <c r="N736" t="s">
        <v>57</v>
      </c>
      <c r="O736">
        <v>450</v>
      </c>
      <c r="P736" t="s">
        <v>3891</v>
      </c>
      <c r="Q736" t="s">
        <v>3892</v>
      </c>
      <c r="R736" t="s">
        <v>107</v>
      </c>
      <c r="S736" t="s">
        <v>452</v>
      </c>
      <c r="T736" t="s">
        <v>3823</v>
      </c>
      <c r="U736">
        <v>-2.0000000000000001E-4</v>
      </c>
      <c r="V736">
        <v>-2.0000000000000001E-4</v>
      </c>
      <c r="W736" t="s">
        <v>52</v>
      </c>
      <c r="X736">
        <v>1.0435000000000001</v>
      </c>
      <c r="Y736">
        <v>1.2761</v>
      </c>
      <c r="Z736">
        <v>1.0435000000000001</v>
      </c>
      <c r="AA736">
        <v>1.2761</v>
      </c>
      <c r="AB736">
        <v>20.014800000000001</v>
      </c>
      <c r="AC736">
        <v>20.014900000000001</v>
      </c>
      <c r="AD736">
        <v>18.816199999999998</v>
      </c>
      <c r="AE736">
        <v>18.816199999999998</v>
      </c>
      <c r="AF736" t="s">
        <v>2233</v>
      </c>
      <c r="AG736" t="s">
        <v>2233</v>
      </c>
      <c r="AH736" t="s">
        <v>3894</v>
      </c>
      <c r="AI736" t="s">
        <v>3894</v>
      </c>
      <c r="AJ736" t="s">
        <v>3895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3896</v>
      </c>
      <c r="AT736" t="s">
        <v>3890</v>
      </c>
      <c r="AU736" t="s">
        <v>3897</v>
      </c>
      <c r="AV736" t="s">
        <v>3898</v>
      </c>
      <c r="AW736">
        <v>2</v>
      </c>
      <c r="AX736">
        <v>0</v>
      </c>
    </row>
    <row r="737" spans="1:50" x14ac:dyDescent="0.25">
      <c r="A737" t="s">
        <v>4719</v>
      </c>
      <c r="B737" t="s">
        <v>3889</v>
      </c>
      <c r="C737" t="s">
        <v>3890</v>
      </c>
      <c r="D737">
        <v>29.052</v>
      </c>
      <c r="E737">
        <v>29.021000000000001</v>
      </c>
      <c r="F737" s="2">
        <v>1.5E-3</v>
      </c>
      <c r="G737" t="s">
        <v>2667</v>
      </c>
      <c r="H737" t="s">
        <v>2670</v>
      </c>
      <c r="I737">
        <v>440470.42509999999</v>
      </c>
      <c r="J737">
        <v>1827894.6109</v>
      </c>
      <c r="K737">
        <v>440490.42509999999</v>
      </c>
      <c r="L737">
        <v>1827894.6109</v>
      </c>
      <c r="M737" t="s">
        <v>56</v>
      </c>
      <c r="N737" t="s">
        <v>57</v>
      </c>
      <c r="O737">
        <v>450</v>
      </c>
      <c r="P737" t="s">
        <v>3891</v>
      </c>
      <c r="Q737" t="s">
        <v>3892</v>
      </c>
      <c r="R737" t="s">
        <v>260</v>
      </c>
      <c r="S737" t="s">
        <v>432</v>
      </c>
      <c r="T737" t="s">
        <v>597</v>
      </c>
      <c r="U737">
        <v>9.9299999999999999E-2</v>
      </c>
      <c r="V737">
        <v>8.7099999999999997E-2</v>
      </c>
      <c r="W737" t="s">
        <v>52</v>
      </c>
      <c r="X737">
        <v>1.5101</v>
      </c>
      <c r="Y737">
        <v>1.6215999999999999</v>
      </c>
      <c r="Z737">
        <v>1.5102</v>
      </c>
      <c r="AA737">
        <v>1.6215999999999999</v>
      </c>
      <c r="AB737">
        <v>20</v>
      </c>
      <c r="AC737">
        <v>20</v>
      </c>
      <c r="AD737">
        <v>18.801100000000002</v>
      </c>
      <c r="AE737">
        <v>18.801100000000002</v>
      </c>
      <c r="AF737" t="s">
        <v>3899</v>
      </c>
      <c r="AG737" t="s">
        <v>3899</v>
      </c>
      <c r="AH737" t="s">
        <v>3894</v>
      </c>
      <c r="AI737" t="s">
        <v>3894</v>
      </c>
      <c r="AJ737" t="s">
        <v>3895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3896</v>
      </c>
      <c r="AT737" t="s">
        <v>3890</v>
      </c>
      <c r="AU737" t="s">
        <v>3897</v>
      </c>
      <c r="AV737" t="s">
        <v>3898</v>
      </c>
      <c r="AW737">
        <v>2</v>
      </c>
      <c r="AX737">
        <v>0</v>
      </c>
    </row>
    <row r="738" spans="1:50" x14ac:dyDescent="0.25">
      <c r="A738" t="s">
        <v>4720</v>
      </c>
      <c r="B738" t="s">
        <v>3889</v>
      </c>
      <c r="C738" t="s">
        <v>3890</v>
      </c>
      <c r="D738">
        <v>30.053000000000001</v>
      </c>
      <c r="E738">
        <v>30.015999999999998</v>
      </c>
      <c r="F738" s="2">
        <v>1.8E-3</v>
      </c>
      <c r="G738" t="s">
        <v>1127</v>
      </c>
      <c r="H738" t="s">
        <v>1131</v>
      </c>
      <c r="I738">
        <v>440258.3749</v>
      </c>
      <c r="J738">
        <v>1827592.9</v>
      </c>
      <c r="K738">
        <v>440258.3749</v>
      </c>
      <c r="L738">
        <v>1827612.9</v>
      </c>
      <c r="M738" t="s">
        <v>56</v>
      </c>
      <c r="N738" t="s">
        <v>57</v>
      </c>
      <c r="O738">
        <v>450</v>
      </c>
      <c r="P738" t="s">
        <v>3891</v>
      </c>
      <c r="Q738" t="s">
        <v>3892</v>
      </c>
      <c r="R738" t="s">
        <v>275</v>
      </c>
      <c r="S738" t="s">
        <v>1129</v>
      </c>
      <c r="T738" t="s">
        <v>1133</v>
      </c>
      <c r="U738">
        <v>2.1499999999999998E-2</v>
      </c>
      <c r="V738">
        <v>2.1499999999999998E-2</v>
      </c>
      <c r="W738" t="s">
        <v>52</v>
      </c>
      <c r="X738">
        <v>0.8871</v>
      </c>
      <c r="Y738">
        <v>0.8901</v>
      </c>
      <c r="Z738">
        <v>0.8901</v>
      </c>
      <c r="AA738">
        <v>0.8871</v>
      </c>
      <c r="AB738">
        <v>20</v>
      </c>
      <c r="AC738">
        <v>20</v>
      </c>
      <c r="AD738">
        <v>18.801300000000001</v>
      </c>
      <c r="AE738">
        <v>18.801300000000001</v>
      </c>
      <c r="AF738" t="s">
        <v>67</v>
      </c>
      <c r="AG738" t="s">
        <v>67</v>
      </c>
      <c r="AH738" t="s">
        <v>3894</v>
      </c>
      <c r="AI738" t="s">
        <v>3894</v>
      </c>
      <c r="AJ738" t="s">
        <v>3895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3896</v>
      </c>
      <c r="AT738" t="s">
        <v>3890</v>
      </c>
      <c r="AU738" t="s">
        <v>3897</v>
      </c>
      <c r="AV738" t="s">
        <v>3898</v>
      </c>
      <c r="AW738">
        <v>2</v>
      </c>
      <c r="AX738">
        <v>0</v>
      </c>
    </row>
    <row r="739" spans="1:50" x14ac:dyDescent="0.25">
      <c r="A739" t="s">
        <v>4721</v>
      </c>
      <c r="B739" t="s">
        <v>3889</v>
      </c>
      <c r="C739" t="s">
        <v>3890</v>
      </c>
      <c r="D739">
        <v>28.657</v>
      </c>
      <c r="E739">
        <v>28.637</v>
      </c>
      <c r="F739" s="2">
        <v>1.4E-3</v>
      </c>
      <c r="G739" t="s">
        <v>2893</v>
      </c>
      <c r="H739" t="s">
        <v>2896</v>
      </c>
      <c r="I739">
        <v>440387.3751</v>
      </c>
      <c r="J739">
        <v>1827669.7609000001</v>
      </c>
      <c r="K739">
        <v>440387.3751</v>
      </c>
      <c r="L739">
        <v>1827684.1187</v>
      </c>
      <c r="M739" t="s">
        <v>56</v>
      </c>
      <c r="N739" t="s">
        <v>57</v>
      </c>
      <c r="O739">
        <v>450</v>
      </c>
      <c r="P739" t="s">
        <v>3891</v>
      </c>
      <c r="Q739" t="s">
        <v>3892</v>
      </c>
      <c r="R739" t="s">
        <v>117</v>
      </c>
      <c r="S739" t="s">
        <v>529</v>
      </c>
      <c r="T739" t="s">
        <v>2898</v>
      </c>
      <c r="U739">
        <v>3.6400000000000002E-2</v>
      </c>
      <c r="V739">
        <v>3.6400000000000002E-2</v>
      </c>
      <c r="W739" t="s">
        <v>52</v>
      </c>
      <c r="X739">
        <v>0.95469999999999999</v>
      </c>
      <c r="Y739">
        <v>1.0158</v>
      </c>
      <c r="Z739">
        <v>0.95469999999999999</v>
      </c>
      <c r="AA739">
        <v>1.0158</v>
      </c>
      <c r="AB739">
        <v>14.357799999999999</v>
      </c>
      <c r="AC739">
        <v>14.357799999999999</v>
      </c>
      <c r="AD739">
        <v>13.158799999999999</v>
      </c>
      <c r="AE739">
        <v>13.158799999999999</v>
      </c>
      <c r="AF739" t="s">
        <v>67</v>
      </c>
      <c r="AG739" t="s">
        <v>67</v>
      </c>
      <c r="AH739" t="s">
        <v>3894</v>
      </c>
      <c r="AI739" t="s">
        <v>3894</v>
      </c>
      <c r="AJ739" t="s">
        <v>3895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3896</v>
      </c>
      <c r="AT739" t="s">
        <v>3890</v>
      </c>
      <c r="AU739" t="s">
        <v>3897</v>
      </c>
      <c r="AV739" t="s">
        <v>3898</v>
      </c>
      <c r="AW739">
        <v>2</v>
      </c>
      <c r="AX739">
        <v>0</v>
      </c>
    </row>
    <row r="740" spans="1:50" x14ac:dyDescent="0.25">
      <c r="A740" t="s">
        <v>4722</v>
      </c>
      <c r="B740" t="s">
        <v>4355</v>
      </c>
      <c r="C740" t="s">
        <v>3890</v>
      </c>
      <c r="D740">
        <v>30.864000000000001</v>
      </c>
      <c r="E740">
        <v>30.827999999999999</v>
      </c>
      <c r="F740" s="2">
        <v>1.8E-3</v>
      </c>
      <c r="G740" t="s">
        <v>1936</v>
      </c>
      <c r="H740" t="s">
        <v>1939</v>
      </c>
      <c r="I740">
        <v>440121.94949999999</v>
      </c>
      <c r="J740">
        <v>1827762.8171999999</v>
      </c>
      <c r="K740">
        <v>440121.94949999999</v>
      </c>
      <c r="L740">
        <v>1827742.8171999999</v>
      </c>
      <c r="M740" t="s">
        <v>56</v>
      </c>
      <c r="N740" t="s">
        <v>57</v>
      </c>
      <c r="O740">
        <v>900</v>
      </c>
      <c r="P740" t="s">
        <v>3918</v>
      </c>
      <c r="Q740" t="s">
        <v>3930</v>
      </c>
      <c r="R740" t="s">
        <v>395</v>
      </c>
      <c r="S740" t="s">
        <v>824</v>
      </c>
      <c r="T740" t="s">
        <v>816</v>
      </c>
      <c r="U740">
        <v>-0.1971</v>
      </c>
      <c r="V740">
        <v>-0.1971</v>
      </c>
      <c r="W740" t="s">
        <v>52</v>
      </c>
      <c r="X740">
        <v>0.82630000000000003</v>
      </c>
      <c r="Y740">
        <v>0.84470000000000001</v>
      </c>
      <c r="Z740">
        <v>0.84470000000000001</v>
      </c>
      <c r="AA740">
        <v>0.82630000000000003</v>
      </c>
      <c r="AB740">
        <v>20</v>
      </c>
      <c r="AC740">
        <v>20</v>
      </c>
      <c r="AD740">
        <v>18.802199999999999</v>
      </c>
      <c r="AE740">
        <v>18.802299999999999</v>
      </c>
      <c r="AF740" t="s">
        <v>2233</v>
      </c>
      <c r="AG740" t="s">
        <v>2233</v>
      </c>
      <c r="AH740" t="s">
        <v>3894</v>
      </c>
      <c r="AI740" t="s">
        <v>3894</v>
      </c>
      <c r="AJ740" t="s">
        <v>3895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3896</v>
      </c>
      <c r="AT740" t="s">
        <v>3890</v>
      </c>
      <c r="AU740" t="s">
        <v>4357</v>
      </c>
      <c r="AV740" t="s">
        <v>3898</v>
      </c>
      <c r="AW740">
        <v>2</v>
      </c>
      <c r="AX740">
        <v>0</v>
      </c>
    </row>
    <row r="741" spans="1:50" x14ac:dyDescent="0.25">
      <c r="A741" t="s">
        <v>4723</v>
      </c>
      <c r="B741" t="s">
        <v>3889</v>
      </c>
      <c r="C741" t="s">
        <v>3890</v>
      </c>
      <c r="D741">
        <v>30.334</v>
      </c>
      <c r="E741">
        <v>30.298999999999999</v>
      </c>
      <c r="F741" s="2">
        <v>1.6999999999999999E-3</v>
      </c>
      <c r="G741" t="s">
        <v>2469</v>
      </c>
      <c r="H741" t="s">
        <v>2472</v>
      </c>
      <c r="I741">
        <v>440550.42509999999</v>
      </c>
      <c r="J741">
        <v>1828037.8473</v>
      </c>
      <c r="K741">
        <v>440570.42509999999</v>
      </c>
      <c r="L741">
        <v>1828037.8473</v>
      </c>
      <c r="M741" t="s">
        <v>56</v>
      </c>
      <c r="N741" t="s">
        <v>57</v>
      </c>
      <c r="O741">
        <v>450</v>
      </c>
      <c r="P741" t="s">
        <v>3891</v>
      </c>
      <c r="Q741" t="s">
        <v>3892</v>
      </c>
      <c r="R741" t="s">
        <v>2263</v>
      </c>
      <c r="S741" t="s">
        <v>448</v>
      </c>
      <c r="T741" t="s">
        <v>452</v>
      </c>
      <c r="U741">
        <v>-6.7400000000000002E-2</v>
      </c>
      <c r="V741">
        <v>-6.7400000000000002E-2</v>
      </c>
      <c r="W741" t="s">
        <v>52</v>
      </c>
      <c r="X741">
        <v>0.99080000000000001</v>
      </c>
      <c r="Y741">
        <v>1.0021</v>
      </c>
      <c r="Z741">
        <v>0.99650000000000005</v>
      </c>
      <c r="AA741">
        <v>1.0021</v>
      </c>
      <c r="AB741">
        <v>20</v>
      </c>
      <c r="AC741">
        <v>20</v>
      </c>
      <c r="AD741">
        <v>18.801200000000001</v>
      </c>
      <c r="AE741">
        <v>18.801300000000001</v>
      </c>
      <c r="AF741" t="s">
        <v>183</v>
      </c>
      <c r="AG741" t="s">
        <v>183</v>
      </c>
      <c r="AH741" t="s">
        <v>3894</v>
      </c>
      <c r="AI741" t="s">
        <v>3894</v>
      </c>
      <c r="AJ741" t="s">
        <v>3895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3896</v>
      </c>
      <c r="AT741" t="s">
        <v>3890</v>
      </c>
      <c r="AU741" t="s">
        <v>3897</v>
      </c>
      <c r="AV741" t="s">
        <v>3898</v>
      </c>
      <c r="AW741">
        <v>2</v>
      </c>
      <c r="AX741">
        <v>0</v>
      </c>
    </row>
    <row r="742" spans="1:50" x14ac:dyDescent="0.25">
      <c r="A742" t="s">
        <v>4724</v>
      </c>
      <c r="B742" t="s">
        <v>3889</v>
      </c>
      <c r="C742" t="s">
        <v>3890</v>
      </c>
      <c r="D742">
        <v>29.298999999999999</v>
      </c>
      <c r="E742">
        <v>29.263999999999999</v>
      </c>
      <c r="F742" s="2">
        <v>1.6999999999999999E-3</v>
      </c>
      <c r="G742" t="s">
        <v>3171</v>
      </c>
      <c r="H742" t="s">
        <v>3175</v>
      </c>
      <c r="I742">
        <v>440519.97509999998</v>
      </c>
      <c r="J742">
        <v>1827295.2019</v>
      </c>
      <c r="K742">
        <v>440519.97509999998</v>
      </c>
      <c r="L742">
        <v>1827315.4855</v>
      </c>
      <c r="M742" t="s">
        <v>56</v>
      </c>
      <c r="N742" t="s">
        <v>57</v>
      </c>
      <c r="O742">
        <v>450</v>
      </c>
      <c r="P742" t="s">
        <v>3891</v>
      </c>
      <c r="Q742" t="s">
        <v>3892</v>
      </c>
      <c r="R742" t="s">
        <v>3168</v>
      </c>
      <c r="S742" t="s">
        <v>3173</v>
      </c>
      <c r="T742" t="s">
        <v>3177</v>
      </c>
      <c r="U742">
        <v>-4.7000000000000002E-3</v>
      </c>
      <c r="V742">
        <v>-4.7000000000000002E-3</v>
      </c>
      <c r="W742" t="s">
        <v>52</v>
      </c>
      <c r="X742">
        <v>0.89410000000000001</v>
      </c>
      <c r="Y742">
        <v>0.90239999999999998</v>
      </c>
      <c r="Z742">
        <v>0.90239999999999998</v>
      </c>
      <c r="AA742">
        <v>0.89410000000000001</v>
      </c>
      <c r="AB742">
        <v>20.2837</v>
      </c>
      <c r="AC742">
        <v>20.2837</v>
      </c>
      <c r="AD742">
        <v>19.084900000000001</v>
      </c>
      <c r="AE742">
        <v>19.084900000000001</v>
      </c>
      <c r="AF742" t="s">
        <v>67</v>
      </c>
      <c r="AG742" t="s">
        <v>67</v>
      </c>
      <c r="AH742" t="s">
        <v>3894</v>
      </c>
      <c r="AI742" t="s">
        <v>3894</v>
      </c>
      <c r="AJ742" t="s">
        <v>3895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3896</v>
      </c>
      <c r="AT742" t="s">
        <v>3890</v>
      </c>
      <c r="AU742" t="s">
        <v>3897</v>
      </c>
      <c r="AV742" t="s">
        <v>3898</v>
      </c>
      <c r="AW742">
        <v>2</v>
      </c>
      <c r="AX742">
        <v>0</v>
      </c>
    </row>
    <row r="743" spans="1:50" x14ac:dyDescent="0.25">
      <c r="A743" t="s">
        <v>4725</v>
      </c>
      <c r="B743" t="s">
        <v>3889</v>
      </c>
      <c r="C743" t="s">
        <v>3890</v>
      </c>
      <c r="D743">
        <v>29.3</v>
      </c>
      <c r="E743">
        <v>29.265000000000001</v>
      </c>
      <c r="F743" s="2">
        <v>1.6999999999999999E-3</v>
      </c>
      <c r="G743" t="s">
        <v>3192</v>
      </c>
      <c r="H743" t="s">
        <v>350</v>
      </c>
      <c r="I743">
        <v>440529.67509999999</v>
      </c>
      <c r="J743">
        <v>1827295.2019</v>
      </c>
      <c r="K743">
        <v>440529.67509999999</v>
      </c>
      <c r="L743">
        <v>1827315.2164</v>
      </c>
      <c r="M743" t="s">
        <v>56</v>
      </c>
      <c r="N743" t="s">
        <v>57</v>
      </c>
      <c r="O743">
        <v>450</v>
      </c>
      <c r="P743" t="s">
        <v>3891</v>
      </c>
      <c r="Q743" t="s">
        <v>3892</v>
      </c>
      <c r="R743" t="s">
        <v>352</v>
      </c>
      <c r="S743" t="s">
        <v>3173</v>
      </c>
      <c r="T743" t="s">
        <v>353</v>
      </c>
      <c r="U743">
        <v>0</v>
      </c>
      <c r="V743">
        <v>0</v>
      </c>
      <c r="W743" t="s">
        <v>52</v>
      </c>
      <c r="X743">
        <v>0.89370000000000005</v>
      </c>
      <c r="Y743">
        <v>0.90139999999999998</v>
      </c>
      <c r="Z743">
        <v>0.90139999999999998</v>
      </c>
      <c r="AA743">
        <v>0.89370000000000005</v>
      </c>
      <c r="AB743">
        <v>20.014500000000002</v>
      </c>
      <c r="AC743">
        <v>20.014500000000002</v>
      </c>
      <c r="AD743">
        <v>18.8157</v>
      </c>
      <c r="AE743">
        <v>18.815799999999999</v>
      </c>
      <c r="AF743" t="s">
        <v>67</v>
      </c>
      <c r="AG743" t="s">
        <v>67</v>
      </c>
      <c r="AH743" t="s">
        <v>3894</v>
      </c>
      <c r="AI743" t="s">
        <v>3894</v>
      </c>
      <c r="AJ743" t="s">
        <v>3895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3896</v>
      </c>
      <c r="AT743" t="s">
        <v>3890</v>
      </c>
      <c r="AU743" t="s">
        <v>3897</v>
      </c>
      <c r="AV743" t="s">
        <v>3898</v>
      </c>
      <c r="AW743">
        <v>2</v>
      </c>
      <c r="AX743">
        <v>0</v>
      </c>
    </row>
    <row r="744" spans="1:50" x14ac:dyDescent="0.25">
      <c r="A744" t="s">
        <v>1355</v>
      </c>
      <c r="B744" t="s">
        <v>3889</v>
      </c>
      <c r="C744" t="s">
        <v>3890</v>
      </c>
      <c r="D744">
        <v>32.031999999999996</v>
      </c>
      <c r="E744">
        <v>31.998000000000001</v>
      </c>
      <c r="F744" s="2">
        <v>1.6999999999999999E-3</v>
      </c>
      <c r="G744" t="s">
        <v>1354</v>
      </c>
      <c r="H744" t="s">
        <v>1358</v>
      </c>
      <c r="I744">
        <v>440053.7745</v>
      </c>
      <c r="J744">
        <v>1827840.9783000001</v>
      </c>
      <c r="K744">
        <v>440053.7745</v>
      </c>
      <c r="L744">
        <v>1827820.9783000001</v>
      </c>
      <c r="M744" t="s">
        <v>56</v>
      </c>
      <c r="N744" t="s">
        <v>57</v>
      </c>
      <c r="O744">
        <v>450</v>
      </c>
      <c r="P744" t="s">
        <v>3891</v>
      </c>
      <c r="Q744" t="s">
        <v>3892</v>
      </c>
      <c r="R744" t="s">
        <v>381</v>
      </c>
      <c r="S744" t="s">
        <v>1356</v>
      </c>
      <c r="T744" t="s">
        <v>1360</v>
      </c>
      <c r="U744">
        <v>1.1299999999999999E-2</v>
      </c>
      <c r="V744">
        <v>5.3E-3</v>
      </c>
      <c r="W744" t="s">
        <v>52</v>
      </c>
      <c r="X744">
        <v>0.878</v>
      </c>
      <c r="Y744">
        <v>0.95209999999999995</v>
      </c>
      <c r="Z744">
        <v>0.878</v>
      </c>
      <c r="AA744">
        <v>0.95209999999999995</v>
      </c>
      <c r="AB744">
        <v>20</v>
      </c>
      <c r="AC744">
        <v>20</v>
      </c>
      <c r="AD744">
        <v>18.801200000000001</v>
      </c>
      <c r="AE744">
        <v>18.801200000000001</v>
      </c>
      <c r="AF744" t="s">
        <v>2233</v>
      </c>
      <c r="AG744" t="s">
        <v>2233</v>
      </c>
      <c r="AH744" t="s">
        <v>3894</v>
      </c>
      <c r="AI744" t="s">
        <v>3894</v>
      </c>
      <c r="AJ744" t="s">
        <v>3895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3896</v>
      </c>
      <c r="AT744" t="s">
        <v>3890</v>
      </c>
      <c r="AU744" t="s">
        <v>3897</v>
      </c>
      <c r="AV744" t="s">
        <v>3898</v>
      </c>
      <c r="AW744">
        <v>2</v>
      </c>
      <c r="AX744">
        <v>0</v>
      </c>
    </row>
    <row r="745" spans="1:50" x14ac:dyDescent="0.25">
      <c r="A745" t="s">
        <v>4726</v>
      </c>
      <c r="B745" t="s">
        <v>3889</v>
      </c>
      <c r="C745" t="s">
        <v>3890</v>
      </c>
      <c r="D745">
        <v>29.975999999999999</v>
      </c>
      <c r="E745">
        <v>29.940999999999999</v>
      </c>
      <c r="F745" s="2">
        <v>1.8E-3</v>
      </c>
      <c r="G745" t="s">
        <v>1152</v>
      </c>
      <c r="H745" t="s">
        <v>1155</v>
      </c>
      <c r="I745">
        <v>440248.67489999998</v>
      </c>
      <c r="J745">
        <v>1827632.9</v>
      </c>
      <c r="K745">
        <v>440248.67489999998</v>
      </c>
      <c r="L745">
        <v>1827652.9</v>
      </c>
      <c r="M745" t="s">
        <v>56</v>
      </c>
      <c r="N745" t="s">
        <v>57</v>
      </c>
      <c r="O745">
        <v>450</v>
      </c>
      <c r="P745" t="s">
        <v>3891</v>
      </c>
      <c r="Q745" t="s">
        <v>3892</v>
      </c>
      <c r="R745" t="s">
        <v>1087</v>
      </c>
      <c r="S745" t="s">
        <v>1154</v>
      </c>
      <c r="T745" t="s">
        <v>1157</v>
      </c>
      <c r="U745">
        <v>0.15</v>
      </c>
      <c r="V745">
        <v>0.15</v>
      </c>
      <c r="W745" t="s">
        <v>52</v>
      </c>
      <c r="X745">
        <v>0.88400000000000001</v>
      </c>
      <c r="Y745">
        <v>0.8871</v>
      </c>
      <c r="Z745">
        <v>0.8871</v>
      </c>
      <c r="AA745">
        <v>0.88549999999999995</v>
      </c>
      <c r="AB745">
        <v>20</v>
      </c>
      <c r="AC745">
        <v>20</v>
      </c>
      <c r="AD745">
        <v>18.801200000000001</v>
      </c>
      <c r="AE745">
        <v>18.801300000000001</v>
      </c>
      <c r="AF745" t="s">
        <v>67</v>
      </c>
      <c r="AG745" t="s">
        <v>67</v>
      </c>
      <c r="AH745" t="s">
        <v>3894</v>
      </c>
      <c r="AI745" t="s">
        <v>3894</v>
      </c>
      <c r="AJ745" t="s">
        <v>3895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3896</v>
      </c>
      <c r="AT745" t="s">
        <v>3890</v>
      </c>
      <c r="AU745" t="s">
        <v>3897</v>
      </c>
      <c r="AV745" t="s">
        <v>3898</v>
      </c>
      <c r="AW745">
        <v>2</v>
      </c>
      <c r="AX745">
        <v>0</v>
      </c>
    </row>
    <row r="746" spans="1:50" x14ac:dyDescent="0.25">
      <c r="A746" t="s">
        <v>4727</v>
      </c>
      <c r="B746" t="s">
        <v>3889</v>
      </c>
      <c r="C746" t="s">
        <v>3890</v>
      </c>
      <c r="D746">
        <v>29.974</v>
      </c>
      <c r="E746">
        <v>29.939</v>
      </c>
      <c r="F746" s="2">
        <v>1.6999999999999999E-3</v>
      </c>
      <c r="G746" t="s">
        <v>282</v>
      </c>
      <c r="H746" t="s">
        <v>1134</v>
      </c>
      <c r="I746">
        <v>440258.3749</v>
      </c>
      <c r="J746">
        <v>1827633.3661</v>
      </c>
      <c r="K746">
        <v>440258.3749</v>
      </c>
      <c r="L746">
        <v>1827653.7949000001</v>
      </c>
      <c r="M746" t="s">
        <v>56</v>
      </c>
      <c r="N746" t="s">
        <v>57</v>
      </c>
      <c r="O746">
        <v>450</v>
      </c>
      <c r="P746" t="s">
        <v>3891</v>
      </c>
      <c r="Q746" t="s">
        <v>3892</v>
      </c>
      <c r="R746" t="s">
        <v>275</v>
      </c>
      <c r="S746" t="s">
        <v>284</v>
      </c>
      <c r="T746" t="s">
        <v>1136</v>
      </c>
      <c r="U746">
        <v>2.1499999999999998E-2</v>
      </c>
      <c r="V746">
        <v>2.1499999999999998E-2</v>
      </c>
      <c r="W746" t="s">
        <v>52</v>
      </c>
      <c r="X746">
        <v>0.88460000000000005</v>
      </c>
      <c r="Y746">
        <v>0.88819999999999999</v>
      </c>
      <c r="Z746">
        <v>0.88819999999999999</v>
      </c>
      <c r="AA746">
        <v>0.88639999999999997</v>
      </c>
      <c r="AB746">
        <v>20.428799999999999</v>
      </c>
      <c r="AC746">
        <v>20.428799999999999</v>
      </c>
      <c r="AD746">
        <v>19.23</v>
      </c>
      <c r="AE746">
        <v>19.23</v>
      </c>
      <c r="AF746" t="s">
        <v>67</v>
      </c>
      <c r="AG746" t="s">
        <v>67</v>
      </c>
      <c r="AH746" t="s">
        <v>3894</v>
      </c>
      <c r="AI746" t="s">
        <v>3894</v>
      </c>
      <c r="AJ746" t="s">
        <v>3895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3896</v>
      </c>
      <c r="AT746" t="s">
        <v>3890</v>
      </c>
      <c r="AU746" t="s">
        <v>3897</v>
      </c>
      <c r="AV746" t="s">
        <v>3898</v>
      </c>
      <c r="AW746">
        <v>2</v>
      </c>
      <c r="AX746">
        <v>0</v>
      </c>
    </row>
    <row r="747" spans="1:50" x14ac:dyDescent="0.25">
      <c r="A747" t="s">
        <v>4728</v>
      </c>
      <c r="B747" t="s">
        <v>4004</v>
      </c>
      <c r="C747" t="s">
        <v>3890</v>
      </c>
      <c r="D747">
        <v>28.481999999999999</v>
      </c>
      <c r="E747">
        <v>28.449000000000002</v>
      </c>
      <c r="F747" s="2">
        <v>1.6000000000000001E-3</v>
      </c>
      <c r="G747" t="s">
        <v>2721</v>
      </c>
      <c r="H747" t="s">
        <v>2724</v>
      </c>
      <c r="I747">
        <v>440490.42509999999</v>
      </c>
      <c r="J747">
        <v>1827769.0507</v>
      </c>
      <c r="K747">
        <v>440510.42509999999</v>
      </c>
      <c r="L747">
        <v>1827769.0507</v>
      </c>
      <c r="M747" t="s">
        <v>56</v>
      </c>
      <c r="N747" t="s">
        <v>57</v>
      </c>
      <c r="O747">
        <v>600</v>
      </c>
      <c r="P747" t="s">
        <v>58</v>
      </c>
      <c r="Q747" t="s">
        <v>3892</v>
      </c>
      <c r="R747" t="s">
        <v>205</v>
      </c>
      <c r="S747" t="s">
        <v>597</v>
      </c>
      <c r="T747" t="s">
        <v>440</v>
      </c>
      <c r="U747">
        <v>0</v>
      </c>
      <c r="V747">
        <v>0</v>
      </c>
      <c r="W747" t="s">
        <v>52</v>
      </c>
      <c r="X747">
        <v>0.86829999999999996</v>
      </c>
      <c r="Y747">
        <v>0.88070000000000004</v>
      </c>
      <c r="Z747">
        <v>0.88070000000000004</v>
      </c>
      <c r="AA747">
        <v>0.88039999999999996</v>
      </c>
      <c r="AB747">
        <v>20</v>
      </c>
      <c r="AC747">
        <v>20</v>
      </c>
      <c r="AD747">
        <v>18.801400000000001</v>
      </c>
      <c r="AE747">
        <v>18.801400000000001</v>
      </c>
      <c r="AF747" t="s">
        <v>183</v>
      </c>
      <c r="AG747" t="s">
        <v>183</v>
      </c>
      <c r="AH747" t="s">
        <v>3894</v>
      </c>
      <c r="AI747" t="s">
        <v>3894</v>
      </c>
      <c r="AJ747" t="s">
        <v>3895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3896</v>
      </c>
      <c r="AT747" t="s">
        <v>3890</v>
      </c>
      <c r="AU747" t="s">
        <v>4006</v>
      </c>
      <c r="AV747" t="s">
        <v>3898</v>
      </c>
      <c r="AW747">
        <v>2</v>
      </c>
      <c r="AX747">
        <v>0</v>
      </c>
    </row>
    <row r="748" spans="1:50" x14ac:dyDescent="0.25">
      <c r="A748" t="s">
        <v>2107</v>
      </c>
      <c r="B748" t="s">
        <v>3889</v>
      </c>
      <c r="C748" t="s">
        <v>3890</v>
      </c>
      <c r="D748">
        <v>30.396000000000001</v>
      </c>
      <c r="E748">
        <v>30.363</v>
      </c>
      <c r="F748" s="2">
        <v>1.6999999999999999E-3</v>
      </c>
      <c r="G748" t="s">
        <v>2106</v>
      </c>
      <c r="H748" t="s">
        <v>2111</v>
      </c>
      <c r="I748">
        <v>440259.1249</v>
      </c>
      <c r="J748">
        <v>1827810.0248</v>
      </c>
      <c r="K748">
        <v>440279.1249</v>
      </c>
      <c r="L748">
        <v>1827810.0248</v>
      </c>
      <c r="M748" t="s">
        <v>56</v>
      </c>
      <c r="N748" t="s">
        <v>57</v>
      </c>
      <c r="O748">
        <v>450</v>
      </c>
      <c r="P748" t="s">
        <v>3891</v>
      </c>
      <c r="Q748" t="s">
        <v>3892</v>
      </c>
      <c r="R748" t="s">
        <v>2108</v>
      </c>
      <c r="S748" t="s">
        <v>4729</v>
      </c>
      <c r="T748" t="s">
        <v>4285</v>
      </c>
      <c r="U748">
        <v>-2.0799999999999999E-2</v>
      </c>
      <c r="V748">
        <v>-2.0799999999999999E-2</v>
      </c>
      <c r="W748" t="s">
        <v>52</v>
      </c>
      <c r="X748">
        <v>0.86350000000000005</v>
      </c>
      <c r="Y748">
        <v>1.0250999999999999</v>
      </c>
      <c r="Z748">
        <v>0.87150000000000005</v>
      </c>
      <c r="AA748">
        <v>0.88180000000000003</v>
      </c>
      <c r="AB748">
        <v>20</v>
      </c>
      <c r="AC748">
        <v>20</v>
      </c>
      <c r="AD748">
        <v>18.801200000000001</v>
      </c>
      <c r="AE748">
        <v>18.801200000000001</v>
      </c>
      <c r="AF748" t="s">
        <v>183</v>
      </c>
      <c r="AG748" t="s">
        <v>183</v>
      </c>
      <c r="AH748" t="s">
        <v>3894</v>
      </c>
      <c r="AI748" t="s">
        <v>3894</v>
      </c>
      <c r="AJ748" t="s">
        <v>3895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3896</v>
      </c>
      <c r="AT748" t="s">
        <v>3890</v>
      </c>
      <c r="AU748" t="s">
        <v>3897</v>
      </c>
      <c r="AV748" t="s">
        <v>3898</v>
      </c>
      <c r="AW748">
        <v>2</v>
      </c>
      <c r="AX748">
        <v>0</v>
      </c>
    </row>
    <row r="749" spans="1:50" x14ac:dyDescent="0.25">
      <c r="A749" t="s">
        <v>4730</v>
      </c>
      <c r="B749" t="s">
        <v>3889</v>
      </c>
      <c r="C749" t="s">
        <v>3890</v>
      </c>
      <c r="D749">
        <v>30.207999999999998</v>
      </c>
      <c r="E749">
        <v>30.175000000000001</v>
      </c>
      <c r="F749" s="2">
        <v>1.6000000000000001E-3</v>
      </c>
      <c r="G749" t="s">
        <v>3087</v>
      </c>
      <c r="H749" t="s">
        <v>3092</v>
      </c>
      <c r="I749">
        <v>440323.97489999997</v>
      </c>
      <c r="J749">
        <v>1827374.8986</v>
      </c>
      <c r="K749">
        <v>440344.1496</v>
      </c>
      <c r="L749">
        <v>1827374.8986</v>
      </c>
      <c r="M749" t="s">
        <v>56</v>
      </c>
      <c r="N749" t="s">
        <v>57</v>
      </c>
      <c r="O749">
        <v>450</v>
      </c>
      <c r="P749" t="s">
        <v>3891</v>
      </c>
      <c r="Q749" t="s">
        <v>3892</v>
      </c>
      <c r="R749" t="s">
        <v>3089</v>
      </c>
      <c r="S749" t="s">
        <v>4731</v>
      </c>
      <c r="T749" t="s">
        <v>3094</v>
      </c>
      <c r="U749">
        <v>-0.27500000000000002</v>
      </c>
      <c r="V749">
        <v>-0.27500000000000002</v>
      </c>
      <c r="W749" t="s">
        <v>52</v>
      </c>
      <c r="X749">
        <v>0.84019999999999995</v>
      </c>
      <c r="Y749">
        <v>1.0085</v>
      </c>
      <c r="Z749">
        <v>0.872</v>
      </c>
      <c r="AA749">
        <v>0.94650000000000001</v>
      </c>
      <c r="AB749">
        <v>20.333500000000001</v>
      </c>
      <c r="AC749">
        <v>20.333600000000001</v>
      </c>
      <c r="AD749">
        <v>19.134699999999999</v>
      </c>
      <c r="AE749">
        <v>19.134699999999999</v>
      </c>
      <c r="AF749" t="s">
        <v>183</v>
      </c>
      <c r="AG749" t="s">
        <v>183</v>
      </c>
      <c r="AH749" t="s">
        <v>3894</v>
      </c>
      <c r="AI749" t="s">
        <v>3894</v>
      </c>
      <c r="AJ749" t="s">
        <v>3895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3896</v>
      </c>
      <c r="AT749" t="s">
        <v>3890</v>
      </c>
      <c r="AU749" t="s">
        <v>3897</v>
      </c>
      <c r="AV749" t="s">
        <v>3898</v>
      </c>
      <c r="AW749">
        <v>2</v>
      </c>
      <c r="AX749">
        <v>0</v>
      </c>
    </row>
    <row r="750" spans="1:50" x14ac:dyDescent="0.25">
      <c r="A750" t="s">
        <v>4732</v>
      </c>
      <c r="B750" t="s">
        <v>3889</v>
      </c>
      <c r="C750" t="s">
        <v>3890</v>
      </c>
      <c r="D750">
        <v>31.885000000000002</v>
      </c>
      <c r="E750">
        <v>31.87</v>
      </c>
      <c r="F750" s="2">
        <v>1.1000000000000001E-3</v>
      </c>
      <c r="G750" t="s">
        <v>639</v>
      </c>
      <c r="H750" t="s">
        <v>643</v>
      </c>
      <c r="I750">
        <v>440030.47519999999</v>
      </c>
      <c r="J750">
        <v>1827413.1096000001</v>
      </c>
      <c r="K750">
        <v>440031.87520000001</v>
      </c>
      <c r="L750">
        <v>1827426.5604999999</v>
      </c>
      <c r="M750" t="s">
        <v>56</v>
      </c>
      <c r="N750" t="s">
        <v>57</v>
      </c>
      <c r="O750">
        <v>450</v>
      </c>
      <c r="P750" t="s">
        <v>3891</v>
      </c>
      <c r="Q750" t="s">
        <v>3892</v>
      </c>
      <c r="R750" t="s">
        <v>617</v>
      </c>
      <c r="S750" t="s">
        <v>641</v>
      </c>
      <c r="T750" s="1" t="s">
        <v>4733</v>
      </c>
      <c r="U750">
        <v>8.3999999999999995E-3</v>
      </c>
      <c r="V750">
        <v>-7.9699999999999993E-2</v>
      </c>
      <c r="W750" t="s">
        <v>52</v>
      </c>
      <c r="X750">
        <v>0.84430000000000005</v>
      </c>
      <c r="Y750">
        <v>1.0089999999999999</v>
      </c>
      <c r="Z750">
        <v>1.0089999999999999</v>
      </c>
      <c r="AA750">
        <v>0.99409999999999998</v>
      </c>
      <c r="AB750">
        <v>13.7902</v>
      </c>
      <c r="AC750">
        <v>13.7902</v>
      </c>
      <c r="AD750">
        <v>12.591699999999999</v>
      </c>
      <c r="AE750">
        <v>12.591699999999999</v>
      </c>
      <c r="AF750" t="s">
        <v>4734</v>
      </c>
      <c r="AG750" t="s">
        <v>4734</v>
      </c>
      <c r="AH750" t="s">
        <v>3894</v>
      </c>
      <c r="AI750" t="s">
        <v>3894</v>
      </c>
      <c r="AJ750" t="s">
        <v>3895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3896</v>
      </c>
      <c r="AT750" t="s">
        <v>3890</v>
      </c>
      <c r="AU750" t="s">
        <v>3897</v>
      </c>
      <c r="AV750" t="s">
        <v>3898</v>
      </c>
      <c r="AW750">
        <v>2</v>
      </c>
      <c r="AX750">
        <v>0</v>
      </c>
    </row>
    <row r="751" spans="1:50" x14ac:dyDescent="0.25">
      <c r="A751" t="s">
        <v>4735</v>
      </c>
      <c r="B751" t="s">
        <v>3889</v>
      </c>
      <c r="C751" t="s">
        <v>3890</v>
      </c>
      <c r="D751">
        <v>29.021000000000001</v>
      </c>
      <c r="E751">
        <v>28.992000000000001</v>
      </c>
      <c r="F751" s="2">
        <v>1.5E-3</v>
      </c>
      <c r="G751" t="s">
        <v>2670</v>
      </c>
      <c r="H751" t="s">
        <v>2673</v>
      </c>
      <c r="I751">
        <v>440490.42509999999</v>
      </c>
      <c r="J751">
        <v>1827894.6109</v>
      </c>
      <c r="K751">
        <v>440510.42509999999</v>
      </c>
      <c r="L751">
        <v>1827894.6109</v>
      </c>
      <c r="M751" t="s">
        <v>56</v>
      </c>
      <c r="N751" t="s">
        <v>57</v>
      </c>
      <c r="O751">
        <v>450</v>
      </c>
      <c r="P751" t="s">
        <v>3891</v>
      </c>
      <c r="Q751" t="s">
        <v>3892</v>
      </c>
      <c r="R751" t="s">
        <v>260</v>
      </c>
      <c r="S751" t="s">
        <v>597</v>
      </c>
      <c r="T751" t="s">
        <v>440</v>
      </c>
      <c r="U751">
        <v>8.7099999999999997E-2</v>
      </c>
      <c r="V751">
        <v>7.4899999999999994E-2</v>
      </c>
      <c r="W751" t="s">
        <v>52</v>
      </c>
      <c r="X751">
        <v>1.6008</v>
      </c>
      <c r="Y751">
        <v>1.6287</v>
      </c>
      <c r="Z751">
        <v>1.6215999999999999</v>
      </c>
      <c r="AA751">
        <v>1.6008</v>
      </c>
      <c r="AB751">
        <v>20</v>
      </c>
      <c r="AC751">
        <v>20</v>
      </c>
      <c r="AD751">
        <v>18.800999999999998</v>
      </c>
      <c r="AE751">
        <v>18.800999999999998</v>
      </c>
      <c r="AF751" t="s">
        <v>3899</v>
      </c>
      <c r="AG751" t="s">
        <v>3899</v>
      </c>
      <c r="AH751" t="s">
        <v>3894</v>
      </c>
      <c r="AI751" t="s">
        <v>3894</v>
      </c>
      <c r="AJ751" t="s">
        <v>3895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3896</v>
      </c>
      <c r="AT751" t="s">
        <v>3890</v>
      </c>
      <c r="AU751" t="s">
        <v>3897</v>
      </c>
      <c r="AV751" t="s">
        <v>3898</v>
      </c>
      <c r="AW751">
        <v>2</v>
      </c>
      <c r="AX751">
        <v>0</v>
      </c>
    </row>
    <row r="752" spans="1:50" x14ac:dyDescent="0.25">
      <c r="A752" t="s">
        <v>4736</v>
      </c>
      <c r="B752" t="s">
        <v>3889</v>
      </c>
      <c r="C752" t="s">
        <v>3890</v>
      </c>
      <c r="D752">
        <v>31.96</v>
      </c>
      <c r="E752">
        <v>31.93</v>
      </c>
      <c r="F752" s="2">
        <v>1.5E-3</v>
      </c>
      <c r="G752" t="s">
        <v>500</v>
      </c>
      <c r="H752" t="s">
        <v>1731</v>
      </c>
      <c r="I752">
        <v>440053.7745</v>
      </c>
      <c r="J752">
        <v>1827923.3133</v>
      </c>
      <c r="K752">
        <v>440053.7745</v>
      </c>
      <c r="L752">
        <v>1827942.8171000001</v>
      </c>
      <c r="M752" t="s">
        <v>56</v>
      </c>
      <c r="N752" t="s">
        <v>57</v>
      </c>
      <c r="O752">
        <v>450</v>
      </c>
      <c r="P752" t="s">
        <v>3891</v>
      </c>
      <c r="Q752" t="s">
        <v>3892</v>
      </c>
      <c r="R752" t="s">
        <v>502</v>
      </c>
      <c r="S752" t="s">
        <v>503</v>
      </c>
      <c r="T752" t="s">
        <v>1444</v>
      </c>
      <c r="U752">
        <v>1.15E-2</v>
      </c>
      <c r="V752">
        <v>1.15E-2</v>
      </c>
      <c r="W752" t="s">
        <v>52</v>
      </c>
      <c r="X752">
        <v>0.77590000000000003</v>
      </c>
      <c r="Y752">
        <v>0.91010000000000002</v>
      </c>
      <c r="Z752">
        <v>0.7913</v>
      </c>
      <c r="AA752">
        <v>0.91010000000000002</v>
      </c>
      <c r="AB752">
        <v>19.503799999999998</v>
      </c>
      <c r="AC752">
        <v>19.503799999999998</v>
      </c>
      <c r="AD752">
        <v>18.3049</v>
      </c>
      <c r="AE752">
        <v>18.3049</v>
      </c>
      <c r="AF752" t="s">
        <v>67</v>
      </c>
      <c r="AG752" t="s">
        <v>67</v>
      </c>
      <c r="AH752" t="s">
        <v>3894</v>
      </c>
      <c r="AI752" t="s">
        <v>3894</v>
      </c>
      <c r="AJ752" t="s">
        <v>3895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3896</v>
      </c>
      <c r="AT752" t="s">
        <v>3890</v>
      </c>
      <c r="AU752" t="s">
        <v>3897</v>
      </c>
      <c r="AV752" t="s">
        <v>3898</v>
      </c>
      <c r="AW752">
        <v>2</v>
      </c>
      <c r="AX752">
        <v>0</v>
      </c>
    </row>
    <row r="753" spans="1:50" x14ac:dyDescent="0.25">
      <c r="A753" t="s">
        <v>4737</v>
      </c>
      <c r="B753" t="s">
        <v>3963</v>
      </c>
      <c r="C753" t="s">
        <v>3890</v>
      </c>
      <c r="D753">
        <v>32.625</v>
      </c>
      <c r="E753">
        <v>32.594000000000001</v>
      </c>
      <c r="F753" s="2">
        <v>1.5E-3</v>
      </c>
      <c r="G753" t="s">
        <v>438</v>
      </c>
      <c r="H753" t="s">
        <v>442</v>
      </c>
      <c r="I753">
        <v>439938.8002</v>
      </c>
      <c r="J753">
        <v>1827439.4839000001</v>
      </c>
      <c r="K753">
        <v>439938.8002</v>
      </c>
      <c r="L753">
        <v>1827459.4839000001</v>
      </c>
      <c r="M753" t="s">
        <v>56</v>
      </c>
      <c r="N753" t="s">
        <v>57</v>
      </c>
      <c r="O753">
        <v>600</v>
      </c>
      <c r="P753" t="s">
        <v>3891</v>
      </c>
      <c r="Q753" t="s">
        <v>3892</v>
      </c>
      <c r="R753" t="s">
        <v>75</v>
      </c>
      <c r="S753" t="s">
        <v>440</v>
      </c>
      <c r="T753" t="s">
        <v>444</v>
      </c>
      <c r="U753">
        <v>-7.6300000000000007E-2</v>
      </c>
      <c r="V753">
        <v>-7.6300000000000007E-2</v>
      </c>
      <c r="W753" t="s">
        <v>52</v>
      </c>
      <c r="X753">
        <v>0.88080000000000003</v>
      </c>
      <c r="Y753">
        <v>1.0135000000000001</v>
      </c>
      <c r="Z753">
        <v>1.0135000000000001</v>
      </c>
      <c r="AA753">
        <v>0.88080000000000003</v>
      </c>
      <c r="AB753">
        <v>20</v>
      </c>
      <c r="AC753">
        <v>20</v>
      </c>
      <c r="AD753">
        <v>18.801300000000001</v>
      </c>
      <c r="AE753">
        <v>18.801300000000001</v>
      </c>
      <c r="AF753" t="s">
        <v>67</v>
      </c>
      <c r="AG753" t="s">
        <v>67</v>
      </c>
      <c r="AH753" t="s">
        <v>3894</v>
      </c>
      <c r="AI753" t="s">
        <v>3894</v>
      </c>
      <c r="AJ753" t="s">
        <v>3895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3896</v>
      </c>
      <c r="AT753" t="s">
        <v>3890</v>
      </c>
      <c r="AU753" t="s">
        <v>3964</v>
      </c>
      <c r="AV753" t="s">
        <v>3898</v>
      </c>
      <c r="AW753">
        <v>2</v>
      </c>
      <c r="AX753">
        <v>0</v>
      </c>
    </row>
    <row r="754" spans="1:50" x14ac:dyDescent="0.25">
      <c r="A754" t="s">
        <v>1207</v>
      </c>
      <c r="B754" t="s">
        <v>3889</v>
      </c>
      <c r="C754" t="s">
        <v>3890</v>
      </c>
      <c r="D754">
        <v>31.923999999999999</v>
      </c>
      <c r="E754">
        <v>31.893000000000001</v>
      </c>
      <c r="F754" s="2">
        <v>1.6000000000000001E-3</v>
      </c>
      <c r="G754" t="s">
        <v>1206</v>
      </c>
      <c r="H754" t="s">
        <v>1209</v>
      </c>
      <c r="I754">
        <v>440198.67479999998</v>
      </c>
      <c r="J754">
        <v>1828181.8171000001</v>
      </c>
      <c r="K754">
        <v>440198.67479999998</v>
      </c>
      <c r="L754">
        <v>1828161.8171000001</v>
      </c>
      <c r="M754" t="s">
        <v>56</v>
      </c>
      <c r="N754" t="s">
        <v>57</v>
      </c>
      <c r="O754">
        <v>450</v>
      </c>
      <c r="P754" t="s">
        <v>3891</v>
      </c>
      <c r="Q754" t="s">
        <v>3892</v>
      </c>
      <c r="R754" t="s">
        <v>146</v>
      </c>
      <c r="S754" t="s">
        <v>575</v>
      </c>
      <c r="T754" t="s">
        <v>571</v>
      </c>
      <c r="U754">
        <v>0.22500000000000001</v>
      </c>
      <c r="V754">
        <v>0.22500000000000001</v>
      </c>
      <c r="W754" t="s">
        <v>52</v>
      </c>
      <c r="X754">
        <v>0.88170000000000004</v>
      </c>
      <c r="Y754">
        <v>1.1262000000000001</v>
      </c>
      <c r="Z754">
        <v>0.88170000000000004</v>
      </c>
      <c r="AA754">
        <v>1.1262000000000001</v>
      </c>
      <c r="AB754">
        <v>20</v>
      </c>
      <c r="AC754">
        <v>20</v>
      </c>
      <c r="AD754">
        <v>18.801100000000002</v>
      </c>
      <c r="AE754">
        <v>18.801100000000002</v>
      </c>
      <c r="AF754" t="s">
        <v>2233</v>
      </c>
      <c r="AG754" t="s">
        <v>2233</v>
      </c>
      <c r="AH754" t="s">
        <v>3894</v>
      </c>
      <c r="AI754" t="s">
        <v>3894</v>
      </c>
      <c r="AJ754" t="s">
        <v>3895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3896</v>
      </c>
      <c r="AT754" t="s">
        <v>3890</v>
      </c>
      <c r="AU754" t="s">
        <v>3897</v>
      </c>
      <c r="AV754" t="s">
        <v>3898</v>
      </c>
      <c r="AW754">
        <v>2</v>
      </c>
      <c r="AX754">
        <v>0</v>
      </c>
    </row>
    <row r="755" spans="1:50" x14ac:dyDescent="0.25">
      <c r="A755" t="s">
        <v>2230</v>
      </c>
      <c r="B755" t="s">
        <v>3889</v>
      </c>
      <c r="C755" t="s">
        <v>3890</v>
      </c>
      <c r="D755">
        <v>31.003</v>
      </c>
      <c r="E755">
        <v>30.98</v>
      </c>
      <c r="F755" s="2">
        <v>1.5E-3</v>
      </c>
      <c r="G755" t="s">
        <v>2229</v>
      </c>
      <c r="H755" t="s">
        <v>2234</v>
      </c>
      <c r="I755">
        <v>440398.47509999998</v>
      </c>
      <c r="J755">
        <v>1828038.1984000001</v>
      </c>
      <c r="K755">
        <v>440398.47509999998</v>
      </c>
      <c r="L755">
        <v>1828022.6984000001</v>
      </c>
      <c r="M755" t="s">
        <v>56</v>
      </c>
      <c r="N755" t="s">
        <v>57</v>
      </c>
      <c r="O755">
        <v>450</v>
      </c>
      <c r="P755" t="s">
        <v>3891</v>
      </c>
      <c r="Q755" t="s">
        <v>3892</v>
      </c>
      <c r="R755" t="s">
        <v>270</v>
      </c>
      <c r="S755" t="s">
        <v>2231</v>
      </c>
      <c r="T755" t="s">
        <v>452</v>
      </c>
      <c r="U755">
        <v>-3.5000000000000003E-2</v>
      </c>
      <c r="V755">
        <v>-3.5000000000000003E-2</v>
      </c>
      <c r="W755" t="s">
        <v>52</v>
      </c>
      <c r="X755">
        <v>0.83450000000000002</v>
      </c>
      <c r="Y755">
        <v>1.0437000000000001</v>
      </c>
      <c r="Z755">
        <v>0.84609999999999996</v>
      </c>
      <c r="AA755">
        <v>0.89710000000000001</v>
      </c>
      <c r="AB755">
        <v>15.5002</v>
      </c>
      <c r="AC755">
        <v>15.5002</v>
      </c>
      <c r="AD755">
        <v>14.301</v>
      </c>
      <c r="AE755">
        <v>14.3011</v>
      </c>
      <c r="AF755" t="s">
        <v>2233</v>
      </c>
      <c r="AG755" t="s">
        <v>2233</v>
      </c>
      <c r="AH755" t="s">
        <v>3894</v>
      </c>
      <c r="AI755" t="s">
        <v>3894</v>
      </c>
      <c r="AJ755" t="s">
        <v>3895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3896</v>
      </c>
      <c r="AT755" t="s">
        <v>3890</v>
      </c>
      <c r="AU755" t="s">
        <v>3897</v>
      </c>
      <c r="AV755" t="s">
        <v>3898</v>
      </c>
      <c r="AW755">
        <v>2</v>
      </c>
      <c r="AX755">
        <v>0</v>
      </c>
    </row>
    <row r="756" spans="1:50" x14ac:dyDescent="0.25">
      <c r="A756" t="s">
        <v>4738</v>
      </c>
      <c r="B756" t="s">
        <v>3928</v>
      </c>
      <c r="C756" t="s">
        <v>3890</v>
      </c>
      <c r="D756">
        <v>29.699000000000002</v>
      </c>
      <c r="E756">
        <v>29.669</v>
      </c>
      <c r="F756" s="2">
        <v>1.5E-3</v>
      </c>
      <c r="G756" t="s">
        <v>2549</v>
      </c>
      <c r="H756" t="s">
        <v>2552</v>
      </c>
      <c r="I756">
        <v>440550.42509999999</v>
      </c>
      <c r="J756">
        <v>1828047.2723000001</v>
      </c>
      <c r="K756">
        <v>440570.42509999999</v>
      </c>
      <c r="L756">
        <v>1828047.2723000001</v>
      </c>
      <c r="M756" t="s">
        <v>56</v>
      </c>
      <c r="N756" t="s">
        <v>57</v>
      </c>
      <c r="O756">
        <v>900</v>
      </c>
      <c r="P756" t="s">
        <v>3929</v>
      </c>
      <c r="Q756" t="s">
        <v>3930</v>
      </c>
      <c r="R756" t="s">
        <v>2502</v>
      </c>
      <c r="S756" t="s">
        <v>448</v>
      </c>
      <c r="T756" t="s">
        <v>452</v>
      </c>
      <c r="U756">
        <v>-0.125</v>
      </c>
      <c r="V756">
        <v>-0.125</v>
      </c>
      <c r="W756" t="s">
        <v>52</v>
      </c>
      <c r="X756">
        <v>0.96799999999999997</v>
      </c>
      <c r="Y756">
        <v>0.97650000000000003</v>
      </c>
      <c r="Z756">
        <v>0.97599999999999998</v>
      </c>
      <c r="AA756">
        <v>0.97650000000000003</v>
      </c>
      <c r="AB756">
        <v>20</v>
      </c>
      <c r="AC756">
        <v>20</v>
      </c>
      <c r="AD756">
        <v>18.8019</v>
      </c>
      <c r="AE756">
        <v>18.8019</v>
      </c>
      <c r="AF756" t="s">
        <v>183</v>
      </c>
      <c r="AG756" t="s">
        <v>183</v>
      </c>
      <c r="AH756" t="s">
        <v>3894</v>
      </c>
      <c r="AI756" t="s">
        <v>3894</v>
      </c>
      <c r="AJ756" t="s">
        <v>3895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3896</v>
      </c>
      <c r="AT756" t="s">
        <v>3890</v>
      </c>
      <c r="AU756" t="s">
        <v>3931</v>
      </c>
      <c r="AV756" t="s">
        <v>3898</v>
      </c>
      <c r="AW756">
        <v>2</v>
      </c>
      <c r="AX756">
        <v>0</v>
      </c>
    </row>
    <row r="757" spans="1:50" x14ac:dyDescent="0.25">
      <c r="A757" t="s">
        <v>4739</v>
      </c>
      <c r="B757" t="s">
        <v>3889</v>
      </c>
      <c r="C757" t="s">
        <v>3890</v>
      </c>
      <c r="D757">
        <v>30.298999999999999</v>
      </c>
      <c r="E757">
        <v>30.276</v>
      </c>
      <c r="F757" s="2">
        <v>1.5E-3</v>
      </c>
      <c r="G757" t="s">
        <v>2472</v>
      </c>
      <c r="H757" t="s">
        <v>2475</v>
      </c>
      <c r="I757">
        <v>440570.42509999999</v>
      </c>
      <c r="J757">
        <v>1828037.8473</v>
      </c>
      <c r="K757">
        <v>440585.57510000002</v>
      </c>
      <c r="L757">
        <v>1828037.8461</v>
      </c>
      <c r="M757" t="s">
        <v>56</v>
      </c>
      <c r="N757" t="s">
        <v>57</v>
      </c>
      <c r="O757">
        <v>450</v>
      </c>
      <c r="P757" t="s">
        <v>3891</v>
      </c>
      <c r="Q757" t="s">
        <v>3892</v>
      </c>
      <c r="R757" t="s">
        <v>2263</v>
      </c>
      <c r="S757" t="s">
        <v>452</v>
      </c>
      <c r="T757" t="s">
        <v>2477</v>
      </c>
      <c r="U757">
        <v>-6.7400000000000002E-2</v>
      </c>
      <c r="V757">
        <v>-6.8599999999999994E-2</v>
      </c>
      <c r="W757" t="s">
        <v>52</v>
      </c>
      <c r="X757">
        <v>0.85770000000000002</v>
      </c>
      <c r="Y757">
        <v>1.0246999999999999</v>
      </c>
      <c r="Z757">
        <v>1.0021</v>
      </c>
      <c r="AA757">
        <v>0.88039999999999996</v>
      </c>
      <c r="AB757">
        <v>15.15</v>
      </c>
      <c r="AC757">
        <v>15.15</v>
      </c>
      <c r="AD757">
        <v>13.9511</v>
      </c>
      <c r="AE757">
        <v>13.9511</v>
      </c>
      <c r="AF757" t="s">
        <v>4740</v>
      </c>
      <c r="AG757" t="s">
        <v>4740</v>
      </c>
      <c r="AH757" t="s">
        <v>3894</v>
      </c>
      <c r="AI757" t="s">
        <v>3894</v>
      </c>
      <c r="AJ757" t="s">
        <v>3895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3896</v>
      </c>
      <c r="AT757" t="s">
        <v>3890</v>
      </c>
      <c r="AU757" t="s">
        <v>3897</v>
      </c>
      <c r="AV757" t="s">
        <v>3898</v>
      </c>
      <c r="AW757">
        <v>2</v>
      </c>
      <c r="AX757">
        <v>0</v>
      </c>
    </row>
    <row r="758" spans="1:50" x14ac:dyDescent="0.25">
      <c r="A758" t="s">
        <v>4741</v>
      </c>
      <c r="B758" t="s">
        <v>3889</v>
      </c>
      <c r="C758" t="s">
        <v>3890</v>
      </c>
      <c r="D758">
        <v>28.992000000000001</v>
      </c>
      <c r="E758">
        <v>28.965</v>
      </c>
      <c r="F758" s="2">
        <v>1.4E-3</v>
      </c>
      <c r="G758" t="s">
        <v>2673</v>
      </c>
      <c r="H758" t="s">
        <v>2676</v>
      </c>
      <c r="I758">
        <v>440510.42509999999</v>
      </c>
      <c r="J758">
        <v>1827894.6109</v>
      </c>
      <c r="K758">
        <v>440530.42509999999</v>
      </c>
      <c r="L758">
        <v>1827894.6109</v>
      </c>
      <c r="M758" t="s">
        <v>56</v>
      </c>
      <c r="N758" t="s">
        <v>57</v>
      </c>
      <c r="O758">
        <v>450</v>
      </c>
      <c r="P758" t="s">
        <v>3891</v>
      </c>
      <c r="Q758" t="s">
        <v>3892</v>
      </c>
      <c r="R758" t="s">
        <v>260</v>
      </c>
      <c r="S758" t="s">
        <v>440</v>
      </c>
      <c r="T758" t="s">
        <v>444</v>
      </c>
      <c r="U758">
        <v>7.4899999999999994E-2</v>
      </c>
      <c r="V758">
        <v>6.2600000000000003E-2</v>
      </c>
      <c r="W758" t="s">
        <v>52</v>
      </c>
      <c r="X758">
        <v>1.4524999999999999</v>
      </c>
      <c r="Y758">
        <v>1.6008</v>
      </c>
      <c r="Z758">
        <v>1.6008</v>
      </c>
      <c r="AA758">
        <v>1.4524999999999999</v>
      </c>
      <c r="AB758">
        <v>20</v>
      </c>
      <c r="AC758">
        <v>20</v>
      </c>
      <c r="AD758">
        <v>18.800899999999999</v>
      </c>
      <c r="AE758">
        <v>18.800999999999998</v>
      </c>
      <c r="AF758" t="s">
        <v>3899</v>
      </c>
      <c r="AG758" t="s">
        <v>3899</v>
      </c>
      <c r="AH758" t="s">
        <v>3894</v>
      </c>
      <c r="AI758" t="s">
        <v>3894</v>
      </c>
      <c r="AJ758" t="s">
        <v>3895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3896</v>
      </c>
      <c r="AT758" t="s">
        <v>3890</v>
      </c>
      <c r="AU758" t="s">
        <v>3897</v>
      </c>
      <c r="AV758" t="s">
        <v>3898</v>
      </c>
      <c r="AW758">
        <v>2</v>
      </c>
      <c r="AX758">
        <v>0</v>
      </c>
    </row>
    <row r="759" spans="1:50" x14ac:dyDescent="0.25">
      <c r="A759" t="s">
        <v>4742</v>
      </c>
      <c r="B759" t="s">
        <v>3889</v>
      </c>
      <c r="C759" t="s">
        <v>3890</v>
      </c>
      <c r="D759">
        <v>28.401</v>
      </c>
      <c r="E759">
        <v>28.381</v>
      </c>
      <c r="F759" s="2">
        <v>1E-3</v>
      </c>
      <c r="G759" t="s">
        <v>2830</v>
      </c>
      <c r="H759" t="s">
        <v>2834</v>
      </c>
      <c r="I759">
        <v>440529.67509999999</v>
      </c>
      <c r="J759">
        <v>1827638.1658000001</v>
      </c>
      <c r="K759">
        <v>440529.67509999999</v>
      </c>
      <c r="L759">
        <v>1827658.2394999999</v>
      </c>
      <c r="M759" t="s">
        <v>56</v>
      </c>
      <c r="N759" t="s">
        <v>57</v>
      </c>
      <c r="O759">
        <v>450</v>
      </c>
      <c r="P759" t="s">
        <v>3891</v>
      </c>
      <c r="Q759" t="s">
        <v>3892</v>
      </c>
      <c r="R759" t="s">
        <v>186</v>
      </c>
      <c r="S759" t="s">
        <v>2832</v>
      </c>
      <c r="T759" t="s">
        <v>448</v>
      </c>
      <c r="U759">
        <v>0</v>
      </c>
      <c r="V759">
        <v>0</v>
      </c>
      <c r="W759" t="s">
        <v>52</v>
      </c>
      <c r="X759">
        <v>0.97</v>
      </c>
      <c r="Y759">
        <v>0.99009999999999998</v>
      </c>
      <c r="Z759">
        <v>0.99009999999999998</v>
      </c>
      <c r="AA759">
        <v>0.97</v>
      </c>
      <c r="AB759">
        <v>20.073699999999999</v>
      </c>
      <c r="AC759">
        <v>20.073699999999999</v>
      </c>
      <c r="AD759">
        <v>18.874400000000001</v>
      </c>
      <c r="AE759">
        <v>18.874400000000001</v>
      </c>
      <c r="AF759" t="s">
        <v>67</v>
      </c>
      <c r="AG759" t="s">
        <v>67</v>
      </c>
      <c r="AH759" t="s">
        <v>3894</v>
      </c>
      <c r="AI759" t="s">
        <v>3894</v>
      </c>
      <c r="AJ759" t="s">
        <v>3895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3896</v>
      </c>
      <c r="AT759" t="s">
        <v>3890</v>
      </c>
      <c r="AU759" t="s">
        <v>3897</v>
      </c>
      <c r="AV759" t="s">
        <v>3898</v>
      </c>
      <c r="AW759">
        <v>2</v>
      </c>
      <c r="AX759">
        <v>0</v>
      </c>
    </row>
    <row r="760" spans="1:50" x14ac:dyDescent="0.25">
      <c r="A760" t="s">
        <v>4743</v>
      </c>
      <c r="B760" t="s">
        <v>3889</v>
      </c>
      <c r="C760" t="s">
        <v>3890</v>
      </c>
      <c r="D760">
        <v>28.065999999999999</v>
      </c>
      <c r="E760">
        <v>28.02</v>
      </c>
      <c r="F760" s="2">
        <v>2.3999999999999998E-3</v>
      </c>
      <c r="G760" t="s">
        <v>2825</v>
      </c>
      <c r="H760" t="s">
        <v>2821</v>
      </c>
      <c r="I760">
        <v>440585.57510000002</v>
      </c>
      <c r="J760">
        <v>1827658.2394999999</v>
      </c>
      <c r="K760">
        <v>440585.57510000002</v>
      </c>
      <c r="L760">
        <v>1827639.1794</v>
      </c>
      <c r="M760" t="s">
        <v>56</v>
      </c>
      <c r="N760" t="s">
        <v>57</v>
      </c>
      <c r="O760">
        <v>450</v>
      </c>
      <c r="P760" t="s">
        <v>3891</v>
      </c>
      <c r="Q760" t="s">
        <v>3892</v>
      </c>
      <c r="R760" t="s">
        <v>357</v>
      </c>
      <c r="S760" t="s">
        <v>448</v>
      </c>
      <c r="T760" t="s">
        <v>2823</v>
      </c>
      <c r="U760">
        <v>-6.2E-2</v>
      </c>
      <c r="V760">
        <v>-5.1499999999999997E-2</v>
      </c>
      <c r="W760" t="s">
        <v>52</v>
      </c>
      <c r="X760">
        <v>0.87970000000000004</v>
      </c>
      <c r="Y760">
        <v>0.88200000000000001</v>
      </c>
      <c r="Z760">
        <v>0.88200000000000001</v>
      </c>
      <c r="AA760">
        <v>0.87970000000000004</v>
      </c>
      <c r="AB760">
        <v>19.060199999999998</v>
      </c>
      <c r="AC760">
        <v>19.060199999999998</v>
      </c>
      <c r="AD760">
        <v>17.861799999999999</v>
      </c>
      <c r="AE760">
        <v>17.861899999999999</v>
      </c>
      <c r="AF760" t="s">
        <v>3905</v>
      </c>
      <c r="AG760" t="s">
        <v>3905</v>
      </c>
      <c r="AH760" t="s">
        <v>3894</v>
      </c>
      <c r="AI760" t="s">
        <v>3894</v>
      </c>
      <c r="AJ760" t="s">
        <v>3895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3896</v>
      </c>
      <c r="AT760" t="s">
        <v>3890</v>
      </c>
      <c r="AU760" t="s">
        <v>3897</v>
      </c>
      <c r="AV760" t="s">
        <v>3898</v>
      </c>
      <c r="AW760">
        <v>2</v>
      </c>
      <c r="AX760">
        <v>0</v>
      </c>
    </row>
    <row r="761" spans="1:50" x14ac:dyDescent="0.25">
      <c r="A761" t="s">
        <v>4744</v>
      </c>
      <c r="B761" t="s">
        <v>3889</v>
      </c>
      <c r="C761" t="s">
        <v>3890</v>
      </c>
      <c r="D761">
        <v>28.396000000000001</v>
      </c>
      <c r="E761">
        <v>28.376000000000001</v>
      </c>
      <c r="F761" s="2">
        <v>1E-3</v>
      </c>
      <c r="G761" t="s">
        <v>2840</v>
      </c>
      <c r="H761" t="s">
        <v>2844</v>
      </c>
      <c r="I761">
        <v>440519.97509999998</v>
      </c>
      <c r="J761">
        <v>1827637.8141000001</v>
      </c>
      <c r="K761">
        <v>440519.97509999998</v>
      </c>
      <c r="L761">
        <v>1827658.2394999999</v>
      </c>
      <c r="M761" t="s">
        <v>56</v>
      </c>
      <c r="N761" t="s">
        <v>57</v>
      </c>
      <c r="O761">
        <v>450</v>
      </c>
      <c r="P761" t="s">
        <v>3891</v>
      </c>
      <c r="Q761" t="s">
        <v>3892</v>
      </c>
      <c r="R761" t="s">
        <v>191</v>
      </c>
      <c r="S761" t="s">
        <v>2842</v>
      </c>
      <c r="T761" t="s">
        <v>448</v>
      </c>
      <c r="U761">
        <v>-7.5999999999999998E-2</v>
      </c>
      <c r="V761">
        <v>-7.5999999999999998E-2</v>
      </c>
      <c r="W761" t="s">
        <v>52</v>
      </c>
      <c r="X761">
        <v>0.97499999999999998</v>
      </c>
      <c r="Y761">
        <v>0.99580000000000002</v>
      </c>
      <c r="Z761">
        <v>0.99580000000000002</v>
      </c>
      <c r="AA761">
        <v>0.97499999999999998</v>
      </c>
      <c r="AB761">
        <v>20.4254</v>
      </c>
      <c r="AC761">
        <v>20.4254</v>
      </c>
      <c r="AD761">
        <v>19.226099999999999</v>
      </c>
      <c r="AE761">
        <v>19.226099999999999</v>
      </c>
      <c r="AF761" t="s">
        <v>67</v>
      </c>
      <c r="AG761" t="s">
        <v>67</v>
      </c>
      <c r="AH761" t="s">
        <v>3894</v>
      </c>
      <c r="AI761" t="s">
        <v>3894</v>
      </c>
      <c r="AJ761" t="s">
        <v>3895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3896</v>
      </c>
      <c r="AT761" t="s">
        <v>3890</v>
      </c>
      <c r="AU761" t="s">
        <v>3897</v>
      </c>
      <c r="AV761" t="s">
        <v>3898</v>
      </c>
      <c r="AW761">
        <v>2</v>
      </c>
      <c r="AX761">
        <v>0</v>
      </c>
    </row>
    <row r="762" spans="1:50" x14ac:dyDescent="0.25">
      <c r="A762" t="s">
        <v>4745</v>
      </c>
      <c r="B762" t="s">
        <v>3889</v>
      </c>
      <c r="C762" t="s">
        <v>3890</v>
      </c>
      <c r="D762">
        <v>29.135000000000002</v>
      </c>
      <c r="E762">
        <v>29.113</v>
      </c>
      <c r="F762" s="2">
        <v>1.5E-3</v>
      </c>
      <c r="G762" t="s">
        <v>3544</v>
      </c>
      <c r="H762" t="s">
        <v>3547</v>
      </c>
      <c r="I762">
        <v>440454.3751</v>
      </c>
      <c r="J762">
        <v>1827425.1986</v>
      </c>
      <c r="K762">
        <v>440454.3751</v>
      </c>
      <c r="L762">
        <v>1827439.4838</v>
      </c>
      <c r="M762" t="s">
        <v>56</v>
      </c>
      <c r="N762" t="s">
        <v>57</v>
      </c>
      <c r="O762">
        <v>450</v>
      </c>
      <c r="P762" t="s">
        <v>3891</v>
      </c>
      <c r="Q762" t="s">
        <v>3892</v>
      </c>
      <c r="R762" t="s">
        <v>3549</v>
      </c>
      <c r="S762" t="s">
        <v>4057</v>
      </c>
      <c r="T762" t="s">
        <v>440</v>
      </c>
      <c r="U762">
        <v>0.15</v>
      </c>
      <c r="V762">
        <v>0.15</v>
      </c>
      <c r="W762" t="s">
        <v>52</v>
      </c>
      <c r="X762">
        <v>0.84450000000000003</v>
      </c>
      <c r="Y762">
        <v>1.0162</v>
      </c>
      <c r="Z762">
        <v>0.86470000000000002</v>
      </c>
      <c r="AA762">
        <v>0.98880000000000001</v>
      </c>
      <c r="AB762">
        <v>14.520200000000001</v>
      </c>
      <c r="AC762">
        <v>14.520200000000001</v>
      </c>
      <c r="AD762">
        <v>13.321300000000001</v>
      </c>
      <c r="AE762">
        <v>13.321300000000001</v>
      </c>
      <c r="AF762" t="s">
        <v>67</v>
      </c>
      <c r="AG762" t="s">
        <v>67</v>
      </c>
      <c r="AH762" t="s">
        <v>3894</v>
      </c>
      <c r="AI762" t="s">
        <v>3894</v>
      </c>
      <c r="AJ762" t="s">
        <v>3895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3896</v>
      </c>
      <c r="AT762" t="s">
        <v>3890</v>
      </c>
      <c r="AU762" t="s">
        <v>3897</v>
      </c>
      <c r="AV762" t="s">
        <v>3898</v>
      </c>
      <c r="AW762">
        <v>2</v>
      </c>
      <c r="AX762">
        <v>0</v>
      </c>
    </row>
    <row r="763" spans="1:50" x14ac:dyDescent="0.25">
      <c r="A763" t="s">
        <v>4746</v>
      </c>
      <c r="B763" t="s">
        <v>3889</v>
      </c>
      <c r="C763" t="s">
        <v>3890</v>
      </c>
      <c r="D763">
        <v>28.670999999999999</v>
      </c>
      <c r="E763">
        <v>28.651</v>
      </c>
      <c r="F763" s="2">
        <v>1E-3</v>
      </c>
      <c r="G763" t="s">
        <v>2589</v>
      </c>
      <c r="H763" t="s">
        <v>2594</v>
      </c>
      <c r="I763">
        <v>440519.97509999998</v>
      </c>
      <c r="J763">
        <v>1827850.0316000001</v>
      </c>
      <c r="K763">
        <v>440519.97509999998</v>
      </c>
      <c r="L763">
        <v>1827869.7609000001</v>
      </c>
      <c r="M763" t="s">
        <v>56</v>
      </c>
      <c r="N763" t="s">
        <v>57</v>
      </c>
      <c r="O763">
        <v>450</v>
      </c>
      <c r="P763" t="s">
        <v>3891</v>
      </c>
      <c r="Q763" t="s">
        <v>3892</v>
      </c>
      <c r="R763" t="s">
        <v>2591</v>
      </c>
      <c r="S763" t="s">
        <v>2592</v>
      </c>
      <c r="T763" t="s">
        <v>452</v>
      </c>
      <c r="U763">
        <v>-9.8000000000000004E-2</v>
      </c>
      <c r="V763">
        <v>-9.8000000000000004E-2</v>
      </c>
      <c r="W763" t="s">
        <v>52</v>
      </c>
      <c r="X763">
        <v>1.4749000000000001</v>
      </c>
      <c r="Y763">
        <v>1.6603000000000001</v>
      </c>
      <c r="Z763">
        <v>1.4749000000000001</v>
      </c>
      <c r="AA763">
        <v>1.6603000000000001</v>
      </c>
      <c r="AB763">
        <v>19.729299999999999</v>
      </c>
      <c r="AC763">
        <v>19.729299999999999</v>
      </c>
      <c r="AD763">
        <v>18.53</v>
      </c>
      <c r="AE763">
        <v>18.530100000000001</v>
      </c>
      <c r="AF763" t="s">
        <v>67</v>
      </c>
      <c r="AG763" t="s">
        <v>67</v>
      </c>
      <c r="AH763" t="s">
        <v>3894</v>
      </c>
      <c r="AI763" t="s">
        <v>3894</v>
      </c>
      <c r="AJ763" t="s">
        <v>3895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3896</v>
      </c>
      <c r="AT763" t="s">
        <v>3890</v>
      </c>
      <c r="AU763" t="s">
        <v>3897</v>
      </c>
      <c r="AV763" t="s">
        <v>3898</v>
      </c>
      <c r="AW763">
        <v>2</v>
      </c>
      <c r="AX763">
        <v>0</v>
      </c>
    </row>
    <row r="764" spans="1:50" x14ac:dyDescent="0.25">
      <c r="A764" t="s">
        <v>4747</v>
      </c>
      <c r="B764" t="s">
        <v>3889</v>
      </c>
      <c r="C764" t="s">
        <v>3890</v>
      </c>
      <c r="D764">
        <v>28.670999999999999</v>
      </c>
      <c r="E764">
        <v>28.651</v>
      </c>
      <c r="F764" s="2">
        <v>1E-3</v>
      </c>
      <c r="G764" t="s">
        <v>2581</v>
      </c>
      <c r="H764" t="s">
        <v>2586</v>
      </c>
      <c r="I764">
        <v>440529.67509999999</v>
      </c>
      <c r="J764">
        <v>1827849.7609000001</v>
      </c>
      <c r="K764">
        <v>440529.67509999999</v>
      </c>
      <c r="L764">
        <v>1827869.7609000001</v>
      </c>
      <c r="M764" t="s">
        <v>56</v>
      </c>
      <c r="N764" t="s">
        <v>57</v>
      </c>
      <c r="O764">
        <v>450</v>
      </c>
      <c r="P764" t="s">
        <v>3891</v>
      </c>
      <c r="Q764" t="s">
        <v>3892</v>
      </c>
      <c r="R764" t="s">
        <v>2583</v>
      </c>
      <c r="S764" t="s">
        <v>448</v>
      </c>
      <c r="T764" t="s">
        <v>452</v>
      </c>
      <c r="U764">
        <v>0</v>
      </c>
      <c r="V764">
        <v>0</v>
      </c>
      <c r="W764" t="s">
        <v>52</v>
      </c>
      <c r="X764">
        <v>1.4725999999999999</v>
      </c>
      <c r="Y764">
        <v>1.6603000000000001</v>
      </c>
      <c r="Z764">
        <v>1.4725999999999999</v>
      </c>
      <c r="AA764">
        <v>1.6603000000000001</v>
      </c>
      <c r="AB764">
        <v>19.691299999999998</v>
      </c>
      <c r="AC764">
        <v>19.691299999999998</v>
      </c>
      <c r="AD764">
        <v>18.492000000000001</v>
      </c>
      <c r="AE764">
        <v>18.492000000000001</v>
      </c>
      <c r="AF764" t="s">
        <v>67</v>
      </c>
      <c r="AG764" t="s">
        <v>67</v>
      </c>
      <c r="AH764" t="s">
        <v>3894</v>
      </c>
      <c r="AI764" t="s">
        <v>3894</v>
      </c>
      <c r="AJ764" t="s">
        <v>3895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s="2">
        <v>2</v>
      </c>
      <c r="AS764" t="s">
        <v>3896</v>
      </c>
      <c r="AT764" t="s">
        <v>3890</v>
      </c>
      <c r="AU764" t="s">
        <v>3897</v>
      </c>
      <c r="AV764" t="s">
        <v>3898</v>
      </c>
      <c r="AW764">
        <v>2</v>
      </c>
      <c r="AX764">
        <v>0</v>
      </c>
    </row>
    <row r="765" spans="1:50" x14ac:dyDescent="0.25">
      <c r="A765" t="s">
        <v>4748</v>
      </c>
      <c r="B765" t="s">
        <v>3933</v>
      </c>
      <c r="C765" t="s">
        <v>3890</v>
      </c>
      <c r="D765">
        <v>31.21</v>
      </c>
      <c r="E765">
        <v>31.181999999999999</v>
      </c>
      <c r="F765" s="2">
        <v>1.4E-3</v>
      </c>
      <c r="G765" t="s">
        <v>2027</v>
      </c>
      <c r="H765" t="s">
        <v>2030</v>
      </c>
      <c r="I765">
        <v>440132.59950000001</v>
      </c>
      <c r="J765">
        <v>1827782.8171999999</v>
      </c>
      <c r="K765">
        <v>440132.59950000001</v>
      </c>
      <c r="L765">
        <v>1827762.8171999999</v>
      </c>
      <c r="M765" t="s">
        <v>56</v>
      </c>
      <c r="N765" t="s">
        <v>57</v>
      </c>
      <c r="O765">
        <v>750</v>
      </c>
      <c r="P765" t="s">
        <v>58</v>
      </c>
      <c r="Q765" t="s">
        <v>3919</v>
      </c>
      <c r="R765" t="s">
        <v>1968</v>
      </c>
      <c r="S765" t="s">
        <v>832</v>
      </c>
      <c r="T765" t="s">
        <v>824</v>
      </c>
      <c r="U765">
        <v>6.1000000000000004E-3</v>
      </c>
      <c r="V765">
        <v>-3.0000000000000001E-3</v>
      </c>
      <c r="W765" t="s">
        <v>52</v>
      </c>
      <c r="X765">
        <v>0.85370000000000001</v>
      </c>
      <c r="Y765">
        <v>0.88</v>
      </c>
      <c r="Z765">
        <v>0.88</v>
      </c>
      <c r="AA765">
        <v>0.85370000000000001</v>
      </c>
      <c r="AB765">
        <v>20</v>
      </c>
      <c r="AC765">
        <v>20</v>
      </c>
      <c r="AD765">
        <v>18.801500000000001</v>
      </c>
      <c r="AE765">
        <v>18.801500000000001</v>
      </c>
      <c r="AF765" t="s">
        <v>2233</v>
      </c>
      <c r="AG765" t="s">
        <v>2233</v>
      </c>
      <c r="AH765" t="s">
        <v>3894</v>
      </c>
      <c r="AI765" t="s">
        <v>3894</v>
      </c>
      <c r="AJ765" t="s">
        <v>3895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>
        <v>2</v>
      </c>
      <c r="AS765" t="s">
        <v>3896</v>
      </c>
      <c r="AT765" t="s">
        <v>3890</v>
      </c>
      <c r="AU765" t="s">
        <v>3935</v>
      </c>
      <c r="AV765" t="s">
        <v>3898</v>
      </c>
      <c r="AW765">
        <v>2</v>
      </c>
      <c r="AX765">
        <v>0</v>
      </c>
    </row>
    <row r="766" spans="1:50" x14ac:dyDescent="0.25">
      <c r="A766" t="s">
        <v>4749</v>
      </c>
      <c r="B766" t="s">
        <v>3889</v>
      </c>
      <c r="C766" t="s">
        <v>3890</v>
      </c>
      <c r="D766">
        <v>29.251000000000001</v>
      </c>
      <c r="E766">
        <v>29.23</v>
      </c>
      <c r="F766" s="2">
        <v>1E-3</v>
      </c>
      <c r="G766" t="s">
        <v>2604</v>
      </c>
      <c r="H766" t="s">
        <v>2607</v>
      </c>
      <c r="I766">
        <v>440430.42509999999</v>
      </c>
      <c r="J766">
        <v>1827884.9109</v>
      </c>
      <c r="K766">
        <v>440451.37060000002</v>
      </c>
      <c r="L766">
        <v>1827884.9109</v>
      </c>
      <c r="M766" t="s">
        <v>56</v>
      </c>
      <c r="N766" t="s">
        <v>57</v>
      </c>
      <c r="O766">
        <v>450</v>
      </c>
      <c r="P766" t="s">
        <v>3891</v>
      </c>
      <c r="Q766" t="s">
        <v>3892</v>
      </c>
      <c r="R766" t="s">
        <v>844</v>
      </c>
      <c r="S766" t="s">
        <v>424</v>
      </c>
      <c r="T766" t="s">
        <v>2609</v>
      </c>
      <c r="U766">
        <v>-7.4999999999999997E-2</v>
      </c>
      <c r="V766">
        <v>-7.4999999999999997E-2</v>
      </c>
      <c r="W766" t="s">
        <v>52</v>
      </c>
      <c r="X766">
        <v>1.1437999999999999</v>
      </c>
      <c r="Y766">
        <v>1.2568999999999999</v>
      </c>
      <c r="Z766">
        <v>1.1437999999999999</v>
      </c>
      <c r="AA766">
        <v>1.2314000000000001</v>
      </c>
      <c r="AB766">
        <v>20.945499999999999</v>
      </c>
      <c r="AC766">
        <v>20.945499999999999</v>
      </c>
      <c r="AD766">
        <v>19.746200000000002</v>
      </c>
      <c r="AE766">
        <v>19.746200000000002</v>
      </c>
      <c r="AF766" t="s">
        <v>3899</v>
      </c>
      <c r="AG766" t="s">
        <v>3899</v>
      </c>
      <c r="AH766" t="s">
        <v>3894</v>
      </c>
      <c r="AI766" t="s">
        <v>3894</v>
      </c>
      <c r="AJ766" t="s">
        <v>3895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s="2">
        <v>2</v>
      </c>
      <c r="AS766" t="s">
        <v>3896</v>
      </c>
      <c r="AT766" t="s">
        <v>3890</v>
      </c>
      <c r="AU766" t="s">
        <v>3897</v>
      </c>
      <c r="AV766" t="s">
        <v>3898</v>
      </c>
      <c r="AW766">
        <v>2</v>
      </c>
      <c r="AX766">
        <v>0</v>
      </c>
    </row>
    <row r="767" spans="1:50" x14ac:dyDescent="0.25">
      <c r="A767" t="s">
        <v>4750</v>
      </c>
      <c r="B767" t="s">
        <v>3889</v>
      </c>
      <c r="C767" t="s">
        <v>3890</v>
      </c>
      <c r="D767">
        <v>28.625</v>
      </c>
      <c r="E767">
        <v>28.613</v>
      </c>
      <c r="F767" s="2">
        <v>1.1000000000000001E-3</v>
      </c>
      <c r="G767" t="s">
        <v>2900</v>
      </c>
      <c r="H767" t="s">
        <v>2904</v>
      </c>
      <c r="I767">
        <v>440387.3751</v>
      </c>
      <c r="J767">
        <v>1827692.6895000001</v>
      </c>
      <c r="K767">
        <v>440398.40010000003</v>
      </c>
      <c r="L767">
        <v>1827692.6895000001</v>
      </c>
      <c r="M767" t="s">
        <v>56</v>
      </c>
      <c r="N767" t="s">
        <v>57</v>
      </c>
      <c r="O767">
        <v>450</v>
      </c>
      <c r="P767" t="s">
        <v>3891</v>
      </c>
      <c r="Q767" t="s">
        <v>3892</v>
      </c>
      <c r="R767" t="s">
        <v>1112</v>
      </c>
      <c r="S767" s="1" t="s">
        <v>2902</v>
      </c>
      <c r="T767" t="s">
        <v>4751</v>
      </c>
      <c r="U767">
        <v>-0.13289999999999999</v>
      </c>
      <c r="V767">
        <v>-0.13020000000000001</v>
      </c>
      <c r="W767" t="s">
        <v>52</v>
      </c>
      <c r="X767">
        <v>0.87450000000000006</v>
      </c>
      <c r="Y767">
        <v>0.96020000000000005</v>
      </c>
      <c r="Z767">
        <v>0.88370000000000004</v>
      </c>
      <c r="AA767">
        <v>0.88670000000000004</v>
      </c>
      <c r="AB767">
        <v>10.829800000000001</v>
      </c>
      <c r="AC767">
        <v>10.829800000000001</v>
      </c>
      <c r="AD767">
        <v>9.6305999999999994</v>
      </c>
      <c r="AE767">
        <v>9.6305999999999994</v>
      </c>
      <c r="AF767" t="s">
        <v>183</v>
      </c>
      <c r="AG767" t="s">
        <v>183</v>
      </c>
      <c r="AH767" t="s">
        <v>3894</v>
      </c>
      <c r="AI767" t="s">
        <v>3894</v>
      </c>
      <c r="AJ767" t="s">
        <v>3895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s="2">
        <v>2</v>
      </c>
      <c r="AS767" t="s">
        <v>3896</v>
      </c>
      <c r="AT767" t="s">
        <v>3890</v>
      </c>
      <c r="AU767" t="s">
        <v>3897</v>
      </c>
      <c r="AV767" t="s">
        <v>3898</v>
      </c>
      <c r="AW767">
        <v>2</v>
      </c>
      <c r="AX767">
        <v>0</v>
      </c>
    </row>
    <row r="768" spans="1:50" x14ac:dyDescent="0.25">
      <c r="A768" t="s">
        <v>4752</v>
      </c>
      <c r="B768" t="s">
        <v>3889</v>
      </c>
      <c r="C768" t="s">
        <v>3890</v>
      </c>
      <c r="D768">
        <v>29.113</v>
      </c>
      <c r="E768">
        <v>29.085999999999999</v>
      </c>
      <c r="F768" s="2">
        <v>1.2999999999999999E-3</v>
      </c>
      <c r="G768" t="s">
        <v>3547</v>
      </c>
      <c r="H768" t="s">
        <v>3551</v>
      </c>
      <c r="I768">
        <v>440454.3751</v>
      </c>
      <c r="J768">
        <v>1827439.4838</v>
      </c>
      <c r="K768">
        <v>440454.3751</v>
      </c>
      <c r="L768">
        <v>1827459.4838</v>
      </c>
      <c r="M768" t="s">
        <v>56</v>
      </c>
      <c r="N768" t="s">
        <v>57</v>
      </c>
      <c r="O768">
        <v>450</v>
      </c>
      <c r="P768" t="s">
        <v>3891</v>
      </c>
      <c r="Q768" t="s">
        <v>3892</v>
      </c>
      <c r="R768" t="s">
        <v>3549</v>
      </c>
      <c r="S768" t="s">
        <v>440</v>
      </c>
      <c r="T768" t="s">
        <v>444</v>
      </c>
      <c r="U768">
        <v>0.15</v>
      </c>
      <c r="V768">
        <v>0.15</v>
      </c>
      <c r="W768" t="s">
        <v>52</v>
      </c>
      <c r="X768">
        <v>0.9173</v>
      </c>
      <c r="Y768">
        <v>0.98880000000000001</v>
      </c>
      <c r="Z768">
        <v>0.98880000000000001</v>
      </c>
      <c r="AA768">
        <v>0.9173</v>
      </c>
      <c r="AB768">
        <v>20</v>
      </c>
      <c r="AC768">
        <v>20</v>
      </c>
      <c r="AD768">
        <v>18.800899999999999</v>
      </c>
      <c r="AE768">
        <v>18.800999999999998</v>
      </c>
      <c r="AF768" t="s">
        <v>67</v>
      </c>
      <c r="AG768" t="s">
        <v>67</v>
      </c>
      <c r="AH768" t="s">
        <v>3894</v>
      </c>
      <c r="AI768" t="s">
        <v>3894</v>
      </c>
      <c r="AJ768" t="s">
        <v>3895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>
        <v>2</v>
      </c>
      <c r="AS768" t="s">
        <v>3896</v>
      </c>
      <c r="AT768" t="s">
        <v>3890</v>
      </c>
      <c r="AU768" t="s">
        <v>3897</v>
      </c>
      <c r="AV768" t="s">
        <v>3898</v>
      </c>
      <c r="AW768">
        <v>2</v>
      </c>
      <c r="AX768">
        <v>0</v>
      </c>
    </row>
    <row r="769" spans="1:50" x14ac:dyDescent="0.25">
      <c r="A769" t="s">
        <v>4753</v>
      </c>
      <c r="B769" t="s">
        <v>3889</v>
      </c>
      <c r="C769" t="s">
        <v>3890</v>
      </c>
      <c r="D769">
        <v>29.876999999999999</v>
      </c>
      <c r="E769">
        <v>29.85</v>
      </c>
      <c r="F769" s="2">
        <v>1.2999999999999999E-3</v>
      </c>
      <c r="G769" t="s">
        <v>2409</v>
      </c>
      <c r="H769" t="s">
        <v>2412</v>
      </c>
      <c r="I769">
        <v>440490.42509999999</v>
      </c>
      <c r="J769">
        <v>1827925.5109000001</v>
      </c>
      <c r="K769">
        <v>440510.42509999999</v>
      </c>
      <c r="L769">
        <v>1827925.5109000001</v>
      </c>
      <c r="M769" t="s">
        <v>56</v>
      </c>
      <c r="N769" t="s">
        <v>57</v>
      </c>
      <c r="O769">
        <v>450</v>
      </c>
      <c r="P769" t="s">
        <v>3891</v>
      </c>
      <c r="Q769" t="s">
        <v>3892</v>
      </c>
      <c r="R769" t="s">
        <v>2395</v>
      </c>
      <c r="S769" t="s">
        <v>597</v>
      </c>
      <c r="T769" t="s">
        <v>440</v>
      </c>
      <c r="U769">
        <v>-0.1938</v>
      </c>
      <c r="V769">
        <v>-0.20230000000000001</v>
      </c>
      <c r="W769" t="s">
        <v>52</v>
      </c>
      <c r="X769">
        <v>0.88170000000000004</v>
      </c>
      <c r="Y769">
        <v>0.9012</v>
      </c>
      <c r="Z769">
        <v>0.9012</v>
      </c>
      <c r="AA769">
        <v>0.88170000000000004</v>
      </c>
      <c r="AB769">
        <v>20</v>
      </c>
      <c r="AC769">
        <v>20</v>
      </c>
      <c r="AD769">
        <v>18.800899999999999</v>
      </c>
      <c r="AE769">
        <v>18.800999999999998</v>
      </c>
      <c r="AF769" t="s">
        <v>183</v>
      </c>
      <c r="AG769" t="s">
        <v>183</v>
      </c>
      <c r="AH769" t="s">
        <v>3894</v>
      </c>
      <c r="AI769" t="s">
        <v>3894</v>
      </c>
      <c r="AJ769" t="s">
        <v>3895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s="2">
        <v>2</v>
      </c>
      <c r="AS769" t="s">
        <v>3896</v>
      </c>
      <c r="AT769" t="s">
        <v>3890</v>
      </c>
      <c r="AU769" t="s">
        <v>3897</v>
      </c>
      <c r="AV769" t="s">
        <v>3898</v>
      </c>
      <c r="AW769">
        <v>2</v>
      </c>
      <c r="AX769">
        <v>0</v>
      </c>
    </row>
    <row r="770" spans="1:50" x14ac:dyDescent="0.25">
      <c r="A770" t="s">
        <v>4754</v>
      </c>
      <c r="B770" t="s">
        <v>3889</v>
      </c>
      <c r="C770" t="s">
        <v>3890</v>
      </c>
      <c r="D770">
        <v>28.474</v>
      </c>
      <c r="E770">
        <v>28.462</v>
      </c>
      <c r="F770" s="2">
        <v>1E-3</v>
      </c>
      <c r="G770" t="s">
        <v>2789</v>
      </c>
      <c r="H770" t="s">
        <v>2792</v>
      </c>
      <c r="I770">
        <v>440585.57510000002</v>
      </c>
      <c r="J770">
        <v>1827802.6984000001</v>
      </c>
      <c r="K770">
        <v>440585.57510000002</v>
      </c>
      <c r="L770">
        <v>1827790.5422</v>
      </c>
      <c r="M770" t="s">
        <v>56</v>
      </c>
      <c r="N770" t="s">
        <v>57</v>
      </c>
      <c r="O770">
        <v>450</v>
      </c>
      <c r="P770" t="s">
        <v>3891</v>
      </c>
      <c r="Q770" t="s">
        <v>3892</v>
      </c>
      <c r="R770" t="s">
        <v>2481</v>
      </c>
      <c r="S770" t="s">
        <v>525</v>
      </c>
      <c r="T770" t="s">
        <v>2794</v>
      </c>
      <c r="U770">
        <v>0</v>
      </c>
      <c r="V770">
        <v>0</v>
      </c>
      <c r="W770" t="s">
        <v>52</v>
      </c>
      <c r="X770">
        <v>1.1103000000000001</v>
      </c>
      <c r="Y770">
        <v>1.1478999999999999</v>
      </c>
      <c r="Z770">
        <v>1.1103000000000001</v>
      </c>
      <c r="AA770">
        <v>1.1478999999999999</v>
      </c>
      <c r="AB770">
        <v>12.1562</v>
      </c>
      <c r="AC770">
        <v>12.1562</v>
      </c>
      <c r="AD770">
        <v>10.956899999999999</v>
      </c>
      <c r="AE770">
        <v>10.956899999999999</v>
      </c>
      <c r="AF770" t="s">
        <v>2233</v>
      </c>
      <c r="AG770" t="s">
        <v>2233</v>
      </c>
      <c r="AH770" t="s">
        <v>3894</v>
      </c>
      <c r="AI770" t="s">
        <v>3894</v>
      </c>
      <c r="AJ770" t="s">
        <v>3895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s="2">
        <v>2</v>
      </c>
      <c r="AS770" t="s">
        <v>3896</v>
      </c>
      <c r="AT770" t="s">
        <v>3890</v>
      </c>
      <c r="AU770" t="s">
        <v>3897</v>
      </c>
      <c r="AV770" t="s">
        <v>3898</v>
      </c>
      <c r="AW770">
        <v>2</v>
      </c>
      <c r="AX770">
        <v>0</v>
      </c>
    </row>
    <row r="771" spans="1:50" x14ac:dyDescent="0.25">
      <c r="A771" t="s">
        <v>2642</v>
      </c>
      <c r="B771" t="s">
        <v>3889</v>
      </c>
      <c r="C771" t="s">
        <v>3890</v>
      </c>
      <c r="D771">
        <v>28.712</v>
      </c>
      <c r="E771">
        <v>28.666</v>
      </c>
      <c r="F771" s="2">
        <v>3.0000000000000001E-3</v>
      </c>
      <c r="G771" t="s">
        <v>2641</v>
      </c>
      <c r="H771" t="s">
        <v>2637</v>
      </c>
      <c r="I771">
        <v>440585.57510000002</v>
      </c>
      <c r="J771">
        <v>1827874.9624999999</v>
      </c>
      <c r="K771">
        <v>440585.57510000002</v>
      </c>
      <c r="L771">
        <v>1827859.6144000001</v>
      </c>
      <c r="M771" t="s">
        <v>56</v>
      </c>
      <c r="N771" t="s">
        <v>57</v>
      </c>
      <c r="O771">
        <v>450</v>
      </c>
      <c r="P771" t="s">
        <v>3891</v>
      </c>
      <c r="Q771" t="s">
        <v>3892</v>
      </c>
      <c r="R771" t="s">
        <v>2481</v>
      </c>
      <c r="S771" t="s">
        <v>2643</v>
      </c>
      <c r="T771" t="s">
        <v>2639</v>
      </c>
      <c r="U771">
        <v>0</v>
      </c>
      <c r="V771">
        <v>0</v>
      </c>
      <c r="W771" t="s">
        <v>52</v>
      </c>
      <c r="X771">
        <v>0.88249999999999995</v>
      </c>
      <c r="Y771">
        <v>0.9133</v>
      </c>
      <c r="Z771">
        <v>0.9133</v>
      </c>
      <c r="AA771">
        <v>0.88249999999999995</v>
      </c>
      <c r="AB771">
        <v>15.348100000000001</v>
      </c>
      <c r="AC771">
        <v>15.348100000000001</v>
      </c>
      <c r="AD771">
        <v>14.1502</v>
      </c>
      <c r="AE771">
        <v>14.1502</v>
      </c>
      <c r="AF771" t="s">
        <v>2233</v>
      </c>
      <c r="AG771" t="s">
        <v>2233</v>
      </c>
      <c r="AH771" t="s">
        <v>3894</v>
      </c>
      <c r="AI771" t="s">
        <v>3894</v>
      </c>
      <c r="AJ771" t="s">
        <v>3895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s="2">
        <v>2</v>
      </c>
      <c r="AS771" t="s">
        <v>3896</v>
      </c>
      <c r="AT771" t="s">
        <v>3890</v>
      </c>
      <c r="AU771" t="s">
        <v>3897</v>
      </c>
      <c r="AV771" t="s">
        <v>3898</v>
      </c>
      <c r="AW771">
        <v>2</v>
      </c>
      <c r="AX771">
        <v>0</v>
      </c>
    </row>
    <row r="772" spans="1:50" x14ac:dyDescent="0.25">
      <c r="A772" t="s">
        <v>4755</v>
      </c>
      <c r="B772" t="s">
        <v>3889</v>
      </c>
      <c r="C772" t="s">
        <v>3890</v>
      </c>
      <c r="D772">
        <v>28.651</v>
      </c>
      <c r="E772">
        <v>28.635000000000002</v>
      </c>
      <c r="F772" s="2">
        <v>1E-3</v>
      </c>
      <c r="G772" t="s">
        <v>2594</v>
      </c>
      <c r="H772" t="s">
        <v>2621</v>
      </c>
      <c r="I772">
        <v>440519.97509999998</v>
      </c>
      <c r="J772">
        <v>1827869.7609000001</v>
      </c>
      <c r="K772">
        <v>440519.97509999998</v>
      </c>
      <c r="L772">
        <v>1827885.0608999999</v>
      </c>
      <c r="M772" t="s">
        <v>56</v>
      </c>
      <c r="N772" t="s">
        <v>57</v>
      </c>
      <c r="O772">
        <v>450</v>
      </c>
      <c r="P772" t="s">
        <v>3891</v>
      </c>
      <c r="Q772" t="s">
        <v>3892</v>
      </c>
      <c r="R772" t="s">
        <v>2591</v>
      </c>
      <c r="S772" t="s">
        <v>452</v>
      </c>
      <c r="T772" t="s">
        <v>3650</v>
      </c>
      <c r="U772">
        <v>-9.8000000000000004E-2</v>
      </c>
      <c r="V772">
        <v>-9.8000000000000004E-2</v>
      </c>
      <c r="W772" t="s">
        <v>52</v>
      </c>
      <c r="X772">
        <v>1.6603000000000001</v>
      </c>
      <c r="Y772">
        <v>1.8775999999999999</v>
      </c>
      <c r="Z772">
        <v>1.6603000000000001</v>
      </c>
      <c r="AA772">
        <v>1.7492000000000001</v>
      </c>
      <c r="AB772">
        <v>15.300700000000001</v>
      </c>
      <c r="AC772">
        <v>15.300700000000001</v>
      </c>
      <c r="AD772">
        <v>14.400700000000001</v>
      </c>
      <c r="AE772">
        <v>14.400700000000001</v>
      </c>
      <c r="AF772" t="s">
        <v>67</v>
      </c>
      <c r="AG772" t="s">
        <v>67</v>
      </c>
      <c r="AH772" t="s">
        <v>3894</v>
      </c>
      <c r="AI772" t="s">
        <v>3894</v>
      </c>
      <c r="AJ772" t="s">
        <v>3895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s="2">
        <v>2</v>
      </c>
      <c r="AS772" t="s">
        <v>3896</v>
      </c>
      <c r="AT772" t="s">
        <v>3890</v>
      </c>
      <c r="AU772" t="s">
        <v>3897</v>
      </c>
      <c r="AV772" t="s">
        <v>3898</v>
      </c>
      <c r="AW772">
        <v>2</v>
      </c>
      <c r="AX772">
        <v>0</v>
      </c>
    </row>
    <row r="773" spans="1:50" x14ac:dyDescent="0.25">
      <c r="A773" t="s">
        <v>4756</v>
      </c>
      <c r="B773" t="s">
        <v>3889</v>
      </c>
      <c r="C773" t="s">
        <v>3890</v>
      </c>
      <c r="D773">
        <v>28.651</v>
      </c>
      <c r="E773">
        <v>28.635000000000002</v>
      </c>
      <c r="F773" s="2">
        <v>1E-3</v>
      </c>
      <c r="G773" t="s">
        <v>2586</v>
      </c>
      <c r="H773" t="s">
        <v>2624</v>
      </c>
      <c r="I773">
        <v>440529.67509999999</v>
      </c>
      <c r="J773">
        <v>1827869.7609000001</v>
      </c>
      <c r="K773">
        <v>440529.67509999999</v>
      </c>
      <c r="L773">
        <v>1827885.0608999999</v>
      </c>
      <c r="M773" t="s">
        <v>56</v>
      </c>
      <c r="N773" t="s">
        <v>57</v>
      </c>
      <c r="O773">
        <v>450</v>
      </c>
      <c r="P773" t="s">
        <v>3891</v>
      </c>
      <c r="Q773" t="s">
        <v>3892</v>
      </c>
      <c r="R773" t="s">
        <v>2583</v>
      </c>
      <c r="S773" t="s">
        <v>452</v>
      </c>
      <c r="T773" t="s">
        <v>3650</v>
      </c>
      <c r="U773">
        <v>0</v>
      </c>
      <c r="V773">
        <v>0</v>
      </c>
      <c r="W773" t="s">
        <v>52</v>
      </c>
      <c r="X773">
        <v>1.5892999999999999</v>
      </c>
      <c r="Y773">
        <v>1.7844</v>
      </c>
      <c r="Z773">
        <v>1.6603000000000001</v>
      </c>
      <c r="AA773">
        <v>1.6072</v>
      </c>
      <c r="AB773">
        <v>15.300700000000001</v>
      </c>
      <c r="AC773">
        <v>15.300700000000001</v>
      </c>
      <c r="AD773">
        <v>14.400700000000001</v>
      </c>
      <c r="AE773">
        <v>14.400700000000001</v>
      </c>
      <c r="AF773" t="s">
        <v>67</v>
      </c>
      <c r="AG773" t="s">
        <v>67</v>
      </c>
      <c r="AH773" t="s">
        <v>3894</v>
      </c>
      <c r="AI773" t="s">
        <v>3894</v>
      </c>
      <c r="AJ773" t="s">
        <v>3895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s="2">
        <v>2</v>
      </c>
      <c r="AS773" t="s">
        <v>3896</v>
      </c>
      <c r="AT773" t="s">
        <v>3890</v>
      </c>
      <c r="AU773" t="s">
        <v>3897</v>
      </c>
      <c r="AV773" t="s">
        <v>3898</v>
      </c>
      <c r="AW773">
        <v>2</v>
      </c>
      <c r="AX773">
        <v>0</v>
      </c>
    </row>
    <row r="774" spans="1:50" x14ac:dyDescent="0.25">
      <c r="A774" t="s">
        <v>4757</v>
      </c>
      <c r="B774" t="s">
        <v>3889</v>
      </c>
      <c r="C774" t="s">
        <v>3890</v>
      </c>
      <c r="D774">
        <v>28.794</v>
      </c>
      <c r="E774">
        <v>28.747</v>
      </c>
      <c r="F774" s="2">
        <v>2.3E-3</v>
      </c>
      <c r="G774" t="s">
        <v>3753</v>
      </c>
      <c r="H774" t="s">
        <v>3750</v>
      </c>
      <c r="I774">
        <v>440454.3751</v>
      </c>
      <c r="J774">
        <v>1827578.2394999999</v>
      </c>
      <c r="K774">
        <v>440454.3751</v>
      </c>
      <c r="L774">
        <v>1827598.2394999999</v>
      </c>
      <c r="M774" t="s">
        <v>56</v>
      </c>
      <c r="N774" t="s">
        <v>57</v>
      </c>
      <c r="O774">
        <v>450</v>
      </c>
      <c r="P774" t="s">
        <v>3891</v>
      </c>
      <c r="Q774" t="s">
        <v>3892</v>
      </c>
      <c r="R774" t="s">
        <v>166</v>
      </c>
      <c r="S774" t="s">
        <v>432</v>
      </c>
      <c r="T774" t="s">
        <v>597</v>
      </c>
      <c r="U774">
        <v>-0.13489999999999999</v>
      </c>
      <c r="V774">
        <v>-0.13489999999999999</v>
      </c>
      <c r="W774" t="s">
        <v>52</v>
      </c>
      <c r="X774">
        <v>0.8821</v>
      </c>
      <c r="Y774">
        <v>0.88480000000000003</v>
      </c>
      <c r="Z774">
        <v>0.8821</v>
      </c>
      <c r="AA774">
        <v>0.88480000000000003</v>
      </c>
      <c r="AB774">
        <v>20</v>
      </c>
      <c r="AC774">
        <v>20.0001</v>
      </c>
      <c r="AD774">
        <v>18.801600000000001</v>
      </c>
      <c r="AE774">
        <v>18.8017</v>
      </c>
      <c r="AF774" t="s">
        <v>67</v>
      </c>
      <c r="AG774" t="s">
        <v>67</v>
      </c>
      <c r="AH774" t="s">
        <v>3894</v>
      </c>
      <c r="AI774" t="s">
        <v>3894</v>
      </c>
      <c r="AJ774" t="s">
        <v>3895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2">
        <v>2</v>
      </c>
      <c r="AS774" t="s">
        <v>3896</v>
      </c>
      <c r="AT774" t="s">
        <v>3890</v>
      </c>
      <c r="AU774" t="s">
        <v>3897</v>
      </c>
      <c r="AV774" t="s">
        <v>3898</v>
      </c>
      <c r="AW774">
        <v>2</v>
      </c>
      <c r="AX774">
        <v>0</v>
      </c>
    </row>
    <row r="775" spans="1:50" x14ac:dyDescent="0.25">
      <c r="A775" t="s">
        <v>4758</v>
      </c>
      <c r="B775" t="s">
        <v>3889</v>
      </c>
      <c r="C775" t="s">
        <v>3890</v>
      </c>
      <c r="D775">
        <v>28.794</v>
      </c>
      <c r="E775">
        <v>28.747</v>
      </c>
      <c r="F775" s="2">
        <v>2.3E-3</v>
      </c>
      <c r="G775" t="s">
        <v>3764</v>
      </c>
      <c r="H775" t="s">
        <v>3762</v>
      </c>
      <c r="I775">
        <v>440464.07510000002</v>
      </c>
      <c r="J775">
        <v>1827578.2394999999</v>
      </c>
      <c r="K775">
        <v>440464.07510000002</v>
      </c>
      <c r="L775">
        <v>1827598.2394999999</v>
      </c>
      <c r="M775" t="s">
        <v>56</v>
      </c>
      <c r="N775" t="s">
        <v>57</v>
      </c>
      <c r="O775">
        <v>450</v>
      </c>
      <c r="P775" t="s">
        <v>3891</v>
      </c>
      <c r="Q775" t="s">
        <v>3892</v>
      </c>
      <c r="R775" t="s">
        <v>171</v>
      </c>
      <c r="S775" s="1" t="s">
        <v>432</v>
      </c>
      <c r="T775" t="s">
        <v>597</v>
      </c>
      <c r="U775">
        <v>0</v>
      </c>
      <c r="V775">
        <v>0</v>
      </c>
      <c r="W775" t="s">
        <v>52</v>
      </c>
      <c r="X775">
        <v>0.8821</v>
      </c>
      <c r="Y775">
        <v>0.88480000000000003</v>
      </c>
      <c r="Z775">
        <v>0.8821</v>
      </c>
      <c r="AA775">
        <v>0.88480000000000003</v>
      </c>
      <c r="AB775">
        <v>20</v>
      </c>
      <c r="AC775">
        <v>20.0001</v>
      </c>
      <c r="AD775">
        <v>18.801600000000001</v>
      </c>
      <c r="AE775">
        <v>18.8017</v>
      </c>
      <c r="AF775" t="s">
        <v>67</v>
      </c>
      <c r="AG775" t="s">
        <v>67</v>
      </c>
      <c r="AH775" t="s">
        <v>3894</v>
      </c>
      <c r="AI775" t="s">
        <v>3894</v>
      </c>
      <c r="AJ775" t="s">
        <v>3895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s="2">
        <v>2</v>
      </c>
      <c r="AS775" t="s">
        <v>3896</v>
      </c>
      <c r="AT775" t="s">
        <v>3890</v>
      </c>
      <c r="AU775" t="s">
        <v>3897</v>
      </c>
      <c r="AV775" t="s">
        <v>3898</v>
      </c>
      <c r="AW775">
        <v>2</v>
      </c>
      <c r="AX775">
        <v>0</v>
      </c>
    </row>
    <row r="776" spans="1:50" x14ac:dyDescent="0.25">
      <c r="A776" t="s">
        <v>819</v>
      </c>
      <c r="B776" t="s">
        <v>3889</v>
      </c>
      <c r="C776" t="s">
        <v>3890</v>
      </c>
      <c r="D776">
        <v>29.44</v>
      </c>
      <c r="E776">
        <v>29.422999999999998</v>
      </c>
      <c r="F776" s="2">
        <v>1E-3</v>
      </c>
      <c r="G776" t="s">
        <v>818</v>
      </c>
      <c r="H776" t="s">
        <v>230</v>
      </c>
      <c r="I776">
        <v>440454.3751</v>
      </c>
      <c r="J776">
        <v>1827880.7651</v>
      </c>
      <c r="K776">
        <v>440454.3751</v>
      </c>
      <c r="L776">
        <v>1827863.8831</v>
      </c>
      <c r="M776" t="s">
        <v>56</v>
      </c>
      <c r="N776" t="s">
        <v>57</v>
      </c>
      <c r="O776">
        <v>450</v>
      </c>
      <c r="P776" t="s">
        <v>3891</v>
      </c>
      <c r="Q776" t="s">
        <v>3892</v>
      </c>
      <c r="R776" t="s">
        <v>232</v>
      </c>
      <c r="S776" t="s">
        <v>820</v>
      </c>
      <c r="T776" t="s">
        <v>233</v>
      </c>
      <c r="U776">
        <v>0.1784</v>
      </c>
      <c r="V776">
        <v>0.1784</v>
      </c>
      <c r="W776" t="s">
        <v>52</v>
      </c>
      <c r="X776">
        <v>0.89529999999999998</v>
      </c>
      <c r="Y776">
        <v>1.0014000000000001</v>
      </c>
      <c r="Z776">
        <v>1.0009999999999999</v>
      </c>
      <c r="AA776">
        <v>0.89529999999999998</v>
      </c>
      <c r="AB776">
        <v>16.882000000000001</v>
      </c>
      <c r="AC776">
        <v>16.882000000000001</v>
      </c>
      <c r="AD776">
        <v>15.682700000000001</v>
      </c>
      <c r="AE776">
        <v>15.682700000000001</v>
      </c>
      <c r="AF776" t="s">
        <v>3905</v>
      </c>
      <c r="AG776" t="s">
        <v>3905</v>
      </c>
      <c r="AH776" t="s">
        <v>3894</v>
      </c>
      <c r="AI776" t="s">
        <v>3894</v>
      </c>
      <c r="AJ776" t="s">
        <v>3895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s="2">
        <v>2</v>
      </c>
      <c r="AS776" t="s">
        <v>3896</v>
      </c>
      <c r="AT776" t="s">
        <v>3890</v>
      </c>
      <c r="AU776" t="s">
        <v>3897</v>
      </c>
      <c r="AV776" t="s">
        <v>3898</v>
      </c>
      <c r="AW776">
        <v>2</v>
      </c>
      <c r="AX776">
        <v>0</v>
      </c>
    </row>
    <row r="777" spans="1:50" x14ac:dyDescent="0.25">
      <c r="A777" t="s">
        <v>827</v>
      </c>
      <c r="B777" t="s">
        <v>3889</v>
      </c>
      <c r="C777" t="s">
        <v>3890</v>
      </c>
      <c r="D777">
        <v>29.44</v>
      </c>
      <c r="E777">
        <v>29.422000000000001</v>
      </c>
      <c r="F777" s="2">
        <v>1E-3</v>
      </c>
      <c r="G777" t="s">
        <v>826</v>
      </c>
      <c r="H777" t="s">
        <v>235</v>
      </c>
      <c r="I777">
        <v>440464.07510000002</v>
      </c>
      <c r="J777">
        <v>1827881.1262999999</v>
      </c>
      <c r="K777">
        <v>440464.07510000002</v>
      </c>
      <c r="L777">
        <v>1827863.7308</v>
      </c>
      <c r="M777" t="s">
        <v>56</v>
      </c>
      <c r="N777" t="s">
        <v>57</v>
      </c>
      <c r="O777">
        <v>450</v>
      </c>
      <c r="P777" t="s">
        <v>3891</v>
      </c>
      <c r="Q777" t="s">
        <v>3892</v>
      </c>
      <c r="R777" t="s">
        <v>210</v>
      </c>
      <c r="S777" t="s">
        <v>828</v>
      </c>
      <c r="T777" t="s">
        <v>237</v>
      </c>
      <c r="U777">
        <v>0</v>
      </c>
      <c r="V777">
        <v>0</v>
      </c>
      <c r="W777" t="s">
        <v>52</v>
      </c>
      <c r="X777">
        <v>0.89510000000000001</v>
      </c>
      <c r="Y777">
        <v>1.0021</v>
      </c>
      <c r="Z777">
        <v>0.99980000000000002</v>
      </c>
      <c r="AA777">
        <v>0.89510000000000001</v>
      </c>
      <c r="AB777">
        <v>17.395499999999998</v>
      </c>
      <c r="AC777">
        <v>17.395499999999998</v>
      </c>
      <c r="AD777">
        <v>16.196200000000001</v>
      </c>
      <c r="AE777">
        <v>16.196200000000001</v>
      </c>
      <c r="AF777" t="s">
        <v>3905</v>
      </c>
      <c r="AG777" t="s">
        <v>3905</v>
      </c>
      <c r="AH777" t="s">
        <v>3894</v>
      </c>
      <c r="AI777" t="s">
        <v>3894</v>
      </c>
      <c r="AJ777" t="s">
        <v>3895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s="2">
        <v>2</v>
      </c>
      <c r="AS777" t="s">
        <v>3896</v>
      </c>
      <c r="AT777" t="s">
        <v>3890</v>
      </c>
      <c r="AU777" t="s">
        <v>3897</v>
      </c>
      <c r="AV777" t="s">
        <v>3898</v>
      </c>
      <c r="AW777">
        <v>2</v>
      </c>
      <c r="AX777">
        <v>0</v>
      </c>
    </row>
    <row r="778" spans="1:50" x14ac:dyDescent="0.25">
      <c r="A778" t="s">
        <v>4759</v>
      </c>
      <c r="B778" t="s">
        <v>3889</v>
      </c>
      <c r="C778" t="s">
        <v>3890</v>
      </c>
      <c r="D778">
        <v>28.462</v>
      </c>
      <c r="E778">
        <v>28.45</v>
      </c>
      <c r="F778" s="2">
        <v>1E-3</v>
      </c>
      <c r="G778" t="s">
        <v>2792</v>
      </c>
      <c r="H778" t="s">
        <v>2796</v>
      </c>
      <c r="I778">
        <v>440585.57510000002</v>
      </c>
      <c r="J778">
        <v>1827790.5422</v>
      </c>
      <c r="K778">
        <v>440585.57510000002</v>
      </c>
      <c r="L778">
        <v>1827778.6007000001</v>
      </c>
      <c r="M778" t="s">
        <v>56</v>
      </c>
      <c r="N778" t="s">
        <v>57</v>
      </c>
      <c r="O778">
        <v>450</v>
      </c>
      <c r="P778" t="s">
        <v>3891</v>
      </c>
      <c r="Q778" t="s">
        <v>3892</v>
      </c>
      <c r="R778" t="s">
        <v>2481</v>
      </c>
      <c r="S778" t="s">
        <v>2794</v>
      </c>
      <c r="T778" t="s">
        <v>4760</v>
      </c>
      <c r="U778">
        <v>0</v>
      </c>
      <c r="V778">
        <v>0</v>
      </c>
      <c r="W778" t="s">
        <v>52</v>
      </c>
      <c r="X778">
        <v>0.99719999999999998</v>
      </c>
      <c r="Y778">
        <v>1.1658999999999999</v>
      </c>
      <c r="Z778">
        <v>1.1478999999999999</v>
      </c>
      <c r="AA778">
        <v>1.0083</v>
      </c>
      <c r="AB778">
        <v>12.0175</v>
      </c>
      <c r="AC778">
        <v>12.0175</v>
      </c>
      <c r="AD778">
        <v>11.1172</v>
      </c>
      <c r="AE778">
        <v>11.1172</v>
      </c>
      <c r="AF778" t="s">
        <v>2233</v>
      </c>
      <c r="AG778" t="s">
        <v>2233</v>
      </c>
      <c r="AH778" t="s">
        <v>3894</v>
      </c>
      <c r="AI778" t="s">
        <v>3894</v>
      </c>
      <c r="AJ778" t="s">
        <v>3895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s="2">
        <v>2</v>
      </c>
      <c r="AS778" t="s">
        <v>3896</v>
      </c>
      <c r="AT778" t="s">
        <v>3890</v>
      </c>
      <c r="AU778" t="s">
        <v>3897</v>
      </c>
      <c r="AV778" t="s">
        <v>3898</v>
      </c>
      <c r="AW778">
        <v>2</v>
      </c>
      <c r="AX778">
        <v>0</v>
      </c>
    </row>
    <row r="779" spans="1:50" x14ac:dyDescent="0.25">
      <c r="A779" t="s">
        <v>4761</v>
      </c>
      <c r="B779" t="s">
        <v>3889</v>
      </c>
      <c r="C779" t="s">
        <v>3890</v>
      </c>
      <c r="D779">
        <v>29.434000000000001</v>
      </c>
      <c r="E779">
        <v>29.417999999999999</v>
      </c>
      <c r="F779" s="2">
        <v>1.2999999999999999E-3</v>
      </c>
      <c r="G779" t="s">
        <v>1063</v>
      </c>
      <c r="H779" t="s">
        <v>1081</v>
      </c>
      <c r="I779">
        <v>440270.4252</v>
      </c>
      <c r="J779">
        <v>1827703.7895</v>
      </c>
      <c r="K779">
        <v>440258.1079</v>
      </c>
      <c r="L779">
        <v>1827703.7895</v>
      </c>
      <c r="M779" t="s">
        <v>56</v>
      </c>
      <c r="N779" t="s">
        <v>57</v>
      </c>
      <c r="O779">
        <v>450</v>
      </c>
      <c r="P779" t="s">
        <v>3891</v>
      </c>
      <c r="Q779" t="s">
        <v>3892</v>
      </c>
      <c r="R779" t="s">
        <v>1056</v>
      </c>
      <c r="S779" t="s">
        <v>1065</v>
      </c>
      <c r="T779" t="s">
        <v>1083</v>
      </c>
      <c r="U779">
        <v>7.4999999999999997E-2</v>
      </c>
      <c r="V779">
        <v>7.4999999999999997E-2</v>
      </c>
      <c r="W779" t="s">
        <v>52</v>
      </c>
      <c r="X779">
        <v>1.1901999999999999</v>
      </c>
      <c r="Y779">
        <v>1.3512</v>
      </c>
      <c r="Z779">
        <v>1.3026</v>
      </c>
      <c r="AA779">
        <v>1.2173</v>
      </c>
      <c r="AB779">
        <v>12.317299999999999</v>
      </c>
      <c r="AC779">
        <v>12.317299999999999</v>
      </c>
      <c r="AD779">
        <v>11.1182</v>
      </c>
      <c r="AE779">
        <v>11.1182</v>
      </c>
      <c r="AF779" t="s">
        <v>4630</v>
      </c>
      <c r="AG779" t="s">
        <v>4630</v>
      </c>
      <c r="AH779" t="s">
        <v>3894</v>
      </c>
      <c r="AI779" t="s">
        <v>3894</v>
      </c>
      <c r="AJ779" t="s">
        <v>3895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s="2">
        <v>2</v>
      </c>
      <c r="AS779" t="s">
        <v>3896</v>
      </c>
      <c r="AT779" t="s">
        <v>3890</v>
      </c>
      <c r="AU779" t="s">
        <v>3897</v>
      </c>
      <c r="AV779" t="s">
        <v>3898</v>
      </c>
      <c r="AW779">
        <v>2</v>
      </c>
      <c r="AX779">
        <v>0</v>
      </c>
    </row>
    <row r="780" spans="1:50" x14ac:dyDescent="0.25">
      <c r="A780" t="s">
        <v>4762</v>
      </c>
      <c r="B780" t="s">
        <v>3996</v>
      </c>
      <c r="C780" t="s">
        <v>3890</v>
      </c>
      <c r="D780">
        <v>27.206</v>
      </c>
      <c r="E780">
        <v>27.187999999999999</v>
      </c>
      <c r="F780" s="2">
        <v>1E-3</v>
      </c>
      <c r="G780" t="s">
        <v>3731</v>
      </c>
      <c r="H780" t="s">
        <v>3735</v>
      </c>
      <c r="I780">
        <v>440366.30469999998</v>
      </c>
      <c r="J780">
        <v>1827549.9820999999</v>
      </c>
      <c r="K780">
        <v>440384.09499999997</v>
      </c>
      <c r="L780">
        <v>1827549.9823</v>
      </c>
      <c r="M780" t="s">
        <v>56</v>
      </c>
      <c r="N780" t="s">
        <v>57</v>
      </c>
      <c r="O780">
        <v>1350</v>
      </c>
      <c r="P780" t="s">
        <v>3997</v>
      </c>
      <c r="Q780" t="s">
        <v>3998</v>
      </c>
      <c r="R780" t="s">
        <v>180</v>
      </c>
      <c r="S780" t="s">
        <v>3733</v>
      </c>
      <c r="T780" t="s">
        <v>3737</v>
      </c>
      <c r="U780">
        <v>-0.55169999999999997</v>
      </c>
      <c r="V780">
        <v>-0.55149999999999999</v>
      </c>
      <c r="W780" t="s">
        <v>52</v>
      </c>
      <c r="X780">
        <v>1.6473</v>
      </c>
      <c r="Y780">
        <v>1.7236</v>
      </c>
      <c r="Z780">
        <v>1.7105999999999999</v>
      </c>
      <c r="AA780">
        <v>1.6939</v>
      </c>
      <c r="AB780">
        <v>17.790299999999998</v>
      </c>
      <c r="AC780">
        <v>17.790400000000002</v>
      </c>
      <c r="AD780">
        <v>16.592199999999998</v>
      </c>
      <c r="AE780">
        <v>16.592199999999998</v>
      </c>
      <c r="AF780" t="s">
        <v>4763</v>
      </c>
      <c r="AG780" t="s">
        <v>4763</v>
      </c>
      <c r="AH780" t="s">
        <v>3894</v>
      </c>
      <c r="AI780" t="s">
        <v>3894</v>
      </c>
      <c r="AJ780" t="s">
        <v>3895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s="2">
        <v>2</v>
      </c>
      <c r="AS780" t="s">
        <v>3896</v>
      </c>
      <c r="AT780" t="s">
        <v>3890</v>
      </c>
      <c r="AU780" t="s">
        <v>4000</v>
      </c>
      <c r="AV780" t="s">
        <v>3898</v>
      </c>
      <c r="AW780">
        <v>2</v>
      </c>
      <c r="AX780">
        <v>0</v>
      </c>
    </row>
    <row r="781" spans="1:50" x14ac:dyDescent="0.25">
      <c r="A781" t="s">
        <v>4764</v>
      </c>
      <c r="B781" t="s">
        <v>3889</v>
      </c>
      <c r="C781" t="s">
        <v>3890</v>
      </c>
      <c r="D781">
        <v>29.399000000000001</v>
      </c>
      <c r="E781">
        <v>29.382999999999999</v>
      </c>
      <c r="F781" s="2">
        <v>1.2999999999999999E-3</v>
      </c>
      <c r="G781" t="s">
        <v>1119</v>
      </c>
      <c r="H781" t="s">
        <v>1142</v>
      </c>
      <c r="I781">
        <v>440270.4252</v>
      </c>
      <c r="J781">
        <v>1827692.6895000001</v>
      </c>
      <c r="K781">
        <v>440258.29989999998</v>
      </c>
      <c r="L781">
        <v>1827692.6895000001</v>
      </c>
      <c r="M781" t="s">
        <v>56</v>
      </c>
      <c r="N781" t="s">
        <v>57</v>
      </c>
      <c r="O781">
        <v>450</v>
      </c>
      <c r="P781" t="s">
        <v>3891</v>
      </c>
      <c r="Q781" t="s">
        <v>3892</v>
      </c>
      <c r="R781" t="s">
        <v>1112</v>
      </c>
      <c r="S781" t="s">
        <v>1121</v>
      </c>
      <c r="T781" t="s">
        <v>4765</v>
      </c>
      <c r="U781">
        <v>-0.1618</v>
      </c>
      <c r="V781">
        <v>-0.1648</v>
      </c>
      <c r="W781" t="s">
        <v>52</v>
      </c>
      <c r="X781">
        <v>1.2252000000000001</v>
      </c>
      <c r="Y781">
        <v>1.3891</v>
      </c>
      <c r="Z781">
        <v>1.3375999999999999</v>
      </c>
      <c r="AA781">
        <v>1.2492000000000001</v>
      </c>
      <c r="AB781">
        <v>12.3322</v>
      </c>
      <c r="AC781">
        <v>12.3322</v>
      </c>
      <c r="AD781">
        <v>11.133100000000001</v>
      </c>
      <c r="AE781">
        <v>11.133100000000001</v>
      </c>
      <c r="AF781" t="s">
        <v>4630</v>
      </c>
      <c r="AG781" t="s">
        <v>4630</v>
      </c>
      <c r="AH781" t="s">
        <v>3894</v>
      </c>
      <c r="AI781" t="s">
        <v>3894</v>
      </c>
      <c r="AJ781" t="s">
        <v>3895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s="2">
        <v>2</v>
      </c>
      <c r="AS781" t="s">
        <v>3896</v>
      </c>
      <c r="AT781" t="s">
        <v>3890</v>
      </c>
      <c r="AU781" t="s">
        <v>3897</v>
      </c>
      <c r="AV781" t="s">
        <v>3898</v>
      </c>
      <c r="AW781">
        <v>2</v>
      </c>
      <c r="AX781">
        <v>0</v>
      </c>
    </row>
    <row r="782" spans="1:50" x14ac:dyDescent="0.25">
      <c r="A782" t="s">
        <v>4766</v>
      </c>
      <c r="B782" t="s">
        <v>3889</v>
      </c>
      <c r="C782" t="s">
        <v>3890</v>
      </c>
      <c r="D782">
        <v>29.535</v>
      </c>
      <c r="E782">
        <v>29.509</v>
      </c>
      <c r="F782" s="2">
        <v>1.2999999999999999E-3</v>
      </c>
      <c r="G782" t="s">
        <v>3490</v>
      </c>
      <c r="H782" t="s">
        <v>3493</v>
      </c>
      <c r="I782">
        <v>440387.3751</v>
      </c>
      <c r="J782">
        <v>1827449.7609000001</v>
      </c>
      <c r="K782">
        <v>440387.3751</v>
      </c>
      <c r="L782">
        <v>1827469.7609000001</v>
      </c>
      <c r="M782" t="s">
        <v>56</v>
      </c>
      <c r="N782" t="s">
        <v>57</v>
      </c>
      <c r="O782">
        <v>450</v>
      </c>
      <c r="P782" t="s">
        <v>3891</v>
      </c>
      <c r="Q782" t="s">
        <v>3892</v>
      </c>
      <c r="R782" t="s">
        <v>117</v>
      </c>
      <c r="S782" t="s">
        <v>824</v>
      </c>
      <c r="T782" t="s">
        <v>832</v>
      </c>
      <c r="U782">
        <v>3.6400000000000002E-2</v>
      </c>
      <c r="V782">
        <v>3.6400000000000002E-2</v>
      </c>
      <c r="W782" t="s">
        <v>52</v>
      </c>
      <c r="X782">
        <v>0.88249999999999995</v>
      </c>
      <c r="Y782">
        <v>0.95809999999999995</v>
      </c>
      <c r="Z782">
        <v>0.95809999999999995</v>
      </c>
      <c r="AA782">
        <v>0.88249999999999995</v>
      </c>
      <c r="AB782">
        <v>20</v>
      </c>
      <c r="AC782">
        <v>20</v>
      </c>
      <c r="AD782">
        <v>18.800899999999999</v>
      </c>
      <c r="AE782">
        <v>18.800899999999999</v>
      </c>
      <c r="AF782" t="s">
        <v>67</v>
      </c>
      <c r="AG782" t="s">
        <v>67</v>
      </c>
      <c r="AH782" t="s">
        <v>3894</v>
      </c>
      <c r="AI782" t="s">
        <v>3894</v>
      </c>
      <c r="AJ782" t="s">
        <v>3895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s="2">
        <v>2</v>
      </c>
      <c r="AS782" t="s">
        <v>3896</v>
      </c>
      <c r="AT782" t="s">
        <v>3890</v>
      </c>
      <c r="AU782" t="s">
        <v>3897</v>
      </c>
      <c r="AV782" t="s">
        <v>3898</v>
      </c>
      <c r="AW782">
        <v>2</v>
      </c>
      <c r="AX782">
        <v>0</v>
      </c>
    </row>
    <row r="783" spans="1:50" x14ac:dyDescent="0.25">
      <c r="A783" t="s">
        <v>4767</v>
      </c>
      <c r="B783" t="s">
        <v>3889</v>
      </c>
      <c r="C783" t="s">
        <v>3890</v>
      </c>
      <c r="D783">
        <v>28.965</v>
      </c>
      <c r="E783">
        <v>28.940999999999999</v>
      </c>
      <c r="F783" s="2">
        <v>1.1999999999999999E-3</v>
      </c>
      <c r="G783" t="s">
        <v>2676</v>
      </c>
      <c r="H783" t="s">
        <v>2679</v>
      </c>
      <c r="I783">
        <v>440530.42509999999</v>
      </c>
      <c r="J783">
        <v>1827894.6109</v>
      </c>
      <c r="K783">
        <v>440550.42509999999</v>
      </c>
      <c r="L783">
        <v>1827894.6109</v>
      </c>
      <c r="M783" t="s">
        <v>56</v>
      </c>
      <c r="N783" t="s">
        <v>57</v>
      </c>
      <c r="O783">
        <v>450</v>
      </c>
      <c r="P783" t="s">
        <v>3891</v>
      </c>
      <c r="Q783" t="s">
        <v>3892</v>
      </c>
      <c r="R783" t="s">
        <v>260</v>
      </c>
      <c r="S783" t="s">
        <v>444</v>
      </c>
      <c r="T783" t="s">
        <v>448</v>
      </c>
      <c r="U783">
        <v>6.2600000000000003E-2</v>
      </c>
      <c r="V783">
        <v>5.04E-2</v>
      </c>
      <c r="W783" t="s">
        <v>52</v>
      </c>
      <c r="X783">
        <v>1.2509999999999999</v>
      </c>
      <c r="Y783">
        <v>1.4524999999999999</v>
      </c>
      <c r="Z783">
        <v>1.4524999999999999</v>
      </c>
      <c r="AA783">
        <v>1.2509999999999999</v>
      </c>
      <c r="AB783">
        <v>20</v>
      </c>
      <c r="AC783">
        <v>20</v>
      </c>
      <c r="AD783">
        <v>18.800799999999999</v>
      </c>
      <c r="AE783">
        <v>18.800899999999999</v>
      </c>
      <c r="AF783" t="s">
        <v>3899</v>
      </c>
      <c r="AG783" t="s">
        <v>3899</v>
      </c>
      <c r="AH783" t="s">
        <v>3894</v>
      </c>
      <c r="AI783" t="s">
        <v>3894</v>
      </c>
      <c r="AJ783" t="s">
        <v>3895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s="2">
        <v>2</v>
      </c>
      <c r="AS783" t="s">
        <v>3896</v>
      </c>
      <c r="AT783" t="s">
        <v>3890</v>
      </c>
      <c r="AU783" t="s">
        <v>3897</v>
      </c>
      <c r="AV783" t="s">
        <v>3898</v>
      </c>
      <c r="AW783">
        <v>2</v>
      </c>
      <c r="AX783">
        <v>0</v>
      </c>
    </row>
    <row r="784" spans="1:50" x14ac:dyDescent="0.25">
      <c r="A784" t="s">
        <v>4768</v>
      </c>
      <c r="B784" t="s">
        <v>4010</v>
      </c>
      <c r="C784" t="s">
        <v>3890</v>
      </c>
      <c r="D784">
        <v>30.817</v>
      </c>
      <c r="E784">
        <v>30.803999999999998</v>
      </c>
      <c r="F784" s="2">
        <v>1.1999999999999999E-3</v>
      </c>
      <c r="G784" t="s">
        <v>1603</v>
      </c>
      <c r="H784" t="s">
        <v>1607</v>
      </c>
      <c r="I784">
        <v>439951.42479999998</v>
      </c>
      <c r="J784">
        <v>1827550.2838000001</v>
      </c>
      <c r="K784">
        <v>439962.02480000001</v>
      </c>
      <c r="L784">
        <v>1827550.2838000001</v>
      </c>
      <c r="M784" t="s">
        <v>56</v>
      </c>
      <c r="N784" t="s">
        <v>57</v>
      </c>
      <c r="O784">
        <v>900</v>
      </c>
      <c r="P784" t="s">
        <v>109</v>
      </c>
      <c r="Q784" t="s">
        <v>3919</v>
      </c>
      <c r="R784" t="s">
        <v>132</v>
      </c>
      <c r="S784" t="s">
        <v>1605</v>
      </c>
      <c r="T784" t="s">
        <v>1609</v>
      </c>
      <c r="U784">
        <v>-2.5000000000000001E-2</v>
      </c>
      <c r="V784">
        <v>-2.5000000000000001E-2</v>
      </c>
      <c r="W784" t="s">
        <v>52</v>
      </c>
      <c r="X784">
        <v>1.1472</v>
      </c>
      <c r="Y784">
        <v>1.2451000000000001</v>
      </c>
      <c r="Z784">
        <v>1.1474</v>
      </c>
      <c r="AA784">
        <v>1.1472</v>
      </c>
      <c r="AB784">
        <v>10.6</v>
      </c>
      <c r="AC784">
        <v>10.6</v>
      </c>
      <c r="AD784">
        <v>9.4015000000000004</v>
      </c>
      <c r="AE784">
        <v>9.4015000000000004</v>
      </c>
      <c r="AF784" t="s">
        <v>3920</v>
      </c>
      <c r="AG784" t="s">
        <v>3920</v>
      </c>
      <c r="AH784" t="s">
        <v>3894</v>
      </c>
      <c r="AI784" t="s">
        <v>3894</v>
      </c>
      <c r="AJ784" t="s">
        <v>3895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s="2">
        <v>2</v>
      </c>
      <c r="AS784" t="s">
        <v>3896</v>
      </c>
      <c r="AT784" t="s">
        <v>3890</v>
      </c>
      <c r="AU784" t="s">
        <v>4012</v>
      </c>
      <c r="AV784" t="s">
        <v>3898</v>
      </c>
      <c r="AW784">
        <v>2</v>
      </c>
      <c r="AX784">
        <v>0</v>
      </c>
    </row>
    <row r="785" spans="1:50" x14ac:dyDescent="0.25">
      <c r="A785" t="s">
        <v>4769</v>
      </c>
      <c r="B785" t="s">
        <v>3889</v>
      </c>
      <c r="C785" t="s">
        <v>3890</v>
      </c>
      <c r="D785">
        <v>29.36</v>
      </c>
      <c r="E785">
        <v>29.335000000000001</v>
      </c>
      <c r="F785" s="2">
        <v>1.1999999999999999E-3</v>
      </c>
      <c r="G785" t="s">
        <v>3821</v>
      </c>
      <c r="H785" t="s">
        <v>3825</v>
      </c>
      <c r="I785">
        <v>440398.47509999998</v>
      </c>
      <c r="J785">
        <v>1827849.7461000001</v>
      </c>
      <c r="K785">
        <v>440398.47509999998</v>
      </c>
      <c r="L785">
        <v>1827829.6232</v>
      </c>
      <c r="M785" t="s">
        <v>56</v>
      </c>
      <c r="N785" t="s">
        <v>57</v>
      </c>
      <c r="O785">
        <v>450</v>
      </c>
      <c r="P785" t="s">
        <v>3891</v>
      </c>
      <c r="Q785" t="s">
        <v>3892</v>
      </c>
      <c r="R785" t="s">
        <v>107</v>
      </c>
      <c r="S785" t="s">
        <v>3823</v>
      </c>
      <c r="T785" t="s">
        <v>3827</v>
      </c>
      <c r="U785">
        <v>-2.0000000000000001E-4</v>
      </c>
      <c r="V785">
        <v>-2.0000000000000001E-4</v>
      </c>
      <c r="W785" t="s">
        <v>52</v>
      </c>
      <c r="X785">
        <v>1.2761</v>
      </c>
      <c r="Y785">
        <v>1.4754</v>
      </c>
      <c r="Z785">
        <v>1.2761</v>
      </c>
      <c r="AA785">
        <v>1.4754</v>
      </c>
      <c r="AB785">
        <v>20.122900000000001</v>
      </c>
      <c r="AC785">
        <v>20.122900000000001</v>
      </c>
      <c r="AD785">
        <v>18.9237</v>
      </c>
      <c r="AE785">
        <v>18.9238</v>
      </c>
      <c r="AF785" t="s">
        <v>2233</v>
      </c>
      <c r="AG785" t="s">
        <v>2233</v>
      </c>
      <c r="AH785" t="s">
        <v>3894</v>
      </c>
      <c r="AI785" t="s">
        <v>3894</v>
      </c>
      <c r="AJ785" t="s">
        <v>3895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s="2">
        <v>2</v>
      </c>
      <c r="AS785" t="s">
        <v>3896</v>
      </c>
      <c r="AT785" t="s">
        <v>3890</v>
      </c>
      <c r="AU785" t="s">
        <v>3897</v>
      </c>
      <c r="AV785" t="s">
        <v>3898</v>
      </c>
      <c r="AW785">
        <v>2</v>
      </c>
      <c r="AX785">
        <v>0</v>
      </c>
    </row>
    <row r="786" spans="1:50" x14ac:dyDescent="0.25">
      <c r="A786" t="s">
        <v>958</v>
      </c>
      <c r="B786" t="s">
        <v>3889</v>
      </c>
      <c r="C786" t="s">
        <v>3890</v>
      </c>
      <c r="D786">
        <v>31.724</v>
      </c>
      <c r="E786">
        <v>31.699000000000002</v>
      </c>
      <c r="F786" s="2">
        <v>1.2999999999999999E-3</v>
      </c>
      <c r="G786" t="s">
        <v>957</v>
      </c>
      <c r="H786" t="s">
        <v>961</v>
      </c>
      <c r="I786">
        <v>440217.77480000001</v>
      </c>
      <c r="J786">
        <v>1828181.8171000001</v>
      </c>
      <c r="K786">
        <v>440217.77480000001</v>
      </c>
      <c r="L786">
        <v>1828161.8171000001</v>
      </c>
      <c r="M786" t="s">
        <v>56</v>
      </c>
      <c r="N786" t="s">
        <v>57</v>
      </c>
      <c r="O786">
        <v>450</v>
      </c>
      <c r="P786" t="s">
        <v>3891</v>
      </c>
      <c r="Q786" t="s">
        <v>3892</v>
      </c>
      <c r="R786" t="s">
        <v>151</v>
      </c>
      <c r="S786" t="s">
        <v>959</v>
      </c>
      <c r="T786" t="s">
        <v>963</v>
      </c>
      <c r="U786">
        <v>5.3100000000000001E-2</v>
      </c>
      <c r="V786">
        <v>4.2299999999999997E-2</v>
      </c>
      <c r="W786" t="s">
        <v>52</v>
      </c>
      <c r="X786">
        <v>1.0817000000000001</v>
      </c>
      <c r="Y786">
        <v>1.3202</v>
      </c>
      <c r="Z786">
        <v>1.0817000000000001</v>
      </c>
      <c r="AA786">
        <v>1.3202</v>
      </c>
      <c r="AB786">
        <v>20</v>
      </c>
      <c r="AC786">
        <v>20</v>
      </c>
      <c r="AD786">
        <v>18.800899999999999</v>
      </c>
      <c r="AE786">
        <v>18.800899999999999</v>
      </c>
      <c r="AF786" t="s">
        <v>2233</v>
      </c>
      <c r="AG786" t="s">
        <v>2233</v>
      </c>
      <c r="AH786" t="s">
        <v>3894</v>
      </c>
      <c r="AI786" t="s">
        <v>3894</v>
      </c>
      <c r="AJ786" t="s">
        <v>3895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s="2">
        <v>2</v>
      </c>
      <c r="AS786" t="s">
        <v>3896</v>
      </c>
      <c r="AT786" t="s">
        <v>3890</v>
      </c>
      <c r="AU786" t="s">
        <v>3897</v>
      </c>
      <c r="AV786" t="s">
        <v>3898</v>
      </c>
      <c r="AW786">
        <v>2</v>
      </c>
      <c r="AX786">
        <v>0</v>
      </c>
    </row>
    <row r="787" spans="1:50" x14ac:dyDescent="0.25">
      <c r="A787" t="s">
        <v>4770</v>
      </c>
      <c r="B787" t="s">
        <v>3889</v>
      </c>
      <c r="C787" t="s">
        <v>3890</v>
      </c>
      <c r="D787">
        <v>30.873999999999999</v>
      </c>
      <c r="E787">
        <v>30.85</v>
      </c>
      <c r="F787" s="2">
        <v>1.5E-3</v>
      </c>
      <c r="G787" t="s">
        <v>838</v>
      </c>
      <c r="H787" t="s">
        <v>847</v>
      </c>
      <c r="I787">
        <v>440194.65590000001</v>
      </c>
      <c r="J787">
        <v>1827425.1986</v>
      </c>
      <c r="K787">
        <v>440210.42509999999</v>
      </c>
      <c r="L787">
        <v>1827425.1986</v>
      </c>
      <c r="M787" t="s">
        <v>56</v>
      </c>
      <c r="N787" t="s">
        <v>57</v>
      </c>
      <c r="O787">
        <v>450</v>
      </c>
      <c r="P787" t="s">
        <v>3891</v>
      </c>
      <c r="Q787" t="s">
        <v>3892</v>
      </c>
      <c r="R787" t="s">
        <v>80</v>
      </c>
      <c r="S787" t="s">
        <v>840</v>
      </c>
      <c r="T787" t="s">
        <v>849</v>
      </c>
      <c r="U787">
        <v>5.62E-2</v>
      </c>
      <c r="V787">
        <v>5.0999999999999997E-2</v>
      </c>
      <c r="W787" t="s">
        <v>52</v>
      </c>
      <c r="X787">
        <v>0.93020000000000003</v>
      </c>
      <c r="Y787">
        <v>1.018</v>
      </c>
      <c r="Z787">
        <v>0.9758</v>
      </c>
      <c r="AA787">
        <v>0.93020000000000003</v>
      </c>
      <c r="AB787">
        <v>15.7692</v>
      </c>
      <c r="AC787">
        <v>15.769299999999999</v>
      </c>
      <c r="AD787">
        <v>14.5703</v>
      </c>
      <c r="AE787">
        <v>14.5703</v>
      </c>
      <c r="AF787" t="s">
        <v>183</v>
      </c>
      <c r="AG787" t="s">
        <v>183</v>
      </c>
      <c r="AH787" t="s">
        <v>3894</v>
      </c>
      <c r="AI787" t="s">
        <v>3894</v>
      </c>
      <c r="AJ787" t="s">
        <v>3895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s="2">
        <v>2</v>
      </c>
      <c r="AS787" t="s">
        <v>3896</v>
      </c>
      <c r="AT787" t="s">
        <v>3890</v>
      </c>
      <c r="AU787" t="s">
        <v>3897</v>
      </c>
      <c r="AV787" t="s">
        <v>3898</v>
      </c>
      <c r="AW787">
        <v>2</v>
      </c>
      <c r="AX787">
        <v>0</v>
      </c>
    </row>
    <row r="788" spans="1:50" x14ac:dyDescent="0.25">
      <c r="A788" t="s">
        <v>4771</v>
      </c>
      <c r="B788" t="s">
        <v>3889</v>
      </c>
      <c r="C788" t="s">
        <v>3890</v>
      </c>
      <c r="D788">
        <v>29.765999999999998</v>
      </c>
      <c r="E788">
        <v>29.748999999999999</v>
      </c>
      <c r="F788" s="2">
        <v>1.1999999999999999E-3</v>
      </c>
      <c r="G788" t="s">
        <v>2119</v>
      </c>
      <c r="H788" t="s">
        <v>2123</v>
      </c>
      <c r="I788">
        <v>440314.30190000002</v>
      </c>
      <c r="J788">
        <v>1827810.2498000001</v>
      </c>
      <c r="K788">
        <v>440314.27490000002</v>
      </c>
      <c r="L788">
        <v>1827795.5748000001</v>
      </c>
      <c r="M788" t="s">
        <v>56</v>
      </c>
      <c r="N788" t="s">
        <v>57</v>
      </c>
      <c r="O788">
        <v>450</v>
      </c>
      <c r="P788" t="s">
        <v>3891</v>
      </c>
      <c r="Q788" t="s">
        <v>3892</v>
      </c>
      <c r="R788" t="s">
        <v>156</v>
      </c>
      <c r="S788" t="s">
        <v>4772</v>
      </c>
      <c r="T788" t="s">
        <v>452</v>
      </c>
      <c r="U788">
        <v>0</v>
      </c>
      <c r="V788">
        <v>2.7E-2</v>
      </c>
      <c r="W788" t="s">
        <v>52</v>
      </c>
      <c r="X788">
        <v>0.87009999999999998</v>
      </c>
      <c r="Y788">
        <v>1.0263</v>
      </c>
      <c r="Z788">
        <v>0.89639999999999997</v>
      </c>
      <c r="AA788">
        <v>0.90720000000000001</v>
      </c>
      <c r="AB788">
        <v>14.6755</v>
      </c>
      <c r="AC788">
        <v>14.6755</v>
      </c>
      <c r="AD788">
        <v>13.700799999999999</v>
      </c>
      <c r="AE788">
        <v>13.700799999999999</v>
      </c>
      <c r="AF788" t="s">
        <v>4773</v>
      </c>
      <c r="AG788" t="s">
        <v>4773</v>
      </c>
      <c r="AH788" t="s">
        <v>3894</v>
      </c>
      <c r="AI788" t="s">
        <v>3894</v>
      </c>
      <c r="AJ788" t="s">
        <v>3895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s="2">
        <v>2</v>
      </c>
      <c r="AS788" t="s">
        <v>3896</v>
      </c>
      <c r="AT788" t="s">
        <v>3890</v>
      </c>
      <c r="AU788" t="s">
        <v>3897</v>
      </c>
      <c r="AV788" t="s">
        <v>3898</v>
      </c>
      <c r="AW788">
        <v>2</v>
      </c>
      <c r="AX788">
        <v>0</v>
      </c>
    </row>
    <row r="789" spans="1:50" x14ac:dyDescent="0.25">
      <c r="A789" t="s">
        <v>4774</v>
      </c>
      <c r="B789" t="s">
        <v>3889</v>
      </c>
      <c r="C789" t="s">
        <v>3890</v>
      </c>
      <c r="D789">
        <v>31.978000000000002</v>
      </c>
      <c r="E789">
        <v>31.954999999999998</v>
      </c>
      <c r="F789" s="2">
        <v>1.1000000000000001E-3</v>
      </c>
      <c r="G789" t="s">
        <v>388</v>
      </c>
      <c r="H789" t="s">
        <v>1631</v>
      </c>
      <c r="I789">
        <v>440044.07449999999</v>
      </c>
      <c r="J789">
        <v>1827821.1868</v>
      </c>
      <c r="K789">
        <v>440044.07449999999</v>
      </c>
      <c r="L789">
        <v>1827801.0604999999</v>
      </c>
      <c r="M789" t="s">
        <v>56</v>
      </c>
      <c r="N789" t="s">
        <v>57</v>
      </c>
      <c r="O789">
        <v>450</v>
      </c>
      <c r="P789" t="s">
        <v>3891</v>
      </c>
      <c r="Q789" t="s">
        <v>3892</v>
      </c>
      <c r="R789" t="s">
        <v>390</v>
      </c>
      <c r="S789" t="s">
        <v>391</v>
      </c>
      <c r="T789" t="s">
        <v>1633</v>
      </c>
      <c r="U789">
        <v>0.15</v>
      </c>
      <c r="V789">
        <v>0.15</v>
      </c>
      <c r="W789" t="s">
        <v>52</v>
      </c>
      <c r="X789">
        <v>0.97160000000000002</v>
      </c>
      <c r="Y789">
        <v>1.0235000000000001</v>
      </c>
      <c r="Z789">
        <v>0.97160000000000002</v>
      </c>
      <c r="AA789">
        <v>1.0235000000000001</v>
      </c>
      <c r="AB789">
        <v>20.126300000000001</v>
      </c>
      <c r="AC789">
        <v>20.126300000000001</v>
      </c>
      <c r="AD789">
        <v>18.927099999999999</v>
      </c>
      <c r="AE789">
        <v>18.927099999999999</v>
      </c>
      <c r="AF789" t="s">
        <v>2233</v>
      </c>
      <c r="AG789" t="s">
        <v>2233</v>
      </c>
      <c r="AH789" t="s">
        <v>3894</v>
      </c>
      <c r="AI789" t="s">
        <v>3894</v>
      </c>
      <c r="AJ789" t="s">
        <v>3895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s="2">
        <v>2</v>
      </c>
      <c r="AS789" t="s">
        <v>3896</v>
      </c>
      <c r="AT789" t="s">
        <v>3890</v>
      </c>
      <c r="AU789" t="s">
        <v>3897</v>
      </c>
      <c r="AV789" t="s">
        <v>3898</v>
      </c>
      <c r="AW789">
        <v>2</v>
      </c>
      <c r="AX789">
        <v>0</v>
      </c>
    </row>
    <row r="790" spans="1:50" x14ac:dyDescent="0.25">
      <c r="A790" t="s">
        <v>4775</v>
      </c>
      <c r="B790" t="s">
        <v>3889</v>
      </c>
      <c r="C790" t="s">
        <v>3890</v>
      </c>
      <c r="D790">
        <v>33.006</v>
      </c>
      <c r="E790">
        <v>32.982999999999997</v>
      </c>
      <c r="F790" s="2">
        <v>1.1000000000000001E-3</v>
      </c>
      <c r="G790" t="s">
        <v>1786</v>
      </c>
      <c r="H790" t="s">
        <v>1789</v>
      </c>
      <c r="I790">
        <v>440044.07449999999</v>
      </c>
      <c r="J790">
        <v>1828182.8171000001</v>
      </c>
      <c r="K790">
        <v>440044.07449999999</v>
      </c>
      <c r="L790">
        <v>1828162.8171000001</v>
      </c>
      <c r="M790" t="s">
        <v>56</v>
      </c>
      <c r="N790" t="s">
        <v>57</v>
      </c>
      <c r="O790">
        <v>450</v>
      </c>
      <c r="P790" t="s">
        <v>3891</v>
      </c>
      <c r="Q790" t="s">
        <v>3892</v>
      </c>
      <c r="R790" t="s">
        <v>489</v>
      </c>
      <c r="S790" t="s">
        <v>452</v>
      </c>
      <c r="T790" t="s">
        <v>448</v>
      </c>
      <c r="U790">
        <v>0.15</v>
      </c>
      <c r="V790">
        <v>0.15</v>
      </c>
      <c r="W790" t="s">
        <v>52</v>
      </c>
      <c r="X790">
        <v>0.98850000000000005</v>
      </c>
      <c r="Y790">
        <v>1.0709</v>
      </c>
      <c r="Z790">
        <v>0.98850000000000005</v>
      </c>
      <c r="AA790">
        <v>1.0709</v>
      </c>
      <c r="AB790">
        <v>20</v>
      </c>
      <c r="AC790">
        <v>20</v>
      </c>
      <c r="AD790">
        <v>18.800799999999999</v>
      </c>
      <c r="AE790">
        <v>18.800799999999999</v>
      </c>
      <c r="AF790" t="s">
        <v>2233</v>
      </c>
      <c r="AG790" t="s">
        <v>2233</v>
      </c>
      <c r="AH790" t="s">
        <v>3894</v>
      </c>
      <c r="AI790" t="s">
        <v>3894</v>
      </c>
      <c r="AJ790" t="s">
        <v>3895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s="2">
        <v>2</v>
      </c>
      <c r="AS790" t="s">
        <v>3896</v>
      </c>
      <c r="AT790" t="s">
        <v>3890</v>
      </c>
      <c r="AU790" t="s">
        <v>3897</v>
      </c>
      <c r="AV790" t="s">
        <v>3898</v>
      </c>
      <c r="AW790">
        <v>2</v>
      </c>
      <c r="AX790">
        <v>0</v>
      </c>
    </row>
    <row r="791" spans="1:50" x14ac:dyDescent="0.25">
      <c r="A791" t="s">
        <v>4776</v>
      </c>
      <c r="B791" t="s">
        <v>3889</v>
      </c>
      <c r="C791" t="s">
        <v>3890</v>
      </c>
      <c r="D791">
        <v>33.006</v>
      </c>
      <c r="E791">
        <v>32.982999999999997</v>
      </c>
      <c r="F791" s="2">
        <v>1.1000000000000001E-3</v>
      </c>
      <c r="G791" t="s">
        <v>1803</v>
      </c>
      <c r="H791" t="s">
        <v>1805</v>
      </c>
      <c r="I791">
        <v>440053.7745</v>
      </c>
      <c r="J791">
        <v>1828182.8171000001</v>
      </c>
      <c r="K791">
        <v>440053.7745</v>
      </c>
      <c r="L791">
        <v>1828162.8171000001</v>
      </c>
      <c r="M791" t="s">
        <v>56</v>
      </c>
      <c r="N791" t="s">
        <v>57</v>
      </c>
      <c r="O791">
        <v>450</v>
      </c>
      <c r="P791" t="s">
        <v>3891</v>
      </c>
      <c r="Q791" t="s">
        <v>3892</v>
      </c>
      <c r="R791" t="s">
        <v>502</v>
      </c>
      <c r="S791" t="s">
        <v>452</v>
      </c>
      <c r="T791" t="s">
        <v>448</v>
      </c>
      <c r="U791">
        <v>1.15E-2</v>
      </c>
      <c r="V791">
        <v>1.15E-2</v>
      </c>
      <c r="W791" t="s">
        <v>52</v>
      </c>
      <c r="X791">
        <v>0.98850000000000005</v>
      </c>
      <c r="Y791">
        <v>1.0709</v>
      </c>
      <c r="Z791">
        <v>0.98850000000000005</v>
      </c>
      <c r="AA791">
        <v>1.0709</v>
      </c>
      <c r="AB791">
        <v>20</v>
      </c>
      <c r="AC791">
        <v>20</v>
      </c>
      <c r="AD791">
        <v>18.800799999999999</v>
      </c>
      <c r="AE791">
        <v>18.800799999999999</v>
      </c>
      <c r="AF791" t="s">
        <v>2233</v>
      </c>
      <c r="AG791" t="s">
        <v>2233</v>
      </c>
      <c r="AH791" t="s">
        <v>3894</v>
      </c>
      <c r="AI791" t="s">
        <v>3894</v>
      </c>
      <c r="AJ791" t="s">
        <v>3895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s="2">
        <v>2</v>
      </c>
      <c r="AS791" t="s">
        <v>3896</v>
      </c>
      <c r="AT791" t="s">
        <v>3890</v>
      </c>
      <c r="AU791" t="s">
        <v>3897</v>
      </c>
      <c r="AV791" t="s">
        <v>3898</v>
      </c>
      <c r="AW791">
        <v>2</v>
      </c>
      <c r="AX791">
        <v>0</v>
      </c>
    </row>
    <row r="792" spans="1:50" x14ac:dyDescent="0.25">
      <c r="A792" t="s">
        <v>1509</v>
      </c>
      <c r="B792" t="s">
        <v>3889</v>
      </c>
      <c r="C792" t="s">
        <v>3890</v>
      </c>
      <c r="D792">
        <v>33.259</v>
      </c>
      <c r="E792">
        <v>33.237000000000002</v>
      </c>
      <c r="F792" s="2">
        <v>1.1000000000000001E-3</v>
      </c>
      <c r="G792" t="s">
        <v>1508</v>
      </c>
      <c r="H792" t="s">
        <v>1511</v>
      </c>
      <c r="I792">
        <v>439951.17479999998</v>
      </c>
      <c r="J792">
        <v>1828205.8171000001</v>
      </c>
      <c r="K792">
        <v>439951.17479999998</v>
      </c>
      <c r="L792">
        <v>1828185.8171000001</v>
      </c>
      <c r="M792" t="s">
        <v>56</v>
      </c>
      <c r="N792" t="s">
        <v>57</v>
      </c>
      <c r="O792">
        <v>450</v>
      </c>
      <c r="P792" t="s">
        <v>3891</v>
      </c>
      <c r="Q792" t="s">
        <v>3892</v>
      </c>
      <c r="R792" t="s">
        <v>1510</v>
      </c>
      <c r="S792" t="s">
        <v>774</v>
      </c>
      <c r="T792" t="s">
        <v>452</v>
      </c>
      <c r="U792">
        <v>0.22500000000000001</v>
      </c>
      <c r="V792">
        <v>0.22500000000000001</v>
      </c>
      <c r="W792" t="s">
        <v>52</v>
      </c>
      <c r="X792">
        <v>0.88200000000000001</v>
      </c>
      <c r="Y792">
        <v>0.99299999999999999</v>
      </c>
      <c r="Z792">
        <v>0.88200000000000001</v>
      </c>
      <c r="AA792">
        <v>0.99299999999999999</v>
      </c>
      <c r="AB792">
        <v>20</v>
      </c>
      <c r="AC792">
        <v>20</v>
      </c>
      <c r="AD792">
        <v>18.800799999999999</v>
      </c>
      <c r="AE792">
        <v>18.800799999999999</v>
      </c>
      <c r="AF792" t="s">
        <v>4011</v>
      </c>
      <c r="AG792" t="s">
        <v>4011</v>
      </c>
      <c r="AH792" t="s">
        <v>3894</v>
      </c>
      <c r="AI792" t="s">
        <v>3894</v>
      </c>
      <c r="AJ792" t="s">
        <v>3895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s="2">
        <v>2</v>
      </c>
      <c r="AS792" t="s">
        <v>3896</v>
      </c>
      <c r="AT792" t="s">
        <v>3890</v>
      </c>
      <c r="AU792" t="s">
        <v>3897</v>
      </c>
      <c r="AV792" t="s">
        <v>3898</v>
      </c>
      <c r="AW792">
        <v>2</v>
      </c>
      <c r="AX792">
        <v>0</v>
      </c>
    </row>
    <row r="793" spans="1:50" x14ac:dyDescent="0.25">
      <c r="A793" t="s">
        <v>4777</v>
      </c>
      <c r="B793" t="s">
        <v>3889</v>
      </c>
      <c r="C793" t="s">
        <v>3890</v>
      </c>
      <c r="D793">
        <v>28.381</v>
      </c>
      <c r="E793">
        <v>28.361000000000001</v>
      </c>
      <c r="F793" s="2">
        <v>1E-3</v>
      </c>
      <c r="G793" t="s">
        <v>2834</v>
      </c>
      <c r="H793" t="s">
        <v>2837</v>
      </c>
      <c r="I793">
        <v>440529.67509999999</v>
      </c>
      <c r="J793">
        <v>1827658.2394999999</v>
      </c>
      <c r="K793">
        <v>440529.67509999999</v>
      </c>
      <c r="L793">
        <v>1827678.2394999999</v>
      </c>
      <c r="M793" t="s">
        <v>56</v>
      </c>
      <c r="N793" t="s">
        <v>57</v>
      </c>
      <c r="O793">
        <v>450</v>
      </c>
      <c r="P793" t="s">
        <v>3891</v>
      </c>
      <c r="Q793" t="s">
        <v>3892</v>
      </c>
      <c r="R793" t="s">
        <v>186</v>
      </c>
      <c r="S793" t="s">
        <v>448</v>
      </c>
      <c r="T793" t="s">
        <v>452</v>
      </c>
      <c r="U793">
        <v>0</v>
      </c>
      <c r="V793">
        <v>0</v>
      </c>
      <c r="W793" t="s">
        <v>52</v>
      </c>
      <c r="X793">
        <v>0.95</v>
      </c>
      <c r="Y793">
        <v>0.97</v>
      </c>
      <c r="Z793">
        <v>0.97</v>
      </c>
      <c r="AA793">
        <v>0.95</v>
      </c>
      <c r="AB793">
        <v>20</v>
      </c>
      <c r="AC793">
        <v>20</v>
      </c>
      <c r="AD793">
        <v>18.800699999999999</v>
      </c>
      <c r="AE793">
        <v>18.800699999999999</v>
      </c>
      <c r="AF793" t="s">
        <v>67</v>
      </c>
      <c r="AG793" t="s">
        <v>67</v>
      </c>
      <c r="AH793" t="s">
        <v>3894</v>
      </c>
      <c r="AI793" t="s">
        <v>3894</v>
      </c>
      <c r="AJ793" t="s">
        <v>3895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s="2">
        <v>2</v>
      </c>
      <c r="AS793" t="s">
        <v>3896</v>
      </c>
      <c r="AT793" t="s">
        <v>3890</v>
      </c>
      <c r="AU793" t="s">
        <v>3897</v>
      </c>
      <c r="AV793" t="s">
        <v>3898</v>
      </c>
      <c r="AW793">
        <v>2</v>
      </c>
      <c r="AX793">
        <v>0</v>
      </c>
    </row>
    <row r="794" spans="1:50" x14ac:dyDescent="0.25">
      <c r="A794" t="s">
        <v>4778</v>
      </c>
      <c r="B794" t="s">
        <v>3889</v>
      </c>
      <c r="C794" t="s">
        <v>3890</v>
      </c>
      <c r="D794">
        <v>28.111999999999998</v>
      </c>
      <c r="E794">
        <v>28.065999999999999</v>
      </c>
      <c r="F794" s="2">
        <v>2.3E-3</v>
      </c>
      <c r="G794" t="s">
        <v>2827</v>
      </c>
      <c r="H794" t="s">
        <v>2825</v>
      </c>
      <c r="I794">
        <v>440585.57510000002</v>
      </c>
      <c r="J794">
        <v>1827678.2394999999</v>
      </c>
      <c r="K794">
        <v>440585.57510000002</v>
      </c>
      <c r="L794">
        <v>1827658.2394999999</v>
      </c>
      <c r="M794" t="s">
        <v>56</v>
      </c>
      <c r="N794" t="s">
        <v>57</v>
      </c>
      <c r="O794">
        <v>450</v>
      </c>
      <c r="P794" t="s">
        <v>3891</v>
      </c>
      <c r="Q794" t="s">
        <v>3892</v>
      </c>
      <c r="R794" t="s">
        <v>357</v>
      </c>
      <c r="S794" t="s">
        <v>452</v>
      </c>
      <c r="T794" t="s">
        <v>448</v>
      </c>
      <c r="U794">
        <v>-7.2999999999999995E-2</v>
      </c>
      <c r="V794">
        <v>-6.2E-2</v>
      </c>
      <c r="W794" t="s">
        <v>52</v>
      </c>
      <c r="X794">
        <v>0.88200000000000001</v>
      </c>
      <c r="Y794">
        <v>0.9153</v>
      </c>
      <c r="Z794">
        <v>0.9153</v>
      </c>
      <c r="AA794">
        <v>0.88200000000000001</v>
      </c>
      <c r="AB794">
        <v>20</v>
      </c>
      <c r="AC794">
        <v>20.0001</v>
      </c>
      <c r="AD794">
        <v>18.801600000000001</v>
      </c>
      <c r="AE794">
        <v>18.8017</v>
      </c>
      <c r="AF794" t="s">
        <v>3905</v>
      </c>
      <c r="AG794" t="s">
        <v>3905</v>
      </c>
      <c r="AH794" t="s">
        <v>3894</v>
      </c>
      <c r="AI794" t="s">
        <v>3894</v>
      </c>
      <c r="AJ794" t="s">
        <v>3895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s="2">
        <v>2</v>
      </c>
      <c r="AS794" t="s">
        <v>3896</v>
      </c>
      <c r="AT794" t="s">
        <v>3890</v>
      </c>
      <c r="AU794" t="s">
        <v>3897</v>
      </c>
      <c r="AV794" t="s">
        <v>3898</v>
      </c>
      <c r="AW794">
        <v>2</v>
      </c>
      <c r="AX794">
        <v>0</v>
      </c>
    </row>
    <row r="795" spans="1:50" x14ac:dyDescent="0.25">
      <c r="A795" t="s">
        <v>4779</v>
      </c>
      <c r="B795" t="s">
        <v>3889</v>
      </c>
      <c r="C795" t="s">
        <v>3890</v>
      </c>
      <c r="D795">
        <v>28.376000000000001</v>
      </c>
      <c r="E795">
        <v>28.356000000000002</v>
      </c>
      <c r="F795" s="2">
        <v>1E-3</v>
      </c>
      <c r="G795" t="s">
        <v>2844</v>
      </c>
      <c r="H795" t="s">
        <v>2847</v>
      </c>
      <c r="I795">
        <v>440519.97509999998</v>
      </c>
      <c r="J795">
        <v>1827658.2394999999</v>
      </c>
      <c r="K795">
        <v>440519.97509999998</v>
      </c>
      <c r="L795">
        <v>1827678.2394999999</v>
      </c>
      <c r="M795" t="s">
        <v>56</v>
      </c>
      <c r="N795" t="s">
        <v>57</v>
      </c>
      <c r="O795">
        <v>450</v>
      </c>
      <c r="P795" t="s">
        <v>3891</v>
      </c>
      <c r="Q795" t="s">
        <v>3892</v>
      </c>
      <c r="R795" t="s">
        <v>191</v>
      </c>
      <c r="S795" t="s">
        <v>448</v>
      </c>
      <c r="T795" t="s">
        <v>452</v>
      </c>
      <c r="U795">
        <v>-7.5999999999999998E-2</v>
      </c>
      <c r="V795">
        <v>-7.5999999999999998E-2</v>
      </c>
      <c r="W795" t="s">
        <v>52</v>
      </c>
      <c r="X795">
        <v>0.95499999999999996</v>
      </c>
      <c r="Y795">
        <v>0.97499999999999998</v>
      </c>
      <c r="Z795">
        <v>0.97499999999999998</v>
      </c>
      <c r="AA795">
        <v>0.95499999999999996</v>
      </c>
      <c r="AB795">
        <v>20</v>
      </c>
      <c r="AC795">
        <v>20</v>
      </c>
      <c r="AD795">
        <v>18.800699999999999</v>
      </c>
      <c r="AE795">
        <v>18.800699999999999</v>
      </c>
      <c r="AF795" t="s">
        <v>67</v>
      </c>
      <c r="AG795" t="s">
        <v>67</v>
      </c>
      <c r="AH795" t="s">
        <v>3894</v>
      </c>
      <c r="AI795" t="s">
        <v>3894</v>
      </c>
      <c r="AJ795" t="s">
        <v>3895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s="2">
        <v>2</v>
      </c>
      <c r="AS795" t="s">
        <v>3896</v>
      </c>
      <c r="AT795" t="s">
        <v>3890</v>
      </c>
      <c r="AU795" t="s">
        <v>3897</v>
      </c>
      <c r="AV795" t="s">
        <v>3898</v>
      </c>
      <c r="AW795">
        <v>2</v>
      </c>
      <c r="AX795">
        <v>0</v>
      </c>
    </row>
    <row r="796" spans="1:50" x14ac:dyDescent="0.25">
      <c r="A796" t="s">
        <v>4780</v>
      </c>
      <c r="B796" t="s">
        <v>3889</v>
      </c>
      <c r="C796" t="s">
        <v>3890</v>
      </c>
      <c r="D796">
        <v>29.562000000000001</v>
      </c>
      <c r="E796">
        <v>29.547000000000001</v>
      </c>
      <c r="F796" s="2">
        <v>1.1000000000000001E-3</v>
      </c>
      <c r="G796" t="s">
        <v>3483</v>
      </c>
      <c r="H796" t="s">
        <v>3486</v>
      </c>
      <c r="I796">
        <v>440387.3751</v>
      </c>
      <c r="J796">
        <v>1827425.1986</v>
      </c>
      <c r="K796">
        <v>440387.3751</v>
      </c>
      <c r="L796">
        <v>1827438.4203999999</v>
      </c>
      <c r="M796" t="s">
        <v>56</v>
      </c>
      <c r="N796" t="s">
        <v>57</v>
      </c>
      <c r="O796">
        <v>450</v>
      </c>
      <c r="P796" t="s">
        <v>3891</v>
      </c>
      <c r="Q796" t="s">
        <v>3892</v>
      </c>
      <c r="R796" t="s">
        <v>117</v>
      </c>
      <c r="S796" t="s">
        <v>4060</v>
      </c>
      <c r="T796" t="s">
        <v>3488</v>
      </c>
      <c r="U796">
        <v>3.6400000000000002E-2</v>
      </c>
      <c r="V796">
        <v>3.6400000000000002E-2</v>
      </c>
      <c r="W796" t="s">
        <v>52</v>
      </c>
      <c r="X796">
        <v>0.83879999999999999</v>
      </c>
      <c r="Y796">
        <v>1.026</v>
      </c>
      <c r="Z796">
        <v>0.85860000000000003</v>
      </c>
      <c r="AA796">
        <v>1.0036</v>
      </c>
      <c r="AB796">
        <v>13.2218</v>
      </c>
      <c r="AC796">
        <v>13.2218</v>
      </c>
      <c r="AD796">
        <v>12.022600000000001</v>
      </c>
      <c r="AE796">
        <v>12.022600000000001</v>
      </c>
      <c r="AF796" t="s">
        <v>67</v>
      </c>
      <c r="AG796" t="s">
        <v>67</v>
      </c>
      <c r="AH796" t="s">
        <v>3894</v>
      </c>
      <c r="AI796" t="s">
        <v>3894</v>
      </c>
      <c r="AJ796" t="s">
        <v>3895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s="2">
        <v>2</v>
      </c>
      <c r="AS796" t="s">
        <v>3896</v>
      </c>
      <c r="AT796" t="s">
        <v>3890</v>
      </c>
      <c r="AU796" t="s">
        <v>3897</v>
      </c>
      <c r="AV796" t="s">
        <v>3898</v>
      </c>
      <c r="AW796">
        <v>2</v>
      </c>
      <c r="AX796">
        <v>0</v>
      </c>
    </row>
    <row r="797" spans="1:50" x14ac:dyDescent="0.25">
      <c r="A797" t="s">
        <v>4781</v>
      </c>
      <c r="B797" t="s">
        <v>3889</v>
      </c>
      <c r="C797" t="s">
        <v>3890</v>
      </c>
      <c r="D797">
        <v>29.038</v>
      </c>
      <c r="E797">
        <v>28.968</v>
      </c>
      <c r="F797" s="2">
        <v>3.5999999999999999E-3</v>
      </c>
      <c r="G797" t="s">
        <v>3716</v>
      </c>
      <c r="H797" t="s">
        <v>3713</v>
      </c>
      <c r="I797">
        <v>440398.47509999998</v>
      </c>
      <c r="J797">
        <v>1827570.1333999999</v>
      </c>
      <c r="K797">
        <v>440398.47509999998</v>
      </c>
      <c r="L797">
        <v>1827589.7609000001</v>
      </c>
      <c r="M797" t="s">
        <v>56</v>
      </c>
      <c r="N797" t="s">
        <v>57</v>
      </c>
      <c r="O797">
        <v>450</v>
      </c>
      <c r="P797" t="s">
        <v>3891</v>
      </c>
      <c r="Q797" t="s">
        <v>3892</v>
      </c>
      <c r="R797" t="s">
        <v>107</v>
      </c>
      <c r="S797" t="s">
        <v>3718</v>
      </c>
      <c r="T797" t="s">
        <v>1061</v>
      </c>
      <c r="U797">
        <v>-2.0000000000000001E-4</v>
      </c>
      <c r="V797">
        <v>-2.0000000000000001E-4</v>
      </c>
      <c r="W797" t="s">
        <v>52</v>
      </c>
      <c r="X797">
        <v>0.88239999999999996</v>
      </c>
      <c r="Y797">
        <v>0.88239999999999996</v>
      </c>
      <c r="Z797">
        <v>0.88239999999999996</v>
      </c>
      <c r="AA797">
        <v>0.88239999999999996</v>
      </c>
      <c r="AB797">
        <v>19.627500000000001</v>
      </c>
      <c r="AC797">
        <v>19.627600000000001</v>
      </c>
      <c r="AD797">
        <v>18.43</v>
      </c>
      <c r="AE797">
        <v>18.430099999999999</v>
      </c>
      <c r="AF797" t="s">
        <v>67</v>
      </c>
      <c r="AG797" t="s">
        <v>67</v>
      </c>
      <c r="AH797" t="s">
        <v>3894</v>
      </c>
      <c r="AI797" t="s">
        <v>3894</v>
      </c>
      <c r="AJ797" t="s">
        <v>3895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s="2">
        <v>2</v>
      </c>
      <c r="AS797" t="s">
        <v>3896</v>
      </c>
      <c r="AT797" t="s">
        <v>3890</v>
      </c>
      <c r="AU797" t="s">
        <v>3897</v>
      </c>
      <c r="AV797" t="s">
        <v>3898</v>
      </c>
      <c r="AW797">
        <v>2</v>
      </c>
      <c r="AX797">
        <v>0</v>
      </c>
    </row>
    <row r="798" spans="1:50" x14ac:dyDescent="0.25">
      <c r="A798" t="s">
        <v>1403</v>
      </c>
      <c r="B798" t="s">
        <v>3889</v>
      </c>
      <c r="C798" t="s">
        <v>3890</v>
      </c>
      <c r="D798">
        <v>33.259</v>
      </c>
      <c r="E798">
        <v>33.237000000000002</v>
      </c>
      <c r="F798" s="2">
        <v>1.1000000000000001E-3</v>
      </c>
      <c r="G798" t="s">
        <v>1402</v>
      </c>
      <c r="H798" t="s">
        <v>1406</v>
      </c>
      <c r="I798">
        <v>439962.27480000001</v>
      </c>
      <c r="J798">
        <v>1828205.8171000001</v>
      </c>
      <c r="K798">
        <v>439962.27480000001</v>
      </c>
      <c r="L798">
        <v>1828185.8171000001</v>
      </c>
      <c r="M798" t="s">
        <v>56</v>
      </c>
      <c r="N798" t="s">
        <v>57</v>
      </c>
      <c r="O798">
        <v>450</v>
      </c>
      <c r="P798" t="s">
        <v>3891</v>
      </c>
      <c r="Q798" t="s">
        <v>3892</v>
      </c>
      <c r="R798" t="s">
        <v>1404</v>
      </c>
      <c r="S798" t="s">
        <v>774</v>
      </c>
      <c r="T798" t="s">
        <v>452</v>
      </c>
      <c r="U798">
        <v>3.1800000000000002E-2</v>
      </c>
      <c r="V798">
        <v>2.3199999999999998E-2</v>
      </c>
      <c r="W798" t="s">
        <v>52</v>
      </c>
      <c r="X798">
        <v>0.88200000000000001</v>
      </c>
      <c r="Y798">
        <v>0.99299999999999999</v>
      </c>
      <c r="Z798">
        <v>0.88200000000000001</v>
      </c>
      <c r="AA798">
        <v>0.99299999999999999</v>
      </c>
      <c r="AB798">
        <v>20</v>
      </c>
      <c r="AC798">
        <v>20</v>
      </c>
      <c r="AD798">
        <v>18.800799999999999</v>
      </c>
      <c r="AE798">
        <v>18.800799999999999</v>
      </c>
      <c r="AF798" t="s">
        <v>4011</v>
      </c>
      <c r="AG798" t="s">
        <v>4011</v>
      </c>
      <c r="AH798" t="s">
        <v>3894</v>
      </c>
      <c r="AI798" t="s">
        <v>3894</v>
      </c>
      <c r="AJ798" t="s">
        <v>3895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>
        <v>2</v>
      </c>
      <c r="AS798" t="s">
        <v>3896</v>
      </c>
      <c r="AT798" t="s">
        <v>3890</v>
      </c>
      <c r="AU798" t="s">
        <v>3897</v>
      </c>
      <c r="AV798" t="s">
        <v>3898</v>
      </c>
      <c r="AW798">
        <v>2</v>
      </c>
      <c r="AX798">
        <v>0</v>
      </c>
    </row>
    <row r="799" spans="1:50" x14ac:dyDescent="0.25">
      <c r="A799" t="s">
        <v>4782</v>
      </c>
      <c r="B799" t="s">
        <v>3889</v>
      </c>
      <c r="C799" t="s">
        <v>3890</v>
      </c>
      <c r="D799">
        <v>28.706</v>
      </c>
      <c r="E799">
        <v>28.692</v>
      </c>
      <c r="F799" s="2">
        <v>1E-3</v>
      </c>
      <c r="G799" t="s">
        <v>258</v>
      </c>
      <c r="H799" t="s">
        <v>2686</v>
      </c>
      <c r="I799">
        <v>440581.12920000002</v>
      </c>
      <c r="J799">
        <v>1827894.6109</v>
      </c>
      <c r="K799">
        <v>440594.92509999999</v>
      </c>
      <c r="L799">
        <v>1827894.6109</v>
      </c>
      <c r="M799" t="s">
        <v>56</v>
      </c>
      <c r="N799" t="s">
        <v>57</v>
      </c>
      <c r="O799">
        <v>450</v>
      </c>
      <c r="P799" t="s">
        <v>3891</v>
      </c>
      <c r="Q799" t="s">
        <v>3892</v>
      </c>
      <c r="R799" t="s">
        <v>260</v>
      </c>
      <c r="S799" t="s">
        <v>261</v>
      </c>
      <c r="T799" s="1" t="s">
        <v>4276</v>
      </c>
      <c r="U799">
        <v>3.1600000000000003E-2</v>
      </c>
      <c r="V799">
        <v>2.3199999999999998E-2</v>
      </c>
      <c r="W799" t="s">
        <v>52</v>
      </c>
      <c r="X799">
        <v>0.92110000000000003</v>
      </c>
      <c r="Y799">
        <v>1.0876999999999999</v>
      </c>
      <c r="Z799">
        <v>1.0823</v>
      </c>
      <c r="AA799">
        <v>1.0876999999999999</v>
      </c>
      <c r="AB799">
        <v>13.7959</v>
      </c>
      <c r="AC799">
        <v>13.795999999999999</v>
      </c>
      <c r="AD799">
        <v>12.5967</v>
      </c>
      <c r="AE799">
        <v>12.5967</v>
      </c>
      <c r="AF799" t="s">
        <v>3893</v>
      </c>
      <c r="AG799" t="s">
        <v>3893</v>
      </c>
      <c r="AH799" t="s">
        <v>3894</v>
      </c>
      <c r="AI799" t="s">
        <v>3894</v>
      </c>
      <c r="AJ799" t="s">
        <v>3895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s="2">
        <v>2</v>
      </c>
      <c r="AS799" t="s">
        <v>3896</v>
      </c>
      <c r="AT799" t="s">
        <v>3890</v>
      </c>
      <c r="AU799" t="s">
        <v>3897</v>
      </c>
      <c r="AV799" t="s">
        <v>3898</v>
      </c>
      <c r="AW799">
        <v>2</v>
      </c>
      <c r="AX799">
        <v>0</v>
      </c>
    </row>
    <row r="800" spans="1:50" x14ac:dyDescent="0.25">
      <c r="A800" t="s">
        <v>2968</v>
      </c>
      <c r="B800" t="s">
        <v>3889</v>
      </c>
      <c r="C800" t="s">
        <v>3890</v>
      </c>
      <c r="D800">
        <v>29.367000000000001</v>
      </c>
      <c r="E800">
        <v>29.355</v>
      </c>
      <c r="F800" s="2">
        <v>1E-3</v>
      </c>
      <c r="G800" t="s">
        <v>2967</v>
      </c>
      <c r="H800" t="s">
        <v>2971</v>
      </c>
      <c r="I800">
        <v>440387.3751</v>
      </c>
      <c r="J800">
        <v>1827881.2960000001</v>
      </c>
      <c r="K800">
        <v>440387.3751</v>
      </c>
      <c r="L800">
        <v>1827869.7609000001</v>
      </c>
      <c r="M800" t="s">
        <v>56</v>
      </c>
      <c r="N800" t="s">
        <v>57</v>
      </c>
      <c r="O800">
        <v>450</v>
      </c>
      <c r="P800" t="s">
        <v>3891</v>
      </c>
      <c r="Q800" t="s">
        <v>3892</v>
      </c>
      <c r="R800" t="s">
        <v>117</v>
      </c>
      <c r="S800" t="s">
        <v>2969</v>
      </c>
      <c r="T800" t="s">
        <v>452</v>
      </c>
      <c r="U800">
        <v>3.6400000000000002E-2</v>
      </c>
      <c r="V800">
        <v>3.6400000000000002E-2</v>
      </c>
      <c r="W800" t="s">
        <v>52</v>
      </c>
      <c r="X800">
        <v>0.82909999999999995</v>
      </c>
      <c r="Y800">
        <v>1.0874999999999999</v>
      </c>
      <c r="Z800">
        <v>0.83130000000000004</v>
      </c>
      <c r="AA800">
        <v>1.0874999999999999</v>
      </c>
      <c r="AB800">
        <v>11.5351</v>
      </c>
      <c r="AC800">
        <v>11.5351</v>
      </c>
      <c r="AD800">
        <v>10.335800000000001</v>
      </c>
      <c r="AE800">
        <v>10.335800000000001</v>
      </c>
      <c r="AF800" t="s">
        <v>2233</v>
      </c>
      <c r="AG800" t="s">
        <v>2233</v>
      </c>
      <c r="AH800" t="s">
        <v>3894</v>
      </c>
      <c r="AI800" t="s">
        <v>3894</v>
      </c>
      <c r="AJ800" t="s">
        <v>3895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s="2">
        <v>2</v>
      </c>
      <c r="AS800" t="s">
        <v>3896</v>
      </c>
      <c r="AT800" t="s">
        <v>3890</v>
      </c>
      <c r="AU800" t="s">
        <v>3897</v>
      </c>
      <c r="AV800" t="s">
        <v>3898</v>
      </c>
      <c r="AW800">
        <v>2</v>
      </c>
      <c r="AX800">
        <v>0</v>
      </c>
    </row>
    <row r="801" spans="1:50" x14ac:dyDescent="0.25">
      <c r="A801" t="s">
        <v>4783</v>
      </c>
      <c r="B801" t="s">
        <v>3889</v>
      </c>
      <c r="C801" t="s">
        <v>3890</v>
      </c>
      <c r="D801">
        <v>29.257999999999999</v>
      </c>
      <c r="E801">
        <v>29.236000000000001</v>
      </c>
      <c r="F801" s="2">
        <v>1.1999999999999999E-3</v>
      </c>
      <c r="G801" t="s">
        <v>2197</v>
      </c>
      <c r="H801" t="s">
        <v>2201</v>
      </c>
      <c r="I801">
        <v>440323.97489999997</v>
      </c>
      <c r="J801">
        <v>1827693.1836999999</v>
      </c>
      <c r="K801">
        <v>440323.97489999997</v>
      </c>
      <c r="L801">
        <v>1827675.5748000001</v>
      </c>
      <c r="M801" t="s">
        <v>56</v>
      </c>
      <c r="N801" t="s">
        <v>57</v>
      </c>
      <c r="O801">
        <v>450</v>
      </c>
      <c r="P801" t="s">
        <v>3891</v>
      </c>
      <c r="Q801" t="s">
        <v>3892</v>
      </c>
      <c r="R801" t="s">
        <v>161</v>
      </c>
      <c r="S801" t="s">
        <v>3986</v>
      </c>
      <c r="T801" t="s">
        <v>2203</v>
      </c>
      <c r="U801">
        <v>0</v>
      </c>
      <c r="V801">
        <v>0</v>
      </c>
      <c r="W801" t="s">
        <v>52</v>
      </c>
      <c r="X801">
        <v>0.81159999999999999</v>
      </c>
      <c r="Y801">
        <v>1.0568</v>
      </c>
      <c r="Z801">
        <v>0.82689999999999997</v>
      </c>
      <c r="AA801">
        <v>1.0568</v>
      </c>
      <c r="AB801">
        <v>17.608899999999998</v>
      </c>
      <c r="AC801">
        <v>17.608899999999998</v>
      </c>
      <c r="AD801">
        <v>16.409800000000001</v>
      </c>
      <c r="AE801">
        <v>16.409800000000001</v>
      </c>
      <c r="AF801" t="s">
        <v>2233</v>
      </c>
      <c r="AG801" t="s">
        <v>2233</v>
      </c>
      <c r="AH801" t="s">
        <v>3894</v>
      </c>
      <c r="AI801" t="s">
        <v>3894</v>
      </c>
      <c r="AJ801" t="s">
        <v>3895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s="2">
        <v>2</v>
      </c>
      <c r="AS801" t="s">
        <v>3896</v>
      </c>
      <c r="AT801" t="s">
        <v>3890</v>
      </c>
      <c r="AU801" t="s">
        <v>3897</v>
      </c>
      <c r="AV801" t="s">
        <v>3898</v>
      </c>
      <c r="AW801">
        <v>2</v>
      </c>
      <c r="AX801">
        <v>0</v>
      </c>
    </row>
    <row r="802" spans="1:50" x14ac:dyDescent="0.25">
      <c r="A802" t="s">
        <v>4784</v>
      </c>
      <c r="B802" t="s">
        <v>3889</v>
      </c>
      <c r="C802" t="s">
        <v>3890</v>
      </c>
      <c r="D802">
        <v>29.547000000000001</v>
      </c>
      <c r="E802">
        <v>29.535</v>
      </c>
      <c r="F802" s="2">
        <v>1.1000000000000001E-3</v>
      </c>
      <c r="G802" t="s">
        <v>3486</v>
      </c>
      <c r="H802" t="s">
        <v>3490</v>
      </c>
      <c r="I802">
        <v>440387.3751</v>
      </c>
      <c r="J802">
        <v>1827438.4203999999</v>
      </c>
      <c r="K802">
        <v>440387.3751</v>
      </c>
      <c r="L802">
        <v>1827449.7609000001</v>
      </c>
      <c r="M802" t="s">
        <v>56</v>
      </c>
      <c r="N802" t="s">
        <v>57</v>
      </c>
      <c r="O802">
        <v>450</v>
      </c>
      <c r="P802" t="s">
        <v>3891</v>
      </c>
      <c r="Q802" t="s">
        <v>3892</v>
      </c>
      <c r="R802" t="s">
        <v>117</v>
      </c>
      <c r="S802" t="s">
        <v>3488</v>
      </c>
      <c r="T802" t="s">
        <v>824</v>
      </c>
      <c r="U802">
        <v>3.6400000000000002E-2</v>
      </c>
      <c r="V802">
        <v>3.6400000000000002E-2</v>
      </c>
      <c r="W802" t="s">
        <v>52</v>
      </c>
      <c r="X802">
        <v>0.95809999999999995</v>
      </c>
      <c r="Y802">
        <v>1.0036</v>
      </c>
      <c r="Z802">
        <v>1.0036</v>
      </c>
      <c r="AA802">
        <v>0.95809999999999995</v>
      </c>
      <c r="AB802">
        <v>11.3405</v>
      </c>
      <c r="AC802">
        <v>11.3405</v>
      </c>
      <c r="AD802">
        <v>10.1412</v>
      </c>
      <c r="AE802">
        <v>10.1412</v>
      </c>
      <c r="AF802" t="s">
        <v>67</v>
      </c>
      <c r="AG802" t="s">
        <v>67</v>
      </c>
      <c r="AH802" t="s">
        <v>3894</v>
      </c>
      <c r="AI802" t="s">
        <v>3894</v>
      </c>
      <c r="AJ802" t="s">
        <v>3895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s="2">
        <v>2</v>
      </c>
      <c r="AS802" t="s">
        <v>3896</v>
      </c>
      <c r="AT802" t="s">
        <v>3890</v>
      </c>
      <c r="AU802" t="s">
        <v>3897</v>
      </c>
      <c r="AV802" t="s">
        <v>3898</v>
      </c>
      <c r="AW802">
        <v>2</v>
      </c>
      <c r="AX802">
        <v>0</v>
      </c>
    </row>
    <row r="803" spans="1:50" x14ac:dyDescent="0.25">
      <c r="A803" t="s">
        <v>4785</v>
      </c>
      <c r="B803" t="s">
        <v>3889</v>
      </c>
      <c r="C803" t="s">
        <v>3890</v>
      </c>
      <c r="D803">
        <v>28.273</v>
      </c>
      <c r="E803">
        <v>28.228000000000002</v>
      </c>
      <c r="F803" s="2">
        <v>3.0999999999999999E-3</v>
      </c>
      <c r="G803" t="s">
        <v>2837</v>
      </c>
      <c r="H803" t="s">
        <v>2939</v>
      </c>
      <c r="I803">
        <v>440529.67509999999</v>
      </c>
      <c r="J803">
        <v>1827678.2394999999</v>
      </c>
      <c r="K803">
        <v>440529.67509999999</v>
      </c>
      <c r="L803">
        <v>1827692.7645</v>
      </c>
      <c r="M803" t="s">
        <v>56</v>
      </c>
      <c r="N803" t="s">
        <v>57</v>
      </c>
      <c r="O803">
        <v>450</v>
      </c>
      <c r="P803" t="s">
        <v>3891</v>
      </c>
      <c r="Q803" t="s">
        <v>3892</v>
      </c>
      <c r="R803" t="s">
        <v>186</v>
      </c>
      <c r="S803" t="s">
        <v>452</v>
      </c>
      <c r="T803" t="s">
        <v>4603</v>
      </c>
      <c r="U803">
        <v>0</v>
      </c>
      <c r="V803">
        <v>0</v>
      </c>
      <c r="W803" t="s">
        <v>52</v>
      </c>
      <c r="X803">
        <v>0.87629999999999997</v>
      </c>
      <c r="Y803">
        <v>1.0487</v>
      </c>
      <c r="Z803">
        <v>1.038</v>
      </c>
      <c r="AA803">
        <v>0.89670000000000005</v>
      </c>
      <c r="AB803">
        <v>14.675800000000001</v>
      </c>
      <c r="AC803">
        <v>14.675800000000001</v>
      </c>
      <c r="AD803">
        <v>13.702199999999999</v>
      </c>
      <c r="AE803">
        <v>13.702199999999999</v>
      </c>
      <c r="AF803" t="s">
        <v>67</v>
      </c>
      <c r="AG803" t="s">
        <v>67</v>
      </c>
      <c r="AH803" t="s">
        <v>3894</v>
      </c>
      <c r="AI803" t="s">
        <v>3894</v>
      </c>
      <c r="AJ803" t="s">
        <v>3895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s="2">
        <v>2</v>
      </c>
      <c r="AS803" t="s">
        <v>3896</v>
      </c>
      <c r="AT803" t="s">
        <v>3890</v>
      </c>
      <c r="AU803" t="s">
        <v>3897</v>
      </c>
      <c r="AV803" t="s">
        <v>3898</v>
      </c>
      <c r="AW803">
        <v>2</v>
      </c>
      <c r="AX803">
        <v>0</v>
      </c>
    </row>
    <row r="804" spans="1:50" x14ac:dyDescent="0.25">
      <c r="A804" t="s">
        <v>788</v>
      </c>
      <c r="B804" t="s">
        <v>3889</v>
      </c>
      <c r="C804" t="s">
        <v>3890</v>
      </c>
      <c r="D804">
        <v>28.123000000000001</v>
      </c>
      <c r="E804">
        <v>28.111999999999998</v>
      </c>
      <c r="F804" s="2">
        <v>1.1000000000000001E-3</v>
      </c>
      <c r="G804" t="s">
        <v>787</v>
      </c>
      <c r="H804" t="s">
        <v>2827</v>
      </c>
      <c r="I804">
        <v>440585.57510000002</v>
      </c>
      <c r="J804">
        <v>1827688.3254</v>
      </c>
      <c r="K804">
        <v>440585.57510000002</v>
      </c>
      <c r="L804">
        <v>1827678.2394999999</v>
      </c>
      <c r="M804" t="s">
        <v>56</v>
      </c>
      <c r="N804" t="s">
        <v>57</v>
      </c>
      <c r="O804">
        <v>450</v>
      </c>
      <c r="P804" t="s">
        <v>3891</v>
      </c>
      <c r="Q804" t="s">
        <v>3892</v>
      </c>
      <c r="R804" t="s">
        <v>357</v>
      </c>
      <c r="S804" t="s">
        <v>789</v>
      </c>
      <c r="T804" t="s">
        <v>452</v>
      </c>
      <c r="U804">
        <v>-7.8600000000000003E-2</v>
      </c>
      <c r="V804">
        <v>-7.2999999999999995E-2</v>
      </c>
      <c r="W804" t="s">
        <v>52</v>
      </c>
      <c r="X804">
        <v>0.9153</v>
      </c>
      <c r="Y804">
        <v>1.0077</v>
      </c>
      <c r="Z804">
        <v>1.0077</v>
      </c>
      <c r="AA804">
        <v>0.9153</v>
      </c>
      <c r="AB804">
        <v>10.085800000000001</v>
      </c>
      <c r="AC804">
        <v>10.085800000000001</v>
      </c>
      <c r="AD804">
        <v>8.8865999999999996</v>
      </c>
      <c r="AE804">
        <v>8.8865999999999996</v>
      </c>
      <c r="AF804" t="s">
        <v>2233</v>
      </c>
      <c r="AG804" t="s">
        <v>2233</v>
      </c>
      <c r="AH804" t="s">
        <v>3894</v>
      </c>
      <c r="AI804" t="s">
        <v>3894</v>
      </c>
      <c r="AJ804" t="s">
        <v>3895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s="2">
        <v>2</v>
      </c>
      <c r="AS804" t="s">
        <v>3896</v>
      </c>
      <c r="AT804" t="s">
        <v>3890</v>
      </c>
      <c r="AU804" t="s">
        <v>3897</v>
      </c>
      <c r="AV804" t="s">
        <v>3898</v>
      </c>
      <c r="AW804">
        <v>2</v>
      </c>
      <c r="AX804">
        <v>0</v>
      </c>
    </row>
    <row r="805" spans="1:50" x14ac:dyDescent="0.25">
      <c r="A805" t="s">
        <v>4786</v>
      </c>
      <c r="B805" t="s">
        <v>3889</v>
      </c>
      <c r="C805" t="s">
        <v>3890</v>
      </c>
      <c r="D805">
        <v>28.302</v>
      </c>
      <c r="E805">
        <v>28.257999999999999</v>
      </c>
      <c r="F805" s="2">
        <v>3.0000000000000001E-3</v>
      </c>
      <c r="G805" t="s">
        <v>2847</v>
      </c>
      <c r="H805" t="s">
        <v>2935</v>
      </c>
      <c r="I805">
        <v>440519.97509999998</v>
      </c>
      <c r="J805">
        <v>1827678.2394999999</v>
      </c>
      <c r="K805">
        <v>440519.97509999998</v>
      </c>
      <c r="L805">
        <v>1827692.9145</v>
      </c>
      <c r="M805" t="s">
        <v>56</v>
      </c>
      <c r="N805" t="s">
        <v>57</v>
      </c>
      <c r="O805">
        <v>450</v>
      </c>
      <c r="P805" t="s">
        <v>3891</v>
      </c>
      <c r="Q805" t="s">
        <v>3892</v>
      </c>
      <c r="R805" t="s">
        <v>191</v>
      </c>
      <c r="S805" t="s">
        <v>452</v>
      </c>
      <c r="T805" t="s">
        <v>4437</v>
      </c>
      <c r="U805">
        <v>-7.5999999999999998E-2</v>
      </c>
      <c r="V805">
        <v>-7.5999999999999998E-2</v>
      </c>
      <c r="W805" t="s">
        <v>52</v>
      </c>
      <c r="X805">
        <v>0.84599999999999997</v>
      </c>
      <c r="Y805">
        <v>1.0187999999999999</v>
      </c>
      <c r="Z805">
        <v>1.0089999999999999</v>
      </c>
      <c r="AA805">
        <v>0.86880000000000002</v>
      </c>
      <c r="AB805">
        <v>14.675800000000001</v>
      </c>
      <c r="AC805">
        <v>14.675800000000001</v>
      </c>
      <c r="AD805">
        <v>13.7021</v>
      </c>
      <c r="AE805">
        <v>13.702199999999999</v>
      </c>
      <c r="AF805" t="s">
        <v>67</v>
      </c>
      <c r="AG805" t="s">
        <v>67</v>
      </c>
      <c r="AH805" t="s">
        <v>3894</v>
      </c>
      <c r="AI805" t="s">
        <v>3894</v>
      </c>
      <c r="AJ805" t="s">
        <v>3895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s="2">
        <v>2</v>
      </c>
      <c r="AS805" t="s">
        <v>3896</v>
      </c>
      <c r="AT805" t="s">
        <v>3890</v>
      </c>
      <c r="AU805" t="s">
        <v>3897</v>
      </c>
      <c r="AV805" t="s">
        <v>3898</v>
      </c>
      <c r="AW805">
        <v>2</v>
      </c>
      <c r="AX805">
        <v>0</v>
      </c>
    </row>
    <row r="806" spans="1:50" x14ac:dyDescent="0.25">
      <c r="A806" t="s">
        <v>4787</v>
      </c>
      <c r="B806" t="s">
        <v>3889</v>
      </c>
      <c r="C806" t="s">
        <v>3890</v>
      </c>
      <c r="D806">
        <v>31.998000000000001</v>
      </c>
      <c r="E806">
        <v>31.975000000000001</v>
      </c>
      <c r="F806" s="2">
        <v>1.1000000000000001E-3</v>
      </c>
      <c r="G806" t="s">
        <v>1358</v>
      </c>
      <c r="H806" t="s">
        <v>1362</v>
      </c>
      <c r="I806">
        <v>440053.7745</v>
      </c>
      <c r="J806">
        <v>1827820.9783000001</v>
      </c>
      <c r="K806">
        <v>440053.7745</v>
      </c>
      <c r="L806">
        <v>1827799.3092</v>
      </c>
      <c r="M806" t="s">
        <v>56</v>
      </c>
      <c r="N806" t="s">
        <v>57</v>
      </c>
      <c r="O806">
        <v>450</v>
      </c>
      <c r="P806" t="s">
        <v>3891</v>
      </c>
      <c r="Q806" t="s">
        <v>3892</v>
      </c>
      <c r="R806" t="s">
        <v>381</v>
      </c>
      <c r="S806" t="s">
        <v>1360</v>
      </c>
      <c r="T806" t="s">
        <v>1364</v>
      </c>
      <c r="U806">
        <v>5.3E-3</v>
      </c>
      <c r="V806">
        <v>-1.1000000000000001E-3</v>
      </c>
      <c r="W806" t="s">
        <v>52</v>
      </c>
      <c r="X806">
        <v>0.95209999999999995</v>
      </c>
      <c r="Y806">
        <v>1.0048999999999999</v>
      </c>
      <c r="Z806">
        <v>0.95209999999999995</v>
      </c>
      <c r="AA806">
        <v>1.0048999999999999</v>
      </c>
      <c r="AB806">
        <v>21.6691</v>
      </c>
      <c r="AC806">
        <v>21.6692</v>
      </c>
      <c r="AD806">
        <v>20.469899999999999</v>
      </c>
      <c r="AE806">
        <v>20.469899999999999</v>
      </c>
      <c r="AF806" t="s">
        <v>2233</v>
      </c>
      <c r="AG806" t="s">
        <v>2233</v>
      </c>
      <c r="AH806" t="s">
        <v>3894</v>
      </c>
      <c r="AI806" t="s">
        <v>3894</v>
      </c>
      <c r="AJ806" t="s">
        <v>3895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s="2">
        <v>2</v>
      </c>
      <c r="AS806" t="s">
        <v>3896</v>
      </c>
      <c r="AT806" t="s">
        <v>3890</v>
      </c>
      <c r="AU806" t="s">
        <v>3897</v>
      </c>
      <c r="AV806" t="s">
        <v>3898</v>
      </c>
      <c r="AW806">
        <v>2</v>
      </c>
      <c r="AX806">
        <v>0</v>
      </c>
    </row>
    <row r="807" spans="1:50" x14ac:dyDescent="0.25">
      <c r="A807" t="s">
        <v>4788</v>
      </c>
      <c r="B807" t="s">
        <v>3889</v>
      </c>
      <c r="C807" t="s">
        <v>3890</v>
      </c>
      <c r="D807">
        <v>33.237000000000002</v>
      </c>
      <c r="E807">
        <v>33.216000000000001</v>
      </c>
      <c r="F807" s="2">
        <v>1.1000000000000001E-3</v>
      </c>
      <c r="G807" t="s">
        <v>1406</v>
      </c>
      <c r="H807" t="s">
        <v>1409</v>
      </c>
      <c r="I807">
        <v>439962.27480000001</v>
      </c>
      <c r="J807">
        <v>1828185.8171000001</v>
      </c>
      <c r="K807">
        <v>439962.27480000001</v>
      </c>
      <c r="L807">
        <v>1828165.8171000001</v>
      </c>
      <c r="M807" t="s">
        <v>56</v>
      </c>
      <c r="N807" t="s">
        <v>57</v>
      </c>
      <c r="O807">
        <v>450</v>
      </c>
      <c r="P807" t="s">
        <v>3891</v>
      </c>
      <c r="Q807" t="s">
        <v>3892</v>
      </c>
      <c r="R807" t="s">
        <v>1404</v>
      </c>
      <c r="S807" s="1" t="s">
        <v>452</v>
      </c>
      <c r="T807" t="s">
        <v>448</v>
      </c>
      <c r="U807">
        <v>2.3199999999999998E-2</v>
      </c>
      <c r="V807">
        <v>1.46E-2</v>
      </c>
      <c r="W807" t="s">
        <v>52</v>
      </c>
      <c r="X807">
        <v>0.99299999999999999</v>
      </c>
      <c r="Y807">
        <v>1.1031</v>
      </c>
      <c r="Z807">
        <v>0.99299999999999999</v>
      </c>
      <c r="AA807">
        <v>1.1031</v>
      </c>
      <c r="AB807">
        <v>20</v>
      </c>
      <c r="AC807">
        <v>20</v>
      </c>
      <c r="AD807">
        <v>18.800699999999999</v>
      </c>
      <c r="AE807">
        <v>18.800699999999999</v>
      </c>
      <c r="AF807" t="s">
        <v>4011</v>
      </c>
      <c r="AG807" t="s">
        <v>4011</v>
      </c>
      <c r="AH807" t="s">
        <v>3894</v>
      </c>
      <c r="AI807" t="s">
        <v>3894</v>
      </c>
      <c r="AJ807" t="s">
        <v>3895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s="2">
        <v>2</v>
      </c>
      <c r="AS807" t="s">
        <v>3896</v>
      </c>
      <c r="AT807" t="s">
        <v>3890</v>
      </c>
      <c r="AU807" t="s">
        <v>3897</v>
      </c>
      <c r="AV807" t="s">
        <v>3898</v>
      </c>
      <c r="AW807">
        <v>2</v>
      </c>
      <c r="AX807">
        <v>0</v>
      </c>
    </row>
    <row r="808" spans="1:50" x14ac:dyDescent="0.25">
      <c r="A808" t="s">
        <v>4789</v>
      </c>
      <c r="B808" t="s">
        <v>3963</v>
      </c>
      <c r="C808" t="s">
        <v>3890</v>
      </c>
      <c r="D808">
        <v>28.678000000000001</v>
      </c>
      <c r="E808">
        <v>28.661000000000001</v>
      </c>
      <c r="F808" s="2">
        <v>1E-3</v>
      </c>
      <c r="G808" t="s">
        <v>2876</v>
      </c>
      <c r="H808" t="s">
        <v>194</v>
      </c>
      <c r="I808">
        <v>440398.40010000003</v>
      </c>
      <c r="J808">
        <v>1827667.9465999999</v>
      </c>
      <c r="K808">
        <v>440398.40010000003</v>
      </c>
      <c r="L808">
        <v>1827684.8063000001</v>
      </c>
      <c r="M808" t="s">
        <v>56</v>
      </c>
      <c r="N808" t="s">
        <v>57</v>
      </c>
      <c r="O808">
        <v>600</v>
      </c>
      <c r="P808" t="s">
        <v>3891</v>
      </c>
      <c r="Q808" t="s">
        <v>3892</v>
      </c>
      <c r="R808" t="s">
        <v>107</v>
      </c>
      <c r="S808" t="s">
        <v>2878</v>
      </c>
      <c r="T808" t="s">
        <v>196</v>
      </c>
      <c r="U808">
        <v>7.4800000000000005E-2</v>
      </c>
      <c r="V808">
        <v>7.4800000000000005E-2</v>
      </c>
      <c r="W808" t="s">
        <v>52</v>
      </c>
      <c r="X808">
        <v>0.93059999999999998</v>
      </c>
      <c r="Y808">
        <v>0.99350000000000005</v>
      </c>
      <c r="Z808">
        <v>0.93059999999999998</v>
      </c>
      <c r="AA808">
        <v>0.99350000000000005</v>
      </c>
      <c r="AB808">
        <v>16.8597</v>
      </c>
      <c r="AC808">
        <v>16.8597</v>
      </c>
      <c r="AD808">
        <v>15.660600000000001</v>
      </c>
      <c r="AE808">
        <v>15.660600000000001</v>
      </c>
      <c r="AF808" t="s">
        <v>67</v>
      </c>
      <c r="AG808" t="s">
        <v>67</v>
      </c>
      <c r="AH808" t="s">
        <v>3894</v>
      </c>
      <c r="AI808" t="s">
        <v>3894</v>
      </c>
      <c r="AJ808" t="s">
        <v>3895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s="2">
        <v>2</v>
      </c>
      <c r="AS808" t="s">
        <v>3896</v>
      </c>
      <c r="AT808" t="s">
        <v>3890</v>
      </c>
      <c r="AU808" t="s">
        <v>3964</v>
      </c>
      <c r="AV808" t="s">
        <v>3898</v>
      </c>
      <c r="AW808">
        <v>2</v>
      </c>
      <c r="AX808">
        <v>0</v>
      </c>
    </row>
    <row r="809" spans="1:50" x14ac:dyDescent="0.25">
      <c r="A809" t="s">
        <v>165</v>
      </c>
      <c r="B809" t="s">
        <v>3889</v>
      </c>
      <c r="C809" t="s">
        <v>3890</v>
      </c>
      <c r="D809">
        <v>28.827999999999999</v>
      </c>
      <c r="E809">
        <v>28.794</v>
      </c>
      <c r="F809" s="2">
        <v>2.3E-3</v>
      </c>
      <c r="G809" t="s">
        <v>164</v>
      </c>
      <c r="H809" t="s">
        <v>3753</v>
      </c>
      <c r="I809">
        <v>440454.3751</v>
      </c>
      <c r="J809">
        <v>1827563.2171</v>
      </c>
      <c r="K809">
        <v>440454.3751</v>
      </c>
      <c r="L809">
        <v>1827578.2394999999</v>
      </c>
      <c r="M809" t="s">
        <v>56</v>
      </c>
      <c r="N809" t="s">
        <v>57</v>
      </c>
      <c r="O809">
        <v>450</v>
      </c>
      <c r="P809" t="s">
        <v>3891</v>
      </c>
      <c r="Q809" t="s">
        <v>3892</v>
      </c>
      <c r="R809" t="s">
        <v>166</v>
      </c>
      <c r="S809" t="s">
        <v>167</v>
      </c>
      <c r="T809" t="s">
        <v>432</v>
      </c>
      <c r="U809">
        <v>-0.13489999999999999</v>
      </c>
      <c r="V809">
        <v>-0.13489999999999999</v>
      </c>
      <c r="W809" t="s">
        <v>52</v>
      </c>
      <c r="X809">
        <v>0.88149999999999995</v>
      </c>
      <c r="Y809">
        <v>0.8821</v>
      </c>
      <c r="Z809">
        <v>0.88149999999999995</v>
      </c>
      <c r="AA809">
        <v>0.8821</v>
      </c>
      <c r="AB809">
        <v>15.022399999999999</v>
      </c>
      <c r="AC809">
        <v>15.022500000000001</v>
      </c>
      <c r="AD809">
        <v>13.824</v>
      </c>
      <c r="AE809">
        <v>13.824</v>
      </c>
      <c r="AF809" t="s">
        <v>67</v>
      </c>
      <c r="AG809" t="s">
        <v>67</v>
      </c>
      <c r="AH809" t="s">
        <v>3894</v>
      </c>
      <c r="AI809" t="s">
        <v>3894</v>
      </c>
      <c r="AJ809" t="s">
        <v>3895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s="2">
        <v>2</v>
      </c>
      <c r="AS809" t="s">
        <v>3896</v>
      </c>
      <c r="AT809" t="s">
        <v>3890</v>
      </c>
      <c r="AU809" t="s">
        <v>3897</v>
      </c>
      <c r="AV809" t="s">
        <v>3898</v>
      </c>
      <c r="AW809">
        <v>2</v>
      </c>
      <c r="AX809">
        <v>0</v>
      </c>
    </row>
    <row r="810" spans="1:50" x14ac:dyDescent="0.25">
      <c r="A810" t="s">
        <v>170</v>
      </c>
      <c r="B810" t="s">
        <v>3889</v>
      </c>
      <c r="C810" t="s">
        <v>3890</v>
      </c>
      <c r="D810">
        <v>28.827999999999999</v>
      </c>
      <c r="E810">
        <v>28.794</v>
      </c>
      <c r="F810" s="2">
        <v>2.2000000000000001E-3</v>
      </c>
      <c r="G810" t="s">
        <v>169</v>
      </c>
      <c r="H810" t="s">
        <v>3764</v>
      </c>
      <c r="I810">
        <v>440464.07510000002</v>
      </c>
      <c r="J810">
        <v>1827563.0829</v>
      </c>
      <c r="K810">
        <v>440464.07510000002</v>
      </c>
      <c r="L810">
        <v>1827578.2394999999</v>
      </c>
      <c r="M810" t="s">
        <v>56</v>
      </c>
      <c r="N810" t="s">
        <v>57</v>
      </c>
      <c r="O810">
        <v>450</v>
      </c>
      <c r="P810" t="s">
        <v>3891</v>
      </c>
      <c r="Q810" t="s">
        <v>3892</v>
      </c>
      <c r="R810" t="s">
        <v>171</v>
      </c>
      <c r="S810" t="s">
        <v>172</v>
      </c>
      <c r="T810" t="s">
        <v>432</v>
      </c>
      <c r="U810">
        <v>0</v>
      </c>
      <c r="V810">
        <v>0</v>
      </c>
      <c r="W810" t="s">
        <v>52</v>
      </c>
      <c r="X810">
        <v>0.88180000000000003</v>
      </c>
      <c r="Y810">
        <v>0.8821</v>
      </c>
      <c r="Z810">
        <v>0.88180000000000003</v>
      </c>
      <c r="AA810">
        <v>0.8821</v>
      </c>
      <c r="AB810">
        <v>15.156599999999999</v>
      </c>
      <c r="AC810">
        <v>15.156599999999999</v>
      </c>
      <c r="AD810">
        <v>13.9581</v>
      </c>
      <c r="AE810">
        <v>13.9582</v>
      </c>
      <c r="AF810" t="s">
        <v>67</v>
      </c>
      <c r="AG810" t="s">
        <v>67</v>
      </c>
      <c r="AH810" t="s">
        <v>3894</v>
      </c>
      <c r="AI810" t="s">
        <v>3894</v>
      </c>
      <c r="AJ810" t="s">
        <v>3895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s="2">
        <v>2</v>
      </c>
      <c r="AS810" t="s">
        <v>3896</v>
      </c>
      <c r="AT810" t="s">
        <v>3890</v>
      </c>
      <c r="AU810" t="s">
        <v>3897</v>
      </c>
      <c r="AV810" t="s">
        <v>3898</v>
      </c>
      <c r="AW810">
        <v>2</v>
      </c>
      <c r="AX810">
        <v>0</v>
      </c>
    </row>
    <row r="811" spans="1:50" x14ac:dyDescent="0.25">
      <c r="A811" t="s">
        <v>4790</v>
      </c>
      <c r="B811" t="s">
        <v>3889</v>
      </c>
      <c r="C811" t="s">
        <v>3890</v>
      </c>
      <c r="D811">
        <v>31.96</v>
      </c>
      <c r="E811">
        <v>31.94</v>
      </c>
      <c r="F811" s="2">
        <v>1E-3</v>
      </c>
      <c r="G811" t="s">
        <v>487</v>
      </c>
      <c r="H811" t="s">
        <v>1703</v>
      </c>
      <c r="I811">
        <v>440044.07449999999</v>
      </c>
      <c r="J811">
        <v>1827922.8370999999</v>
      </c>
      <c r="K811">
        <v>440044.07449999999</v>
      </c>
      <c r="L811">
        <v>1827942.8171000001</v>
      </c>
      <c r="M811" t="s">
        <v>56</v>
      </c>
      <c r="N811" t="s">
        <v>57</v>
      </c>
      <c r="O811">
        <v>450</v>
      </c>
      <c r="P811" t="s">
        <v>3891</v>
      </c>
      <c r="Q811" t="s">
        <v>3892</v>
      </c>
      <c r="R811" t="s">
        <v>489</v>
      </c>
      <c r="S811" t="s">
        <v>490</v>
      </c>
      <c r="T811" t="s">
        <v>1444</v>
      </c>
      <c r="U811">
        <v>0.15</v>
      </c>
      <c r="V811">
        <v>0.15</v>
      </c>
      <c r="W811" t="s">
        <v>52</v>
      </c>
      <c r="X811">
        <v>0.77129999999999999</v>
      </c>
      <c r="Y811">
        <v>0.90010000000000001</v>
      </c>
      <c r="Z811">
        <v>0.80069999999999997</v>
      </c>
      <c r="AA811">
        <v>0.90010000000000001</v>
      </c>
      <c r="AB811">
        <v>19.98</v>
      </c>
      <c r="AC811">
        <v>19.9801</v>
      </c>
      <c r="AD811">
        <v>18.7807</v>
      </c>
      <c r="AE811">
        <v>18.780799999999999</v>
      </c>
      <c r="AF811" t="s">
        <v>67</v>
      </c>
      <c r="AG811" t="s">
        <v>67</v>
      </c>
      <c r="AH811" t="s">
        <v>3894</v>
      </c>
      <c r="AI811" t="s">
        <v>3894</v>
      </c>
      <c r="AJ811" t="s">
        <v>3895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s="2">
        <v>2</v>
      </c>
      <c r="AS811" t="s">
        <v>3896</v>
      </c>
      <c r="AT811" t="s">
        <v>3890</v>
      </c>
      <c r="AU811" t="s">
        <v>3897</v>
      </c>
      <c r="AV811" t="s">
        <v>3898</v>
      </c>
      <c r="AW811">
        <v>2</v>
      </c>
      <c r="AX811">
        <v>0</v>
      </c>
    </row>
    <row r="812" spans="1:50" x14ac:dyDescent="0.25">
      <c r="A812" t="s">
        <v>4791</v>
      </c>
      <c r="B812" t="s">
        <v>3955</v>
      </c>
      <c r="C812" t="s">
        <v>3890</v>
      </c>
      <c r="D812">
        <v>27.803000000000001</v>
      </c>
      <c r="E812">
        <v>27.794</v>
      </c>
      <c r="F812" s="2">
        <v>1E-3</v>
      </c>
      <c r="G812" t="s">
        <v>3452</v>
      </c>
      <c r="H812" t="s">
        <v>112</v>
      </c>
      <c r="I812">
        <v>440586.00750000001</v>
      </c>
      <c r="J812">
        <v>1827384.5236</v>
      </c>
      <c r="K812">
        <v>440595.03320000001</v>
      </c>
      <c r="L812">
        <v>1827384.5236</v>
      </c>
      <c r="M812" t="s">
        <v>56</v>
      </c>
      <c r="N812" t="s">
        <v>57</v>
      </c>
      <c r="O812">
        <v>600</v>
      </c>
      <c r="P812" t="s">
        <v>109</v>
      </c>
      <c r="Q812" t="s">
        <v>3892</v>
      </c>
      <c r="R812" t="s">
        <v>54</v>
      </c>
      <c r="S812" t="s">
        <v>3454</v>
      </c>
      <c r="T812" s="1" t="s">
        <v>4792</v>
      </c>
      <c r="U812">
        <v>0</v>
      </c>
      <c r="V812">
        <v>0</v>
      </c>
      <c r="W812" t="s">
        <v>52</v>
      </c>
      <c r="X812">
        <v>1.3244</v>
      </c>
      <c r="Y812">
        <v>1.4966999999999999</v>
      </c>
      <c r="Z812">
        <v>1.3244</v>
      </c>
      <c r="AA812">
        <v>1.4966999999999999</v>
      </c>
      <c r="AB812">
        <v>9.0258000000000003</v>
      </c>
      <c r="AC812">
        <v>9.0258000000000003</v>
      </c>
      <c r="AD812">
        <v>7.8266</v>
      </c>
      <c r="AE812">
        <v>7.8266</v>
      </c>
      <c r="AF812" t="s">
        <v>183</v>
      </c>
      <c r="AG812" t="s">
        <v>183</v>
      </c>
      <c r="AH812" t="s">
        <v>3894</v>
      </c>
      <c r="AI812" t="s">
        <v>3894</v>
      </c>
      <c r="AJ812" t="s">
        <v>3895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s="2">
        <v>2</v>
      </c>
      <c r="AS812" t="s">
        <v>3896</v>
      </c>
      <c r="AT812" t="s">
        <v>3890</v>
      </c>
      <c r="AU812" t="s">
        <v>3956</v>
      </c>
      <c r="AV812" t="s">
        <v>3898</v>
      </c>
      <c r="AW812">
        <v>2</v>
      </c>
      <c r="AX812">
        <v>0</v>
      </c>
    </row>
    <row r="813" spans="1:50" x14ac:dyDescent="0.25">
      <c r="A813" t="s">
        <v>4793</v>
      </c>
      <c r="B813" t="s">
        <v>3928</v>
      </c>
      <c r="C813" t="s">
        <v>3890</v>
      </c>
      <c r="D813">
        <v>29.901</v>
      </c>
      <c r="E813">
        <v>29.891999999999999</v>
      </c>
      <c r="F813" s="2">
        <v>8.9999999999999998E-4</v>
      </c>
      <c r="G813" t="s">
        <v>1683</v>
      </c>
      <c r="H813" t="s">
        <v>1687</v>
      </c>
      <c r="I813">
        <v>440044.1495</v>
      </c>
      <c r="J813">
        <v>1827550.2588</v>
      </c>
      <c r="K813">
        <v>440053.69949999999</v>
      </c>
      <c r="L813">
        <v>1827550.2588</v>
      </c>
      <c r="M813" t="s">
        <v>56</v>
      </c>
      <c r="N813" t="s">
        <v>57</v>
      </c>
      <c r="O813">
        <v>900</v>
      </c>
      <c r="P813" t="s">
        <v>3929</v>
      </c>
      <c r="Q813" t="s">
        <v>3930</v>
      </c>
      <c r="R813" t="s">
        <v>132</v>
      </c>
      <c r="S813" t="s">
        <v>1685</v>
      </c>
      <c r="T813" t="s">
        <v>1689</v>
      </c>
      <c r="U813">
        <v>-0.05</v>
      </c>
      <c r="V813">
        <v>-0.05</v>
      </c>
      <c r="W813" t="s">
        <v>52</v>
      </c>
      <c r="X813">
        <v>1.2699</v>
      </c>
      <c r="Y813">
        <v>1.3580000000000001</v>
      </c>
      <c r="Z813">
        <v>1.2699</v>
      </c>
      <c r="AA813">
        <v>1.2788999999999999</v>
      </c>
      <c r="AB813">
        <v>9.5500000000000007</v>
      </c>
      <c r="AC813">
        <v>9.5500000000000007</v>
      </c>
      <c r="AD813">
        <v>8.3512000000000004</v>
      </c>
      <c r="AE813">
        <v>8.3512000000000004</v>
      </c>
      <c r="AF813" t="s">
        <v>3920</v>
      </c>
      <c r="AG813" t="s">
        <v>3920</v>
      </c>
      <c r="AH813" t="s">
        <v>3894</v>
      </c>
      <c r="AI813" t="s">
        <v>3894</v>
      </c>
      <c r="AJ813" t="s">
        <v>3895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s="2">
        <v>2</v>
      </c>
      <c r="AS813" t="s">
        <v>3896</v>
      </c>
      <c r="AT813" t="s">
        <v>3890</v>
      </c>
      <c r="AU813" t="s">
        <v>3931</v>
      </c>
      <c r="AV813" t="s">
        <v>3898</v>
      </c>
      <c r="AW813">
        <v>2</v>
      </c>
      <c r="AX813">
        <v>0</v>
      </c>
    </row>
    <row r="814" spans="1:50" x14ac:dyDescent="0.25">
      <c r="A814" t="s">
        <v>4794</v>
      </c>
      <c r="B814" t="s">
        <v>3924</v>
      </c>
      <c r="C814" t="s">
        <v>3890</v>
      </c>
      <c r="D814">
        <v>31.792000000000002</v>
      </c>
      <c r="E814">
        <v>31.782</v>
      </c>
      <c r="F814" s="2">
        <v>1.1000000000000001E-3</v>
      </c>
      <c r="G814" t="s">
        <v>1752</v>
      </c>
      <c r="H814" t="s">
        <v>1755</v>
      </c>
      <c r="I814">
        <v>440053.62449999998</v>
      </c>
      <c r="J814">
        <v>1828082.8171000001</v>
      </c>
      <c r="K814">
        <v>440053.62449999998</v>
      </c>
      <c r="L814">
        <v>1828091.7087999999</v>
      </c>
      <c r="M814" t="s">
        <v>56</v>
      </c>
      <c r="N814" t="s">
        <v>57</v>
      </c>
      <c r="O814">
        <v>750</v>
      </c>
      <c r="P814" t="s">
        <v>3891</v>
      </c>
      <c r="Q814" t="s">
        <v>3892</v>
      </c>
      <c r="R814" t="s">
        <v>502</v>
      </c>
      <c r="S814" t="s">
        <v>432</v>
      </c>
      <c r="T814" t="s">
        <v>4795</v>
      </c>
      <c r="U814">
        <v>0.1615</v>
      </c>
      <c r="V814">
        <v>0.1615</v>
      </c>
      <c r="W814" t="s">
        <v>52</v>
      </c>
      <c r="X814">
        <v>2.2410000000000001</v>
      </c>
      <c r="Y814">
        <v>2.4841000000000002</v>
      </c>
      <c r="Z814">
        <v>2.4824000000000002</v>
      </c>
      <c r="AA814">
        <v>2.2576000000000001</v>
      </c>
      <c r="AB814">
        <v>9.0424000000000007</v>
      </c>
      <c r="AC814">
        <v>9.0424000000000007</v>
      </c>
      <c r="AD814">
        <v>8.0678000000000001</v>
      </c>
      <c r="AE814">
        <v>8.0678000000000001</v>
      </c>
      <c r="AF814" t="s">
        <v>67</v>
      </c>
      <c r="AG814" t="s">
        <v>67</v>
      </c>
      <c r="AH814" t="s">
        <v>3894</v>
      </c>
      <c r="AI814" t="s">
        <v>3894</v>
      </c>
      <c r="AJ814" t="s">
        <v>3895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s="2">
        <v>2</v>
      </c>
      <c r="AS814" t="s">
        <v>3896</v>
      </c>
      <c r="AT814" t="s">
        <v>3890</v>
      </c>
      <c r="AU814" t="s">
        <v>3926</v>
      </c>
      <c r="AV814" t="s">
        <v>3898</v>
      </c>
      <c r="AW814">
        <v>2</v>
      </c>
      <c r="AX814">
        <v>0</v>
      </c>
    </row>
    <row r="815" spans="1:50" x14ac:dyDescent="0.25">
      <c r="A815" t="s">
        <v>4796</v>
      </c>
      <c r="B815" t="s">
        <v>3963</v>
      </c>
      <c r="C815" t="s">
        <v>3890</v>
      </c>
      <c r="D815">
        <v>31.805</v>
      </c>
      <c r="E815">
        <v>31.795999999999999</v>
      </c>
      <c r="F815" s="2">
        <v>1E-3</v>
      </c>
      <c r="G815" t="s">
        <v>1724</v>
      </c>
      <c r="H815" t="s">
        <v>1727</v>
      </c>
      <c r="I815">
        <v>440044.1495</v>
      </c>
      <c r="J815">
        <v>1828082.8171000001</v>
      </c>
      <c r="K815">
        <v>440044.1495</v>
      </c>
      <c r="L815">
        <v>1828091.7087999999</v>
      </c>
      <c r="M815" t="s">
        <v>56</v>
      </c>
      <c r="N815" t="s">
        <v>57</v>
      </c>
      <c r="O815">
        <v>600</v>
      </c>
      <c r="P815" t="s">
        <v>3891</v>
      </c>
      <c r="Q815" t="s">
        <v>3892</v>
      </c>
      <c r="R815" t="s">
        <v>489</v>
      </c>
      <c r="S815" t="s">
        <v>432</v>
      </c>
      <c r="T815" t="s">
        <v>4795</v>
      </c>
      <c r="U815">
        <v>7.4999999999999997E-2</v>
      </c>
      <c r="V815">
        <v>7.4999999999999997E-2</v>
      </c>
      <c r="W815" t="s">
        <v>52</v>
      </c>
      <c r="X815">
        <v>2.4676</v>
      </c>
      <c r="Y815">
        <v>2.4725000000000001</v>
      </c>
      <c r="Z815">
        <v>2.4708999999999999</v>
      </c>
      <c r="AA815">
        <v>2.4676</v>
      </c>
      <c r="AB815">
        <v>9.0466999999999995</v>
      </c>
      <c r="AC815">
        <v>9.0466999999999995</v>
      </c>
      <c r="AD815">
        <v>8.0676000000000005</v>
      </c>
      <c r="AE815">
        <v>8.0676000000000005</v>
      </c>
      <c r="AF815" t="s">
        <v>67</v>
      </c>
      <c r="AG815" t="s">
        <v>67</v>
      </c>
      <c r="AH815" t="s">
        <v>3894</v>
      </c>
      <c r="AI815" t="s">
        <v>3894</v>
      </c>
      <c r="AJ815" t="s">
        <v>3895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s="2">
        <v>2</v>
      </c>
      <c r="AS815" t="s">
        <v>3896</v>
      </c>
      <c r="AT815" t="s">
        <v>3890</v>
      </c>
      <c r="AU815" t="s">
        <v>3964</v>
      </c>
      <c r="AV815" t="s">
        <v>3898</v>
      </c>
      <c r="AW815">
        <v>2</v>
      </c>
      <c r="AX815">
        <v>0</v>
      </c>
    </row>
    <row r="816" spans="1:50" x14ac:dyDescent="0.25">
      <c r="A816" t="s">
        <v>4797</v>
      </c>
      <c r="B816" t="s">
        <v>3933</v>
      </c>
      <c r="C816" t="s">
        <v>3890</v>
      </c>
      <c r="D816">
        <v>31.673999999999999</v>
      </c>
      <c r="E816">
        <v>31.663</v>
      </c>
      <c r="F816" s="2">
        <v>1.1000000000000001E-3</v>
      </c>
      <c r="G816" t="s">
        <v>1240</v>
      </c>
      <c r="H816" t="s">
        <v>1243</v>
      </c>
      <c r="I816">
        <v>440198.84980000003</v>
      </c>
      <c r="J816">
        <v>1828091.6338</v>
      </c>
      <c r="K816">
        <v>440198.84980000003</v>
      </c>
      <c r="L816">
        <v>1828081.8171000001</v>
      </c>
      <c r="M816" t="s">
        <v>56</v>
      </c>
      <c r="N816" t="s">
        <v>57</v>
      </c>
      <c r="O816">
        <v>750</v>
      </c>
      <c r="P816" t="s">
        <v>58</v>
      </c>
      <c r="Q816" t="s">
        <v>3919</v>
      </c>
      <c r="R816" t="s">
        <v>146</v>
      </c>
      <c r="S816" t="s">
        <v>4798</v>
      </c>
      <c r="T816" t="s">
        <v>1245</v>
      </c>
      <c r="U816">
        <v>0.05</v>
      </c>
      <c r="V816">
        <v>0.05</v>
      </c>
      <c r="W816" t="s">
        <v>52</v>
      </c>
      <c r="X816">
        <v>1.1494</v>
      </c>
      <c r="Y816">
        <v>1.2994000000000001</v>
      </c>
      <c r="Z816">
        <v>1.1805000000000001</v>
      </c>
      <c r="AA816">
        <v>1.1685000000000001</v>
      </c>
      <c r="AB816">
        <v>9.8167000000000009</v>
      </c>
      <c r="AC816">
        <v>9.8167000000000009</v>
      </c>
      <c r="AD816">
        <v>8.6179000000000006</v>
      </c>
      <c r="AE816">
        <v>8.6179000000000006</v>
      </c>
      <c r="AF816" t="s">
        <v>2233</v>
      </c>
      <c r="AG816" t="s">
        <v>2233</v>
      </c>
      <c r="AH816" t="s">
        <v>3894</v>
      </c>
      <c r="AI816" t="s">
        <v>3894</v>
      </c>
      <c r="AJ816" t="s">
        <v>3895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s="2">
        <v>2</v>
      </c>
      <c r="AS816" t="s">
        <v>3896</v>
      </c>
      <c r="AT816" t="s">
        <v>3890</v>
      </c>
      <c r="AU816" t="s">
        <v>3935</v>
      </c>
      <c r="AV816" t="s">
        <v>3898</v>
      </c>
      <c r="AW816">
        <v>2</v>
      </c>
      <c r="AX816">
        <v>0</v>
      </c>
    </row>
    <row r="817" spans="1:50" x14ac:dyDescent="0.25">
      <c r="A817" t="s">
        <v>4799</v>
      </c>
      <c r="B817" t="s">
        <v>3963</v>
      </c>
      <c r="C817" t="s">
        <v>3890</v>
      </c>
      <c r="D817">
        <v>31.795999999999999</v>
      </c>
      <c r="E817">
        <v>31.786999999999999</v>
      </c>
      <c r="F817" s="2">
        <v>1E-3</v>
      </c>
      <c r="G817" t="s">
        <v>1727</v>
      </c>
      <c r="H817" t="s">
        <v>1755</v>
      </c>
      <c r="I817">
        <v>440044.5245</v>
      </c>
      <c r="J817">
        <v>1828091.8588</v>
      </c>
      <c r="K817">
        <v>440053.7745</v>
      </c>
      <c r="L817">
        <v>1828091.7087999999</v>
      </c>
      <c r="M817" t="s">
        <v>56</v>
      </c>
      <c r="N817" t="s">
        <v>57</v>
      </c>
      <c r="O817">
        <v>600</v>
      </c>
      <c r="P817" t="s">
        <v>3891</v>
      </c>
      <c r="Q817" t="s">
        <v>3892</v>
      </c>
      <c r="R817" t="s">
        <v>1234</v>
      </c>
      <c r="S817" t="s">
        <v>1729</v>
      </c>
      <c r="T817" t="s">
        <v>4800</v>
      </c>
      <c r="U817">
        <v>0.22500000000000001</v>
      </c>
      <c r="V817">
        <v>7.4999999999999997E-2</v>
      </c>
      <c r="W817" t="s">
        <v>52</v>
      </c>
      <c r="X817">
        <v>2.25</v>
      </c>
      <c r="Y817">
        <v>2.4597000000000002</v>
      </c>
      <c r="Z817">
        <v>2.4597000000000002</v>
      </c>
      <c r="AA817">
        <v>2.25</v>
      </c>
      <c r="AB817">
        <v>8.9894999999999996</v>
      </c>
      <c r="AC817">
        <v>8.9894999999999996</v>
      </c>
      <c r="AD817">
        <v>7.7912999999999997</v>
      </c>
      <c r="AE817">
        <v>7.7912999999999997</v>
      </c>
      <c r="AF817" t="s">
        <v>4801</v>
      </c>
      <c r="AG817" t="s">
        <v>4801</v>
      </c>
      <c r="AH817" t="s">
        <v>3894</v>
      </c>
      <c r="AI817" t="s">
        <v>3894</v>
      </c>
      <c r="AJ817" t="s">
        <v>3895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s="2">
        <v>2</v>
      </c>
      <c r="AS817" t="s">
        <v>3896</v>
      </c>
      <c r="AT817" t="s">
        <v>3890</v>
      </c>
      <c r="AU817" t="s">
        <v>3964</v>
      </c>
      <c r="AV817" t="s">
        <v>3898</v>
      </c>
      <c r="AW817">
        <v>2</v>
      </c>
      <c r="AX817">
        <v>0</v>
      </c>
    </row>
    <row r="818" spans="1:50" x14ac:dyDescent="0.25">
      <c r="A818" t="s">
        <v>4802</v>
      </c>
      <c r="B818" t="s">
        <v>3963</v>
      </c>
      <c r="C818" t="s">
        <v>3890</v>
      </c>
      <c r="D818">
        <v>32.921999999999997</v>
      </c>
      <c r="E818">
        <v>32.912999999999997</v>
      </c>
      <c r="F818" s="2">
        <v>1E-3</v>
      </c>
      <c r="G818" t="s">
        <v>1798</v>
      </c>
      <c r="H818" t="s">
        <v>1811</v>
      </c>
      <c r="I818">
        <v>440044.1495</v>
      </c>
      <c r="J818">
        <v>1828102.6588000001</v>
      </c>
      <c r="K818">
        <v>440053.48830000003</v>
      </c>
      <c r="L818">
        <v>1828102.6588000001</v>
      </c>
      <c r="M818" t="s">
        <v>56</v>
      </c>
      <c r="N818" t="s">
        <v>57</v>
      </c>
      <c r="O818">
        <v>600</v>
      </c>
      <c r="P818" t="s">
        <v>3891</v>
      </c>
      <c r="Q818" t="s">
        <v>3892</v>
      </c>
      <c r="R818" t="s">
        <v>1220</v>
      </c>
      <c r="S818" t="s">
        <v>1685</v>
      </c>
      <c r="T818" t="s">
        <v>1813</v>
      </c>
      <c r="U818">
        <v>-7.4999999999999997E-2</v>
      </c>
      <c r="V818">
        <v>-7.4999999999999997E-2</v>
      </c>
      <c r="W818" t="s">
        <v>52</v>
      </c>
      <c r="X818">
        <v>1.1288</v>
      </c>
      <c r="Y818">
        <v>1.3090999999999999</v>
      </c>
      <c r="Z818">
        <v>1.3090999999999999</v>
      </c>
      <c r="AA818">
        <v>1.1288</v>
      </c>
      <c r="AB818">
        <v>8.9638000000000009</v>
      </c>
      <c r="AC818">
        <v>8.9638000000000009</v>
      </c>
      <c r="AD818">
        <v>7.7645999999999997</v>
      </c>
      <c r="AE818">
        <v>7.7645999999999997</v>
      </c>
      <c r="AF818" t="s">
        <v>183</v>
      </c>
      <c r="AG818" t="s">
        <v>183</v>
      </c>
      <c r="AH818" t="s">
        <v>3894</v>
      </c>
      <c r="AI818" t="s">
        <v>3894</v>
      </c>
      <c r="AJ818" t="s">
        <v>3895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2</v>
      </c>
      <c r="AS818" t="s">
        <v>3896</v>
      </c>
      <c r="AT818" t="s">
        <v>3890</v>
      </c>
      <c r="AU818" t="s">
        <v>3964</v>
      </c>
      <c r="AV818" t="s">
        <v>3898</v>
      </c>
      <c r="AW818">
        <v>2</v>
      </c>
      <c r="AX818">
        <v>0</v>
      </c>
    </row>
    <row r="819" spans="1:50" x14ac:dyDescent="0.25">
      <c r="A819" t="s">
        <v>4803</v>
      </c>
      <c r="B819" t="s">
        <v>3963</v>
      </c>
      <c r="C819" t="s">
        <v>3890</v>
      </c>
      <c r="D819">
        <v>29.417999999999999</v>
      </c>
      <c r="E819">
        <v>29.408999999999999</v>
      </c>
      <c r="F819" s="2">
        <v>1E-3</v>
      </c>
      <c r="G819" t="s">
        <v>1081</v>
      </c>
      <c r="H819" t="s">
        <v>1099</v>
      </c>
      <c r="I819">
        <v>440258.1079</v>
      </c>
      <c r="J819">
        <v>1827703.7145</v>
      </c>
      <c r="K819">
        <v>440248.67489999998</v>
      </c>
      <c r="L819">
        <v>1827703.7145</v>
      </c>
      <c r="M819" t="s">
        <v>56</v>
      </c>
      <c r="N819" t="s">
        <v>57</v>
      </c>
      <c r="O819">
        <v>600</v>
      </c>
      <c r="P819" t="s">
        <v>3891</v>
      </c>
      <c r="Q819" t="s">
        <v>3892</v>
      </c>
      <c r="R819" t="s">
        <v>1056</v>
      </c>
      <c r="S819" t="s">
        <v>1083</v>
      </c>
      <c r="T819" t="s">
        <v>1101</v>
      </c>
      <c r="U819">
        <v>0</v>
      </c>
      <c r="V819">
        <v>0</v>
      </c>
      <c r="W819" t="s">
        <v>52</v>
      </c>
      <c r="X819">
        <v>1.218</v>
      </c>
      <c r="Y819">
        <v>1.4031</v>
      </c>
      <c r="Z819">
        <v>1.218</v>
      </c>
      <c r="AA819">
        <v>1.3454999999999999</v>
      </c>
      <c r="AB819">
        <v>9.4329999999999998</v>
      </c>
      <c r="AC819">
        <v>9.4329999999999998</v>
      </c>
      <c r="AD819">
        <v>8.2338000000000005</v>
      </c>
      <c r="AE819">
        <v>8.2338000000000005</v>
      </c>
      <c r="AF819" t="s">
        <v>4630</v>
      </c>
      <c r="AG819" t="s">
        <v>4630</v>
      </c>
      <c r="AH819" t="s">
        <v>3894</v>
      </c>
      <c r="AI819" t="s">
        <v>3894</v>
      </c>
      <c r="AJ819" t="s">
        <v>3895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s="2">
        <v>2</v>
      </c>
      <c r="AS819" t="s">
        <v>3896</v>
      </c>
      <c r="AT819" t="s">
        <v>3890</v>
      </c>
      <c r="AU819" t="s">
        <v>3964</v>
      </c>
      <c r="AV819" t="s">
        <v>3898</v>
      </c>
      <c r="AW819">
        <v>2</v>
      </c>
      <c r="AX819">
        <v>0</v>
      </c>
    </row>
    <row r="820" spans="1:50" x14ac:dyDescent="0.25">
      <c r="A820" t="s">
        <v>4804</v>
      </c>
      <c r="B820" t="s">
        <v>4805</v>
      </c>
      <c r="C820" t="s">
        <v>3890</v>
      </c>
      <c r="D820">
        <v>27.79</v>
      </c>
      <c r="E820">
        <v>27.777999999999999</v>
      </c>
      <c r="F820" s="2">
        <v>8.9999999999999998E-4</v>
      </c>
      <c r="G820" t="s">
        <v>3622</v>
      </c>
      <c r="H820" t="s">
        <v>3626</v>
      </c>
      <c r="I820">
        <v>440529.60009999998</v>
      </c>
      <c r="J820">
        <v>1827517.9859</v>
      </c>
      <c r="K820">
        <v>440529.60009999998</v>
      </c>
      <c r="L820">
        <v>1827531.5088</v>
      </c>
      <c r="M820" t="s">
        <v>56</v>
      </c>
      <c r="N820" t="s">
        <v>57</v>
      </c>
      <c r="O820">
        <v>600</v>
      </c>
      <c r="P820" t="s">
        <v>3891</v>
      </c>
      <c r="Q820" t="s">
        <v>3892</v>
      </c>
      <c r="R820" t="s">
        <v>362</v>
      </c>
      <c r="S820" t="s">
        <v>3620</v>
      </c>
      <c r="T820" s="1" t="s">
        <v>4806</v>
      </c>
      <c r="U820">
        <v>7.4999999999999997E-2</v>
      </c>
      <c r="V820">
        <v>7.4999999999999997E-2</v>
      </c>
      <c r="W820" t="s">
        <v>52</v>
      </c>
      <c r="X820">
        <v>1.0438000000000001</v>
      </c>
      <c r="Y820">
        <v>1.4060999999999999</v>
      </c>
      <c r="Z820">
        <v>1.0568</v>
      </c>
      <c r="AA820">
        <v>1.3453999999999999</v>
      </c>
      <c r="AB820">
        <v>13.459099999999999</v>
      </c>
      <c r="AC820">
        <v>13.459099999999999</v>
      </c>
      <c r="AD820">
        <v>12.4847</v>
      </c>
      <c r="AE820">
        <v>12.4847</v>
      </c>
      <c r="AF820" t="s">
        <v>67</v>
      </c>
      <c r="AG820" t="s">
        <v>67</v>
      </c>
      <c r="AH820" t="s">
        <v>3894</v>
      </c>
      <c r="AI820" t="s">
        <v>3894</v>
      </c>
      <c r="AJ820" t="s">
        <v>3895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s="2">
        <v>2</v>
      </c>
      <c r="AS820" t="s">
        <v>3896</v>
      </c>
      <c r="AT820" t="s">
        <v>3890</v>
      </c>
      <c r="AU820" t="s">
        <v>3964</v>
      </c>
      <c r="AV820" t="s">
        <v>3898</v>
      </c>
      <c r="AW820">
        <v>2</v>
      </c>
      <c r="AX820">
        <v>0</v>
      </c>
    </row>
    <row r="821" spans="1:50" x14ac:dyDescent="0.25">
      <c r="A821" t="s">
        <v>4807</v>
      </c>
      <c r="B821" t="s">
        <v>3924</v>
      </c>
      <c r="C821" t="s">
        <v>3890</v>
      </c>
      <c r="D821">
        <v>28.56</v>
      </c>
      <c r="E821">
        <v>28.547999999999998</v>
      </c>
      <c r="F821" s="2">
        <v>1E-3</v>
      </c>
      <c r="G821" t="s">
        <v>2153</v>
      </c>
      <c r="H821" t="s">
        <v>154</v>
      </c>
      <c r="I821">
        <v>440314.42489999998</v>
      </c>
      <c r="J821">
        <v>1827575.5748000001</v>
      </c>
      <c r="K821">
        <v>440314.42489999998</v>
      </c>
      <c r="L821">
        <v>1827563.4069000001</v>
      </c>
      <c r="M821" t="s">
        <v>56</v>
      </c>
      <c r="N821" t="s">
        <v>57</v>
      </c>
      <c r="O821">
        <v>750</v>
      </c>
      <c r="P821" t="s">
        <v>3891</v>
      </c>
      <c r="Q821" t="s">
        <v>3892</v>
      </c>
      <c r="R821" t="s">
        <v>156</v>
      </c>
      <c r="S821" t="s">
        <v>525</v>
      </c>
      <c r="T821" t="s">
        <v>157</v>
      </c>
      <c r="U821">
        <v>-0.123</v>
      </c>
      <c r="V821">
        <v>-0.123</v>
      </c>
      <c r="W821" t="s">
        <v>52</v>
      </c>
      <c r="X821">
        <v>2.1943000000000001</v>
      </c>
      <c r="Y821">
        <v>2.2776000000000001</v>
      </c>
      <c r="Z821">
        <v>2.1943000000000001</v>
      </c>
      <c r="AA821">
        <v>2.2776000000000001</v>
      </c>
      <c r="AB821">
        <v>12.167899999999999</v>
      </c>
      <c r="AC821">
        <v>12.167899999999999</v>
      </c>
      <c r="AD821">
        <v>10.9689</v>
      </c>
      <c r="AE821">
        <v>10.9689</v>
      </c>
      <c r="AF821" t="s">
        <v>2233</v>
      </c>
      <c r="AG821" t="s">
        <v>2233</v>
      </c>
      <c r="AH821" t="s">
        <v>3894</v>
      </c>
      <c r="AI821" t="s">
        <v>3894</v>
      </c>
      <c r="AJ821" t="s">
        <v>3895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s="2">
        <v>2</v>
      </c>
      <c r="AS821" t="s">
        <v>3896</v>
      </c>
      <c r="AT821" t="s">
        <v>3890</v>
      </c>
      <c r="AU821" t="s">
        <v>3926</v>
      </c>
      <c r="AV821" t="s">
        <v>3898</v>
      </c>
      <c r="AW821">
        <v>2</v>
      </c>
      <c r="AX821">
        <v>0</v>
      </c>
    </row>
    <row r="822" spans="1:50" x14ac:dyDescent="0.25">
      <c r="A822" t="s">
        <v>4808</v>
      </c>
      <c r="B822" t="s">
        <v>3889</v>
      </c>
      <c r="C822" t="s">
        <v>3890</v>
      </c>
      <c r="D822">
        <v>29.149000000000001</v>
      </c>
      <c r="E822">
        <v>29.138999999999999</v>
      </c>
      <c r="F822" s="2">
        <v>1E-3</v>
      </c>
      <c r="G822" t="s">
        <v>2618</v>
      </c>
      <c r="H822" t="s">
        <v>2621</v>
      </c>
      <c r="I822">
        <v>440510.42509999999</v>
      </c>
      <c r="J822">
        <v>1827884.9109</v>
      </c>
      <c r="K822">
        <v>440519.97509999998</v>
      </c>
      <c r="L822">
        <v>1827884.9109</v>
      </c>
      <c r="M822" t="s">
        <v>56</v>
      </c>
      <c r="N822" t="s">
        <v>57</v>
      </c>
      <c r="O822">
        <v>450</v>
      </c>
      <c r="P822" t="s">
        <v>3891</v>
      </c>
      <c r="Q822" t="s">
        <v>3892</v>
      </c>
      <c r="R822" t="s">
        <v>844</v>
      </c>
      <c r="S822" t="s">
        <v>440</v>
      </c>
      <c r="T822" t="s">
        <v>2333</v>
      </c>
      <c r="U822">
        <v>-7.4999999999999997E-2</v>
      </c>
      <c r="V822">
        <v>-7.4999999999999997E-2</v>
      </c>
      <c r="W822" t="s">
        <v>52</v>
      </c>
      <c r="X822">
        <v>1.2250000000000001</v>
      </c>
      <c r="Y822">
        <v>1.4438</v>
      </c>
      <c r="Z822">
        <v>1.4438</v>
      </c>
      <c r="AA822">
        <v>1.2250000000000001</v>
      </c>
      <c r="AB822">
        <v>9.5500000000000007</v>
      </c>
      <c r="AC822">
        <v>9.5500000000000007</v>
      </c>
      <c r="AD822">
        <v>8.3506999999999998</v>
      </c>
      <c r="AE822">
        <v>8.3506999999999998</v>
      </c>
      <c r="AF822" t="s">
        <v>3899</v>
      </c>
      <c r="AG822" t="s">
        <v>3899</v>
      </c>
      <c r="AH822" t="s">
        <v>3894</v>
      </c>
      <c r="AI822" t="s">
        <v>3894</v>
      </c>
      <c r="AJ822" t="s">
        <v>3895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s="2">
        <v>2</v>
      </c>
      <c r="AS822" t="s">
        <v>3896</v>
      </c>
      <c r="AT822" t="s">
        <v>3890</v>
      </c>
      <c r="AU822" t="s">
        <v>3897</v>
      </c>
      <c r="AV822" t="s">
        <v>3898</v>
      </c>
      <c r="AW822">
        <v>2</v>
      </c>
      <c r="AX822">
        <v>0</v>
      </c>
    </row>
    <row r="823" spans="1:50" x14ac:dyDescent="0.25">
      <c r="A823" t="s">
        <v>4809</v>
      </c>
      <c r="B823" t="s">
        <v>3917</v>
      </c>
      <c r="C823" t="s">
        <v>3890</v>
      </c>
      <c r="D823">
        <v>29.608000000000001</v>
      </c>
      <c r="E823">
        <v>29.596</v>
      </c>
      <c r="F823" s="2">
        <v>1.1000000000000001E-3</v>
      </c>
      <c r="G823" t="s">
        <v>611</v>
      </c>
      <c r="H823" t="s">
        <v>658</v>
      </c>
      <c r="I823">
        <v>440020.9252</v>
      </c>
      <c r="J823">
        <v>1827531.6588000001</v>
      </c>
      <c r="K823">
        <v>440031.87520000001</v>
      </c>
      <c r="L823">
        <v>1827531.6088</v>
      </c>
      <c r="M823" t="s">
        <v>56</v>
      </c>
      <c r="N823" t="s">
        <v>57</v>
      </c>
      <c r="O823">
        <v>750</v>
      </c>
      <c r="P823" t="s">
        <v>3918</v>
      </c>
      <c r="Q823" t="s">
        <v>3919</v>
      </c>
      <c r="R823" t="s">
        <v>127</v>
      </c>
      <c r="S823" t="s">
        <v>613</v>
      </c>
      <c r="T823" t="s">
        <v>4501</v>
      </c>
      <c r="U823">
        <v>0.10829999999999999</v>
      </c>
      <c r="V823">
        <v>5.8299999999999998E-2</v>
      </c>
      <c r="W823" t="s">
        <v>52</v>
      </c>
      <c r="X823">
        <v>1.8865000000000001</v>
      </c>
      <c r="Y823">
        <v>1.9907999999999999</v>
      </c>
      <c r="Z823">
        <v>1.8865000000000001</v>
      </c>
      <c r="AA823">
        <v>1.8954</v>
      </c>
      <c r="AB823">
        <v>10.690099999999999</v>
      </c>
      <c r="AC823">
        <v>10.690099999999999</v>
      </c>
      <c r="AD823">
        <v>9.4913000000000007</v>
      </c>
      <c r="AE823">
        <v>9.4914000000000005</v>
      </c>
      <c r="AF823" t="s">
        <v>4810</v>
      </c>
      <c r="AG823" t="s">
        <v>4810</v>
      </c>
      <c r="AH823" t="s">
        <v>3894</v>
      </c>
      <c r="AI823" t="s">
        <v>3894</v>
      </c>
      <c r="AJ823" t="s">
        <v>3895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s="2">
        <v>2</v>
      </c>
      <c r="AS823" t="s">
        <v>3896</v>
      </c>
      <c r="AT823" t="s">
        <v>3890</v>
      </c>
      <c r="AU823" t="s">
        <v>3921</v>
      </c>
      <c r="AV823" t="s">
        <v>3898</v>
      </c>
      <c r="AW823">
        <v>2</v>
      </c>
      <c r="AX823">
        <v>0</v>
      </c>
    </row>
    <row r="824" spans="1:50" x14ac:dyDescent="0.25">
      <c r="A824" t="s">
        <v>4811</v>
      </c>
      <c r="B824" t="s">
        <v>4004</v>
      </c>
      <c r="C824" t="s">
        <v>3890</v>
      </c>
      <c r="D824">
        <v>30.34</v>
      </c>
      <c r="E824">
        <v>30.32</v>
      </c>
      <c r="F824" s="2">
        <v>1.1000000000000001E-3</v>
      </c>
      <c r="G824" t="s">
        <v>3340</v>
      </c>
      <c r="H824" t="s">
        <v>3344</v>
      </c>
      <c r="I824">
        <v>440192.77490000002</v>
      </c>
      <c r="J824">
        <v>1827374.9735999999</v>
      </c>
      <c r="K824">
        <v>440210.42509999999</v>
      </c>
      <c r="L824">
        <v>1827374.9735999999</v>
      </c>
      <c r="M824" t="s">
        <v>56</v>
      </c>
      <c r="N824" t="s">
        <v>57</v>
      </c>
      <c r="O824">
        <v>600</v>
      </c>
      <c r="P824" t="s">
        <v>58</v>
      </c>
      <c r="Q824" t="s">
        <v>3892</v>
      </c>
      <c r="R824" t="s">
        <v>3089</v>
      </c>
      <c r="S824" t="s">
        <v>3342</v>
      </c>
      <c r="T824" t="s">
        <v>849</v>
      </c>
      <c r="U824">
        <v>-0.2</v>
      </c>
      <c r="V824">
        <v>-0.2</v>
      </c>
      <c r="W824" t="s">
        <v>52</v>
      </c>
      <c r="X824">
        <v>1.3559000000000001</v>
      </c>
      <c r="Y824">
        <v>1.5208999999999999</v>
      </c>
      <c r="Z824">
        <v>1.3762000000000001</v>
      </c>
      <c r="AA824">
        <v>1.4642999999999999</v>
      </c>
      <c r="AB824">
        <v>17.650200000000002</v>
      </c>
      <c r="AC824">
        <v>17.650200000000002</v>
      </c>
      <c r="AD824">
        <v>16.4512</v>
      </c>
      <c r="AE824">
        <v>16.4512</v>
      </c>
      <c r="AF824" t="s">
        <v>183</v>
      </c>
      <c r="AG824" t="s">
        <v>183</v>
      </c>
      <c r="AH824" t="s">
        <v>3894</v>
      </c>
      <c r="AI824" t="s">
        <v>3894</v>
      </c>
      <c r="AJ824" t="s">
        <v>3895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s="2">
        <v>2</v>
      </c>
      <c r="AS824" t="s">
        <v>3896</v>
      </c>
      <c r="AT824" t="s">
        <v>3890</v>
      </c>
      <c r="AU824" t="s">
        <v>4006</v>
      </c>
      <c r="AV824" t="s">
        <v>3898</v>
      </c>
      <c r="AW824">
        <v>2</v>
      </c>
      <c r="AX824">
        <v>0</v>
      </c>
    </row>
    <row r="825" spans="1:50" x14ac:dyDescent="0.25">
      <c r="A825" t="s">
        <v>2956</v>
      </c>
      <c r="B825" t="s">
        <v>3889</v>
      </c>
      <c r="C825" t="s">
        <v>3890</v>
      </c>
      <c r="D825">
        <v>29.411000000000001</v>
      </c>
      <c r="E825">
        <v>29.399000000000001</v>
      </c>
      <c r="F825" s="2">
        <v>1E-3</v>
      </c>
      <c r="G825" t="s">
        <v>2955</v>
      </c>
      <c r="H825" t="s">
        <v>2959</v>
      </c>
      <c r="I825">
        <v>440398.47509999998</v>
      </c>
      <c r="J825">
        <v>1827881.7339000001</v>
      </c>
      <c r="K825">
        <v>440398.47509999998</v>
      </c>
      <c r="L825">
        <v>1827869.7609000001</v>
      </c>
      <c r="M825" t="s">
        <v>56</v>
      </c>
      <c r="N825" t="s">
        <v>57</v>
      </c>
      <c r="O825">
        <v>450</v>
      </c>
      <c r="P825" t="s">
        <v>3891</v>
      </c>
      <c r="Q825" t="s">
        <v>3892</v>
      </c>
      <c r="R825" t="s">
        <v>107</v>
      </c>
      <c r="S825" t="s">
        <v>2957</v>
      </c>
      <c r="T825" t="s">
        <v>452</v>
      </c>
      <c r="U825">
        <v>-2.0000000000000001E-4</v>
      </c>
      <c r="V825">
        <v>-2.0000000000000001E-4</v>
      </c>
      <c r="W825" t="s">
        <v>52</v>
      </c>
      <c r="X825">
        <v>0.77210000000000001</v>
      </c>
      <c r="Y825">
        <v>1.0435000000000001</v>
      </c>
      <c r="Z825">
        <v>0.77210000000000001</v>
      </c>
      <c r="AA825">
        <v>1.0435000000000001</v>
      </c>
      <c r="AB825">
        <v>11.973000000000001</v>
      </c>
      <c r="AC825">
        <v>11.973000000000001</v>
      </c>
      <c r="AD825">
        <v>10.7737</v>
      </c>
      <c r="AE825">
        <v>10.7737</v>
      </c>
      <c r="AF825" t="s">
        <v>2233</v>
      </c>
      <c r="AG825" t="s">
        <v>2233</v>
      </c>
      <c r="AH825" t="s">
        <v>3894</v>
      </c>
      <c r="AI825" t="s">
        <v>3894</v>
      </c>
      <c r="AJ825" t="s">
        <v>3895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s="2">
        <v>2</v>
      </c>
      <c r="AS825" t="s">
        <v>3896</v>
      </c>
      <c r="AT825" t="s">
        <v>3890</v>
      </c>
      <c r="AU825" t="s">
        <v>3897</v>
      </c>
      <c r="AV825" t="s">
        <v>3898</v>
      </c>
      <c r="AW825">
        <v>2</v>
      </c>
      <c r="AX825">
        <v>0</v>
      </c>
    </row>
    <row r="826" spans="1:50" x14ac:dyDescent="0.25">
      <c r="A826" t="s">
        <v>4812</v>
      </c>
      <c r="B826" t="s">
        <v>4813</v>
      </c>
      <c r="C826" t="s">
        <v>3890</v>
      </c>
      <c r="D826">
        <v>27.329000000000001</v>
      </c>
      <c r="E826">
        <v>27.315000000000001</v>
      </c>
      <c r="F826" s="2">
        <v>1E-3</v>
      </c>
      <c r="G826" t="s">
        <v>2090</v>
      </c>
      <c r="H826" t="s">
        <v>2095</v>
      </c>
      <c r="I826">
        <v>440246.31900000002</v>
      </c>
      <c r="J826">
        <v>1827550.1838</v>
      </c>
      <c r="K826">
        <v>440260.25550000003</v>
      </c>
      <c r="L826">
        <v>1827550.1838</v>
      </c>
      <c r="M826" t="s">
        <v>56</v>
      </c>
      <c r="N826" t="s">
        <v>57</v>
      </c>
      <c r="O826">
        <v>1050</v>
      </c>
      <c r="P826" t="s">
        <v>3997</v>
      </c>
      <c r="Q826" t="s">
        <v>3930</v>
      </c>
      <c r="R826" t="s">
        <v>180</v>
      </c>
      <c r="S826" t="s">
        <v>4814</v>
      </c>
      <c r="T826" t="s">
        <v>2097</v>
      </c>
      <c r="U826">
        <v>-0.35</v>
      </c>
      <c r="V826">
        <v>-0.35</v>
      </c>
      <c r="W826" t="s">
        <v>52</v>
      </c>
      <c r="X826">
        <v>2.2435999999999998</v>
      </c>
      <c r="Y826">
        <v>2.3068</v>
      </c>
      <c r="Z826">
        <v>2.3068</v>
      </c>
      <c r="AA826">
        <v>2.2435999999999998</v>
      </c>
      <c r="AB826">
        <v>13.8553</v>
      </c>
      <c r="AC826">
        <v>13.8553</v>
      </c>
      <c r="AD826">
        <v>12.5025</v>
      </c>
      <c r="AE826">
        <v>12.5025</v>
      </c>
      <c r="AF826" t="s">
        <v>183</v>
      </c>
      <c r="AG826" t="s">
        <v>183</v>
      </c>
      <c r="AH826" t="s">
        <v>3894</v>
      </c>
      <c r="AI826" t="s">
        <v>3894</v>
      </c>
      <c r="AJ826" t="s">
        <v>3895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s="2">
        <v>2</v>
      </c>
      <c r="AS826" t="s">
        <v>3896</v>
      </c>
      <c r="AT826" t="s">
        <v>3890</v>
      </c>
      <c r="AU826" t="s">
        <v>4815</v>
      </c>
      <c r="AV826" t="s">
        <v>3898</v>
      </c>
      <c r="AW826">
        <v>2</v>
      </c>
      <c r="AX826">
        <v>0</v>
      </c>
    </row>
    <row r="827" spans="1:50" x14ac:dyDescent="0.25">
      <c r="A827" t="s">
        <v>4816</v>
      </c>
      <c r="B827" t="s">
        <v>3889</v>
      </c>
      <c r="C827" t="s">
        <v>3890</v>
      </c>
      <c r="D827">
        <v>29.54</v>
      </c>
      <c r="E827">
        <v>29.529</v>
      </c>
      <c r="F827" s="2">
        <v>6.9999999999999999E-4</v>
      </c>
      <c r="G827" t="s">
        <v>104</v>
      </c>
      <c r="H827" t="s">
        <v>3459</v>
      </c>
      <c r="I827">
        <v>440398.47509999998</v>
      </c>
      <c r="J827">
        <v>1827434.4476999999</v>
      </c>
      <c r="K827">
        <v>440398.47509999998</v>
      </c>
      <c r="L827">
        <v>1827449.7609000001</v>
      </c>
      <c r="M827" t="s">
        <v>56</v>
      </c>
      <c r="N827" t="s">
        <v>57</v>
      </c>
      <c r="O827">
        <v>450</v>
      </c>
      <c r="P827" t="s">
        <v>3891</v>
      </c>
      <c r="Q827" t="s">
        <v>3892</v>
      </c>
      <c r="R827" t="s">
        <v>107</v>
      </c>
      <c r="S827" t="s">
        <v>108</v>
      </c>
      <c r="T827" t="s">
        <v>824</v>
      </c>
      <c r="U827">
        <v>-2.0000000000000001E-4</v>
      </c>
      <c r="V827">
        <v>-2.0000000000000001E-4</v>
      </c>
      <c r="W827" t="s">
        <v>52</v>
      </c>
      <c r="X827">
        <v>0.96409999999999996</v>
      </c>
      <c r="Y827">
        <v>1.0307999999999999</v>
      </c>
      <c r="Z827">
        <v>1.0307999999999999</v>
      </c>
      <c r="AA827">
        <v>0.96409999999999996</v>
      </c>
      <c r="AB827">
        <v>15.3132</v>
      </c>
      <c r="AC827">
        <v>15.3132</v>
      </c>
      <c r="AD827">
        <v>14.1137</v>
      </c>
      <c r="AE827">
        <v>14.1137</v>
      </c>
      <c r="AF827" t="s">
        <v>67</v>
      </c>
      <c r="AG827" t="s">
        <v>67</v>
      </c>
      <c r="AH827" t="s">
        <v>3894</v>
      </c>
      <c r="AI827" t="s">
        <v>3894</v>
      </c>
      <c r="AJ827" t="s">
        <v>3895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s="2">
        <v>2</v>
      </c>
      <c r="AS827" t="s">
        <v>3896</v>
      </c>
      <c r="AT827" t="s">
        <v>3890</v>
      </c>
      <c r="AU827" t="s">
        <v>3897</v>
      </c>
      <c r="AV827" t="s">
        <v>3898</v>
      </c>
      <c r="AW827">
        <v>2</v>
      </c>
      <c r="AX827">
        <v>0</v>
      </c>
    </row>
    <row r="828" spans="1:50" x14ac:dyDescent="0.25">
      <c r="A828" t="s">
        <v>4817</v>
      </c>
      <c r="B828" t="s">
        <v>4355</v>
      </c>
      <c r="C828" t="s">
        <v>3890</v>
      </c>
      <c r="D828">
        <v>29.46</v>
      </c>
      <c r="E828">
        <v>29.446999999999999</v>
      </c>
      <c r="F828" s="2">
        <v>1E-3</v>
      </c>
      <c r="G828" t="s">
        <v>1350</v>
      </c>
      <c r="H828" t="s">
        <v>144</v>
      </c>
      <c r="I828">
        <v>440198.9498</v>
      </c>
      <c r="J828">
        <v>1827601.8171000001</v>
      </c>
      <c r="K828">
        <v>440198.9498</v>
      </c>
      <c r="L828">
        <v>1827588.4203999999</v>
      </c>
      <c r="M828" t="s">
        <v>56</v>
      </c>
      <c r="N828" t="s">
        <v>57</v>
      </c>
      <c r="O828">
        <v>900</v>
      </c>
      <c r="P828" t="s">
        <v>3918</v>
      </c>
      <c r="Q828" t="s">
        <v>3930</v>
      </c>
      <c r="R828" t="s">
        <v>146</v>
      </c>
      <c r="S828" t="s">
        <v>1352</v>
      </c>
      <c r="T828" t="s">
        <v>147</v>
      </c>
      <c r="U828">
        <v>-0.05</v>
      </c>
      <c r="V828">
        <v>-0.05</v>
      </c>
      <c r="W828" t="s">
        <v>52</v>
      </c>
      <c r="X828">
        <v>0.86070000000000002</v>
      </c>
      <c r="Y828">
        <v>0.90190000000000003</v>
      </c>
      <c r="Z828">
        <v>0.86070000000000002</v>
      </c>
      <c r="AA828">
        <v>0.90190000000000003</v>
      </c>
      <c r="AB828">
        <v>13.396699999999999</v>
      </c>
      <c r="AC828">
        <v>13.396699999999999</v>
      </c>
      <c r="AD828">
        <v>12.197900000000001</v>
      </c>
      <c r="AE828">
        <v>12.197900000000001</v>
      </c>
      <c r="AF828" t="s">
        <v>2233</v>
      </c>
      <c r="AG828" t="s">
        <v>2233</v>
      </c>
      <c r="AH828" t="s">
        <v>3894</v>
      </c>
      <c r="AI828" t="s">
        <v>3894</v>
      </c>
      <c r="AJ828" t="s">
        <v>3895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s="2">
        <v>2</v>
      </c>
      <c r="AS828" t="s">
        <v>3896</v>
      </c>
      <c r="AT828" t="s">
        <v>3890</v>
      </c>
      <c r="AU828" t="s">
        <v>4357</v>
      </c>
      <c r="AV828" t="s">
        <v>3898</v>
      </c>
      <c r="AW828">
        <v>2</v>
      </c>
      <c r="AX828">
        <v>0</v>
      </c>
    </row>
    <row r="829" spans="1:50" x14ac:dyDescent="0.25">
      <c r="A829" t="s">
        <v>4818</v>
      </c>
      <c r="B829" t="s">
        <v>3996</v>
      </c>
      <c r="C829" t="s">
        <v>3890</v>
      </c>
      <c r="D829">
        <v>25.295999999999999</v>
      </c>
      <c r="E829">
        <v>25.273</v>
      </c>
      <c r="F829" s="2">
        <v>6.9999999999999999E-4</v>
      </c>
      <c r="G829" t="s">
        <v>3818</v>
      </c>
      <c r="H829" t="s">
        <v>2070</v>
      </c>
      <c r="I829">
        <v>440595.27510000003</v>
      </c>
      <c r="J829">
        <v>1827549.9778</v>
      </c>
      <c r="K829">
        <v>440628.93540000002</v>
      </c>
      <c r="L829">
        <v>1827549.966</v>
      </c>
      <c r="M829" t="s">
        <v>56</v>
      </c>
      <c r="N829" t="s">
        <v>57</v>
      </c>
      <c r="O829">
        <v>1350</v>
      </c>
      <c r="P829" t="s">
        <v>3997</v>
      </c>
      <c r="Q829" t="s">
        <v>3998</v>
      </c>
      <c r="R829" t="s">
        <v>180</v>
      </c>
      <c r="S829" t="s">
        <v>3699</v>
      </c>
      <c r="T829" t="s">
        <v>4819</v>
      </c>
      <c r="U829">
        <v>-0.55600000000000005</v>
      </c>
      <c r="V829">
        <v>-0.56779999999999997</v>
      </c>
      <c r="W829" t="s">
        <v>52</v>
      </c>
      <c r="X829">
        <v>2.0415000000000001</v>
      </c>
      <c r="Y829">
        <v>2.2040999999999999</v>
      </c>
      <c r="Z829">
        <v>2.0693999999999999</v>
      </c>
      <c r="AA829">
        <v>2.1345999999999998</v>
      </c>
      <c r="AB829">
        <v>33.661999999999999</v>
      </c>
      <c r="AC829">
        <v>33.661999999999999</v>
      </c>
      <c r="AD829">
        <v>33.060899999999997</v>
      </c>
      <c r="AE829">
        <v>33.060899999999997</v>
      </c>
      <c r="AF829" t="s">
        <v>4820</v>
      </c>
      <c r="AG829" t="s">
        <v>4820</v>
      </c>
      <c r="AH829" t="s">
        <v>3894</v>
      </c>
      <c r="AI829" t="s">
        <v>3894</v>
      </c>
      <c r="AJ829" t="s">
        <v>3895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s="2">
        <v>2</v>
      </c>
      <c r="AS829" t="s">
        <v>3896</v>
      </c>
      <c r="AT829" t="s">
        <v>3890</v>
      </c>
      <c r="AU829" t="s">
        <v>4000</v>
      </c>
      <c r="AV829" t="s">
        <v>3898</v>
      </c>
      <c r="AW829">
        <v>3</v>
      </c>
      <c r="AX829">
        <v>0</v>
      </c>
    </row>
    <row r="830" spans="1:50" x14ac:dyDescent="0.25">
      <c r="A830" t="s">
        <v>4821</v>
      </c>
      <c r="B830" t="s">
        <v>3889</v>
      </c>
      <c r="C830" t="s">
        <v>3890</v>
      </c>
      <c r="D830">
        <v>31.26</v>
      </c>
      <c r="E830">
        <v>31.241</v>
      </c>
      <c r="F830" s="2">
        <v>1E-3</v>
      </c>
      <c r="G830" t="s">
        <v>310</v>
      </c>
      <c r="H830" t="s">
        <v>678</v>
      </c>
      <c r="I830">
        <v>440127.17499999999</v>
      </c>
      <c r="J830">
        <v>1827442.9679</v>
      </c>
      <c r="K830">
        <v>440127.17499999999</v>
      </c>
      <c r="L830">
        <v>1827462.595</v>
      </c>
      <c r="M830" t="s">
        <v>56</v>
      </c>
      <c r="N830" t="s">
        <v>57</v>
      </c>
      <c r="O830">
        <v>450</v>
      </c>
      <c r="P830" t="s">
        <v>3891</v>
      </c>
      <c r="Q830" t="s">
        <v>3892</v>
      </c>
      <c r="R830" t="s">
        <v>307</v>
      </c>
      <c r="S830" t="s">
        <v>312</v>
      </c>
      <c r="T830" t="s">
        <v>680</v>
      </c>
      <c r="U830">
        <v>-0.15379999999999999</v>
      </c>
      <c r="V830">
        <v>-0.15840000000000001</v>
      </c>
      <c r="W830" t="s">
        <v>52</v>
      </c>
      <c r="X830">
        <v>0.88490000000000002</v>
      </c>
      <c r="Y830">
        <v>0.96579999999999999</v>
      </c>
      <c r="Z830">
        <v>0.96579999999999999</v>
      </c>
      <c r="AA830">
        <v>0.88490000000000002</v>
      </c>
      <c r="AB830">
        <v>19.627199999999998</v>
      </c>
      <c r="AC830">
        <v>19.627199999999998</v>
      </c>
      <c r="AD830">
        <v>18.427800000000001</v>
      </c>
      <c r="AE830">
        <v>18.427800000000001</v>
      </c>
      <c r="AF830" t="s">
        <v>67</v>
      </c>
      <c r="AG830" t="s">
        <v>67</v>
      </c>
      <c r="AH830" t="s">
        <v>3894</v>
      </c>
      <c r="AI830" t="s">
        <v>3894</v>
      </c>
      <c r="AJ830" t="s">
        <v>3895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s="2">
        <v>2</v>
      </c>
      <c r="AS830" t="s">
        <v>3896</v>
      </c>
      <c r="AT830" t="s">
        <v>3890</v>
      </c>
      <c r="AU830" t="s">
        <v>3897</v>
      </c>
      <c r="AV830" t="s">
        <v>3898</v>
      </c>
      <c r="AW830">
        <v>2</v>
      </c>
      <c r="AX830">
        <v>0</v>
      </c>
    </row>
    <row r="831" spans="1:50" x14ac:dyDescent="0.25">
      <c r="A831" t="s">
        <v>4822</v>
      </c>
      <c r="B831" t="s">
        <v>3889</v>
      </c>
      <c r="C831" t="s">
        <v>3890</v>
      </c>
      <c r="D831">
        <v>31.87</v>
      </c>
      <c r="E831">
        <v>31.853999999999999</v>
      </c>
      <c r="F831" s="2">
        <v>1.1000000000000001E-3</v>
      </c>
      <c r="G831" t="s">
        <v>643</v>
      </c>
      <c r="H831" t="s">
        <v>648</v>
      </c>
      <c r="I831">
        <v>440031.87520000001</v>
      </c>
      <c r="J831">
        <v>1827426.5604999999</v>
      </c>
      <c r="K831">
        <v>440031.87520000001</v>
      </c>
      <c r="L831">
        <v>1827440.9838</v>
      </c>
      <c r="M831" t="s">
        <v>56</v>
      </c>
      <c r="N831" t="s">
        <v>57</v>
      </c>
      <c r="O831">
        <v>450</v>
      </c>
      <c r="P831" t="s">
        <v>3891</v>
      </c>
      <c r="Q831" t="s">
        <v>3892</v>
      </c>
      <c r="R831" t="s">
        <v>645</v>
      </c>
      <c r="S831" t="s">
        <v>4823</v>
      </c>
      <c r="T831" t="s">
        <v>597</v>
      </c>
      <c r="U831">
        <v>2.8500000000000001E-2</v>
      </c>
      <c r="V831">
        <v>2.8500000000000001E-2</v>
      </c>
      <c r="W831" t="s">
        <v>52</v>
      </c>
      <c r="X831">
        <v>0.96699999999999997</v>
      </c>
      <c r="Y831">
        <v>1.0256000000000001</v>
      </c>
      <c r="Z831">
        <v>0.99409999999999998</v>
      </c>
      <c r="AA831">
        <v>0.96699999999999997</v>
      </c>
      <c r="AB831">
        <v>14.1488</v>
      </c>
      <c r="AC831">
        <v>14.1488</v>
      </c>
      <c r="AD831">
        <v>12.9495</v>
      </c>
      <c r="AE831">
        <v>12.9496</v>
      </c>
      <c r="AF831" t="s">
        <v>67</v>
      </c>
      <c r="AG831" t="s">
        <v>67</v>
      </c>
      <c r="AH831" t="s">
        <v>3894</v>
      </c>
      <c r="AI831" t="s">
        <v>3894</v>
      </c>
      <c r="AJ831" t="s">
        <v>3895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s="2">
        <v>2</v>
      </c>
      <c r="AS831" t="s">
        <v>3896</v>
      </c>
      <c r="AT831" t="s">
        <v>3890</v>
      </c>
      <c r="AU831" t="s">
        <v>3897</v>
      </c>
      <c r="AV831" t="s">
        <v>3898</v>
      </c>
      <c r="AW831">
        <v>2</v>
      </c>
      <c r="AX831">
        <v>0</v>
      </c>
    </row>
    <row r="832" spans="1:50" x14ac:dyDescent="0.25">
      <c r="A832" t="s">
        <v>4824</v>
      </c>
      <c r="B832" t="s">
        <v>3924</v>
      </c>
      <c r="C832" t="s">
        <v>3890</v>
      </c>
      <c r="D832">
        <v>31.885000000000002</v>
      </c>
      <c r="E832">
        <v>31.869</v>
      </c>
      <c r="F832" s="2">
        <v>1E-3</v>
      </c>
      <c r="G832" t="s">
        <v>590</v>
      </c>
      <c r="H832" t="s">
        <v>594</v>
      </c>
      <c r="I832">
        <v>440020.9252</v>
      </c>
      <c r="J832">
        <v>1827425.1986</v>
      </c>
      <c r="K832">
        <v>440020.9252</v>
      </c>
      <c r="L832">
        <v>1827440.9838</v>
      </c>
      <c r="M832" t="s">
        <v>56</v>
      </c>
      <c r="N832" t="s">
        <v>57</v>
      </c>
      <c r="O832">
        <v>750</v>
      </c>
      <c r="P832" t="s">
        <v>3891</v>
      </c>
      <c r="Q832" t="s">
        <v>3892</v>
      </c>
      <c r="R832" t="s">
        <v>596</v>
      </c>
      <c r="S832" t="s">
        <v>4825</v>
      </c>
      <c r="T832" t="s">
        <v>597</v>
      </c>
      <c r="U832">
        <v>0</v>
      </c>
      <c r="V832">
        <v>0</v>
      </c>
      <c r="W832" t="s">
        <v>52</v>
      </c>
      <c r="X832">
        <v>0.83</v>
      </c>
      <c r="Y832">
        <v>1.0085</v>
      </c>
      <c r="Z832">
        <v>0.86519999999999997</v>
      </c>
      <c r="AA832">
        <v>0.94899999999999995</v>
      </c>
      <c r="AB832">
        <v>16.053999999999998</v>
      </c>
      <c r="AC832">
        <v>16.053999999999998</v>
      </c>
      <c r="AD832">
        <v>14.855</v>
      </c>
      <c r="AE832">
        <v>14.855</v>
      </c>
      <c r="AF832" t="s">
        <v>67</v>
      </c>
      <c r="AG832" t="s">
        <v>67</v>
      </c>
      <c r="AH832" t="s">
        <v>3894</v>
      </c>
      <c r="AI832" t="s">
        <v>3894</v>
      </c>
      <c r="AJ832" t="s">
        <v>3895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s="2">
        <v>2</v>
      </c>
      <c r="AS832" t="s">
        <v>3896</v>
      </c>
      <c r="AT832" t="s">
        <v>3890</v>
      </c>
      <c r="AU832" t="s">
        <v>3926</v>
      </c>
      <c r="AV832" t="s">
        <v>3898</v>
      </c>
      <c r="AW832">
        <v>2</v>
      </c>
      <c r="AX832">
        <v>0</v>
      </c>
    </row>
    <row r="833" spans="1:50" x14ac:dyDescent="0.25">
      <c r="A833" t="s">
        <v>4826</v>
      </c>
      <c r="B833" t="s">
        <v>3933</v>
      </c>
      <c r="C833" t="s">
        <v>3890</v>
      </c>
      <c r="D833">
        <v>31.428999999999998</v>
      </c>
      <c r="E833">
        <v>31.408999999999999</v>
      </c>
      <c r="F833" s="2">
        <v>1.1000000000000001E-3</v>
      </c>
      <c r="G833" t="s">
        <v>981</v>
      </c>
      <c r="H833" t="s">
        <v>985</v>
      </c>
      <c r="I833">
        <v>440217.59980000003</v>
      </c>
      <c r="J833">
        <v>1828039.898</v>
      </c>
      <c r="K833">
        <v>440217.59980000003</v>
      </c>
      <c r="L833">
        <v>1828021.8171000001</v>
      </c>
      <c r="M833" t="s">
        <v>56</v>
      </c>
      <c r="N833" t="s">
        <v>57</v>
      </c>
      <c r="O833">
        <v>750</v>
      </c>
      <c r="P833" t="s">
        <v>58</v>
      </c>
      <c r="Q833" t="s">
        <v>3919</v>
      </c>
      <c r="R833" t="s">
        <v>151</v>
      </c>
      <c r="S833" t="s">
        <v>4827</v>
      </c>
      <c r="T833" t="s">
        <v>987</v>
      </c>
      <c r="U833">
        <v>0.151</v>
      </c>
      <c r="V833">
        <v>0.1411</v>
      </c>
      <c r="W833" t="s">
        <v>52</v>
      </c>
      <c r="X833">
        <v>1.0573999999999999</v>
      </c>
      <c r="Y833">
        <v>1.2472000000000001</v>
      </c>
      <c r="Z833">
        <v>1.1148</v>
      </c>
      <c r="AA833">
        <v>1.1327</v>
      </c>
      <c r="AB833">
        <v>18.206900000000001</v>
      </c>
      <c r="AC833">
        <v>18.206900000000001</v>
      </c>
      <c r="AD833">
        <v>17.007999999999999</v>
      </c>
      <c r="AE833">
        <v>17.007999999999999</v>
      </c>
      <c r="AF833" t="s">
        <v>2233</v>
      </c>
      <c r="AG833" t="s">
        <v>2233</v>
      </c>
      <c r="AH833" t="s">
        <v>3894</v>
      </c>
      <c r="AI833" t="s">
        <v>3894</v>
      </c>
      <c r="AJ833" t="s">
        <v>3895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s="2">
        <v>2</v>
      </c>
      <c r="AS833" t="s">
        <v>3896</v>
      </c>
      <c r="AT833" t="s">
        <v>3890</v>
      </c>
      <c r="AU833" t="s">
        <v>3935</v>
      </c>
      <c r="AV833" t="s">
        <v>3898</v>
      </c>
      <c r="AW833">
        <v>2</v>
      </c>
      <c r="AX833">
        <v>0</v>
      </c>
    </row>
    <row r="834" spans="1:50" x14ac:dyDescent="0.25">
      <c r="A834" t="s">
        <v>2466</v>
      </c>
      <c r="B834" t="s">
        <v>3889</v>
      </c>
      <c r="C834" t="s">
        <v>3890</v>
      </c>
      <c r="D834">
        <v>30.353000000000002</v>
      </c>
      <c r="E834">
        <v>30.334</v>
      </c>
      <c r="F834" s="2">
        <v>1E-3</v>
      </c>
      <c r="G834" t="s">
        <v>2465</v>
      </c>
      <c r="H834" t="s">
        <v>2469</v>
      </c>
      <c r="I834">
        <v>440531.34360000002</v>
      </c>
      <c r="J834">
        <v>1828037.8473</v>
      </c>
      <c r="K834">
        <v>440550.42509999999</v>
      </c>
      <c r="L834">
        <v>1828037.8473</v>
      </c>
      <c r="M834" t="s">
        <v>56</v>
      </c>
      <c r="N834" t="s">
        <v>57</v>
      </c>
      <c r="O834">
        <v>450</v>
      </c>
      <c r="P834" t="s">
        <v>3891</v>
      </c>
      <c r="Q834" t="s">
        <v>3892</v>
      </c>
      <c r="R834" t="s">
        <v>2263</v>
      </c>
      <c r="S834" t="s">
        <v>2467</v>
      </c>
      <c r="T834" t="s">
        <v>448</v>
      </c>
      <c r="U834">
        <v>-6.7400000000000002E-2</v>
      </c>
      <c r="V834">
        <v>-6.7400000000000002E-2</v>
      </c>
      <c r="W834" t="s">
        <v>52</v>
      </c>
      <c r="X834">
        <v>0.99650000000000005</v>
      </c>
      <c r="Y834">
        <v>1.0425</v>
      </c>
      <c r="Z834">
        <v>1.022</v>
      </c>
      <c r="AA834">
        <v>0.99650000000000005</v>
      </c>
      <c r="AB834">
        <v>19.081499999999998</v>
      </c>
      <c r="AC834">
        <v>19.081499999999998</v>
      </c>
      <c r="AD834">
        <v>17.882200000000001</v>
      </c>
      <c r="AE834">
        <v>17.882200000000001</v>
      </c>
      <c r="AF834" t="s">
        <v>183</v>
      </c>
      <c r="AG834" t="s">
        <v>183</v>
      </c>
      <c r="AH834" t="s">
        <v>3894</v>
      </c>
      <c r="AI834" t="s">
        <v>3894</v>
      </c>
      <c r="AJ834" t="s">
        <v>3895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s="2">
        <v>2</v>
      </c>
      <c r="AS834" t="s">
        <v>3896</v>
      </c>
      <c r="AT834" t="s">
        <v>3890</v>
      </c>
      <c r="AU834" t="s">
        <v>3897</v>
      </c>
      <c r="AV834" t="s">
        <v>3898</v>
      </c>
      <c r="AW834">
        <v>2</v>
      </c>
      <c r="AX834">
        <v>0</v>
      </c>
    </row>
    <row r="835" spans="1:50" x14ac:dyDescent="0.25">
      <c r="A835" t="s">
        <v>4828</v>
      </c>
      <c r="B835" t="s">
        <v>4813</v>
      </c>
      <c r="C835" t="s">
        <v>3890</v>
      </c>
      <c r="D835">
        <v>28.036999999999999</v>
      </c>
      <c r="E835">
        <v>28.018999999999998</v>
      </c>
      <c r="F835" s="2">
        <v>1E-3</v>
      </c>
      <c r="G835" t="s">
        <v>2075</v>
      </c>
      <c r="H835" t="s">
        <v>2080</v>
      </c>
      <c r="I835">
        <v>440198.94750000001</v>
      </c>
      <c r="J835">
        <v>1827578.9201</v>
      </c>
      <c r="K835">
        <v>440217.45750000002</v>
      </c>
      <c r="L835">
        <v>1827579.0844000001</v>
      </c>
      <c r="M835" t="s">
        <v>56</v>
      </c>
      <c r="N835" t="s">
        <v>57</v>
      </c>
      <c r="O835">
        <v>1050</v>
      </c>
      <c r="P835" t="s">
        <v>3997</v>
      </c>
      <c r="Q835" t="s">
        <v>3930</v>
      </c>
      <c r="R835" t="s">
        <v>2072</v>
      </c>
      <c r="S835" t="s">
        <v>4441</v>
      </c>
      <c r="T835" t="s">
        <v>4829</v>
      </c>
      <c r="U835">
        <v>28.688199999999998</v>
      </c>
      <c r="V835">
        <v>28.822900000000001</v>
      </c>
      <c r="W835" t="s">
        <v>52</v>
      </c>
      <c r="X835">
        <v>1.5509999999999999</v>
      </c>
      <c r="Y835">
        <v>1.7485999999999999</v>
      </c>
      <c r="Z835">
        <v>1.7319</v>
      </c>
      <c r="AA835">
        <v>1.7485999999999999</v>
      </c>
      <c r="AB835">
        <v>18.633800000000001</v>
      </c>
      <c r="AC835">
        <v>18.633800000000001</v>
      </c>
      <c r="AD835">
        <v>17.759899999999998</v>
      </c>
      <c r="AE835">
        <v>17.759899999999998</v>
      </c>
      <c r="AF835" t="s">
        <v>4830</v>
      </c>
      <c r="AG835" t="s">
        <v>4830</v>
      </c>
      <c r="AH835" t="s">
        <v>3894</v>
      </c>
      <c r="AI835" t="s">
        <v>3894</v>
      </c>
      <c r="AJ835" t="s">
        <v>3895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s="2">
        <v>2</v>
      </c>
      <c r="AS835" t="s">
        <v>3896</v>
      </c>
      <c r="AT835" t="s">
        <v>3890</v>
      </c>
      <c r="AU835" t="s">
        <v>4815</v>
      </c>
      <c r="AV835" t="s">
        <v>3898</v>
      </c>
      <c r="AW835">
        <v>2</v>
      </c>
      <c r="AX835">
        <v>0</v>
      </c>
    </row>
    <row r="836" spans="1:50" x14ac:dyDescent="0.25">
      <c r="A836" t="s">
        <v>4831</v>
      </c>
      <c r="B836" t="s">
        <v>4813</v>
      </c>
      <c r="C836" t="s">
        <v>3890</v>
      </c>
      <c r="D836">
        <v>27.352</v>
      </c>
      <c r="E836">
        <v>27.331</v>
      </c>
      <c r="F836" s="2">
        <v>1E-3</v>
      </c>
      <c r="G836" t="s">
        <v>2085</v>
      </c>
      <c r="H836" t="s">
        <v>2090</v>
      </c>
      <c r="I836">
        <v>440231.79220000003</v>
      </c>
      <c r="J836">
        <v>1827564.7497</v>
      </c>
      <c r="K836">
        <v>440246.31900000002</v>
      </c>
      <c r="L836">
        <v>1827550.1838</v>
      </c>
      <c r="M836" t="s">
        <v>56</v>
      </c>
      <c r="N836" t="s">
        <v>57</v>
      </c>
      <c r="O836">
        <v>1050</v>
      </c>
      <c r="P836" t="s">
        <v>3997</v>
      </c>
      <c r="Q836" t="s">
        <v>3930</v>
      </c>
      <c r="R836" t="s">
        <v>2072</v>
      </c>
      <c r="S836" t="s">
        <v>4832</v>
      </c>
      <c r="T836" t="s">
        <v>4833</v>
      </c>
      <c r="U836">
        <v>14.465400000000001</v>
      </c>
      <c r="V836">
        <v>-0.1237</v>
      </c>
      <c r="W836" t="s">
        <v>52</v>
      </c>
      <c r="X836">
        <v>2.3048000000000002</v>
      </c>
      <c r="Y836">
        <v>2.5421</v>
      </c>
      <c r="Z836">
        <v>2.5421</v>
      </c>
      <c r="AA836">
        <v>2.3048000000000002</v>
      </c>
      <c r="AB836">
        <v>20.526800000000001</v>
      </c>
      <c r="AC836">
        <v>20.526800000000001</v>
      </c>
      <c r="AD836">
        <v>19.334099999999999</v>
      </c>
      <c r="AE836">
        <v>19.334099999999999</v>
      </c>
      <c r="AF836" t="s">
        <v>4834</v>
      </c>
      <c r="AG836" t="s">
        <v>4834</v>
      </c>
      <c r="AH836" t="s">
        <v>3894</v>
      </c>
      <c r="AI836" t="s">
        <v>3894</v>
      </c>
      <c r="AJ836" t="s">
        <v>3895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s="2">
        <v>2</v>
      </c>
      <c r="AS836" t="s">
        <v>3896</v>
      </c>
      <c r="AT836" t="s">
        <v>3890</v>
      </c>
      <c r="AU836" t="s">
        <v>4815</v>
      </c>
      <c r="AV836" t="s">
        <v>3898</v>
      </c>
      <c r="AW836">
        <v>2</v>
      </c>
      <c r="AX836">
        <v>0</v>
      </c>
    </row>
    <row r="837" spans="1:50" x14ac:dyDescent="0.25">
      <c r="A837" t="s">
        <v>675</v>
      </c>
      <c r="B837" t="s">
        <v>3889</v>
      </c>
      <c r="C837" t="s">
        <v>3890</v>
      </c>
      <c r="D837">
        <v>31.277999999999999</v>
      </c>
      <c r="E837">
        <v>31.26</v>
      </c>
      <c r="F837" s="2">
        <v>1.1999999999999999E-3</v>
      </c>
      <c r="G837" t="s">
        <v>674</v>
      </c>
      <c r="H837" t="s">
        <v>310</v>
      </c>
      <c r="I837">
        <v>440127.17499999999</v>
      </c>
      <c r="J837">
        <v>1827427.9246</v>
      </c>
      <c r="K837">
        <v>440127.17499999999</v>
      </c>
      <c r="L837">
        <v>1827442.9679</v>
      </c>
      <c r="M837" t="s">
        <v>56</v>
      </c>
      <c r="N837" t="s">
        <v>57</v>
      </c>
      <c r="O837">
        <v>450</v>
      </c>
      <c r="P837" t="s">
        <v>3891</v>
      </c>
      <c r="Q837" t="s">
        <v>3892</v>
      </c>
      <c r="R837" t="s">
        <v>307</v>
      </c>
      <c r="S837" t="s">
        <v>676</v>
      </c>
      <c r="T837" t="s">
        <v>312</v>
      </c>
      <c r="U837">
        <v>-0.1502</v>
      </c>
      <c r="V837">
        <v>-0.15379999999999999</v>
      </c>
      <c r="W837" t="s">
        <v>52</v>
      </c>
      <c r="X837">
        <v>0.96579999999999999</v>
      </c>
      <c r="Y837">
        <v>1.0108999999999999</v>
      </c>
      <c r="Z837">
        <v>0.99870000000000003</v>
      </c>
      <c r="AA837">
        <v>0.96579999999999999</v>
      </c>
      <c r="AB837">
        <v>15.043200000000001</v>
      </c>
      <c r="AC837">
        <v>15.0433</v>
      </c>
      <c r="AD837">
        <v>13.844099999999999</v>
      </c>
      <c r="AE837">
        <v>13.844099999999999</v>
      </c>
      <c r="AF837" t="s">
        <v>67</v>
      </c>
      <c r="AG837" t="s">
        <v>67</v>
      </c>
      <c r="AH837" t="s">
        <v>3894</v>
      </c>
      <c r="AI837" t="s">
        <v>3894</v>
      </c>
      <c r="AJ837" t="s">
        <v>3895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s="2">
        <v>2</v>
      </c>
      <c r="AS837" t="s">
        <v>3896</v>
      </c>
      <c r="AT837" t="s">
        <v>3890</v>
      </c>
      <c r="AU837" t="s">
        <v>3897</v>
      </c>
      <c r="AV837" t="s">
        <v>3898</v>
      </c>
      <c r="AW837">
        <v>2</v>
      </c>
      <c r="AX837">
        <v>0</v>
      </c>
    </row>
    <row r="838" spans="1:50" x14ac:dyDescent="0.25">
      <c r="A838" t="s">
        <v>4835</v>
      </c>
      <c r="B838" t="s">
        <v>4004</v>
      </c>
      <c r="C838" t="s">
        <v>3890</v>
      </c>
      <c r="D838">
        <v>28.213000000000001</v>
      </c>
      <c r="E838">
        <v>28.195</v>
      </c>
      <c r="F838" s="2">
        <v>1E-3</v>
      </c>
      <c r="G838" t="s">
        <v>2923</v>
      </c>
      <c r="H838" t="s">
        <v>2927</v>
      </c>
      <c r="I838">
        <v>440464.07510000002</v>
      </c>
      <c r="J838">
        <v>1827692.7645</v>
      </c>
      <c r="K838">
        <v>440481.25630000001</v>
      </c>
      <c r="L838">
        <v>1827692.7645</v>
      </c>
      <c r="M838" t="s">
        <v>56</v>
      </c>
      <c r="N838" t="s">
        <v>57</v>
      </c>
      <c r="O838">
        <v>600</v>
      </c>
      <c r="P838" t="s">
        <v>58</v>
      </c>
      <c r="Q838" t="s">
        <v>3892</v>
      </c>
      <c r="R838" t="s">
        <v>1112</v>
      </c>
      <c r="S838" t="s">
        <v>2925</v>
      </c>
      <c r="T838" t="s">
        <v>2929</v>
      </c>
      <c r="U838">
        <v>-3.8899999999999997E-2</v>
      </c>
      <c r="V838">
        <v>-3.4700000000000002E-2</v>
      </c>
      <c r="W838" t="s">
        <v>52</v>
      </c>
      <c r="X838">
        <v>0.84799999999999998</v>
      </c>
      <c r="Y838">
        <v>1.0456000000000001</v>
      </c>
      <c r="Z838">
        <v>0.86560000000000004</v>
      </c>
      <c r="AA838">
        <v>1.0357000000000001</v>
      </c>
      <c r="AB838">
        <v>17.1812</v>
      </c>
      <c r="AC838">
        <v>17.1813</v>
      </c>
      <c r="AD838">
        <v>15.982100000000001</v>
      </c>
      <c r="AE838">
        <v>15.982100000000001</v>
      </c>
      <c r="AF838" t="s">
        <v>183</v>
      </c>
      <c r="AG838" t="s">
        <v>183</v>
      </c>
      <c r="AH838" t="s">
        <v>3894</v>
      </c>
      <c r="AI838" t="s">
        <v>3894</v>
      </c>
      <c r="AJ838" t="s">
        <v>3895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s="2">
        <v>2</v>
      </c>
      <c r="AS838" t="s">
        <v>3896</v>
      </c>
      <c r="AT838" t="s">
        <v>3890</v>
      </c>
      <c r="AU838" t="s">
        <v>4006</v>
      </c>
      <c r="AV838" t="s">
        <v>3898</v>
      </c>
      <c r="AW838">
        <v>2</v>
      </c>
      <c r="AX838">
        <v>0</v>
      </c>
    </row>
    <row r="839" spans="1:50" x14ac:dyDescent="0.25">
      <c r="A839" t="s">
        <v>4836</v>
      </c>
      <c r="B839" t="s">
        <v>4010</v>
      </c>
      <c r="C839" t="s">
        <v>3890</v>
      </c>
      <c r="D839">
        <v>31.414000000000001</v>
      </c>
      <c r="E839">
        <v>31.405000000000001</v>
      </c>
      <c r="F839" s="2">
        <v>1E-3</v>
      </c>
      <c r="G839" t="s">
        <v>1828</v>
      </c>
      <c r="H839" t="s">
        <v>1831</v>
      </c>
      <c r="I839">
        <v>440121.8995</v>
      </c>
      <c r="J839">
        <v>1828091.9088000001</v>
      </c>
      <c r="K839">
        <v>440121.92450000002</v>
      </c>
      <c r="L839">
        <v>1828082.8171999999</v>
      </c>
      <c r="M839" t="s">
        <v>56</v>
      </c>
      <c r="N839" t="s">
        <v>57</v>
      </c>
      <c r="O839">
        <v>900</v>
      </c>
      <c r="P839" t="s">
        <v>109</v>
      </c>
      <c r="Q839" t="s">
        <v>3919</v>
      </c>
      <c r="R839" t="s">
        <v>395</v>
      </c>
      <c r="S839" t="s">
        <v>4837</v>
      </c>
      <c r="T839" t="s">
        <v>432</v>
      </c>
      <c r="U839">
        <v>-0.14710000000000001</v>
      </c>
      <c r="V839">
        <v>-0.1721</v>
      </c>
      <c r="W839" t="s">
        <v>52</v>
      </c>
      <c r="X839">
        <v>1.746</v>
      </c>
      <c r="Y839">
        <v>1.9267000000000001</v>
      </c>
      <c r="Z839">
        <v>1.7732000000000001</v>
      </c>
      <c r="AA839">
        <v>1.9164000000000001</v>
      </c>
      <c r="AB839">
        <v>9.0915999999999997</v>
      </c>
      <c r="AC839">
        <v>9.0915999999999997</v>
      </c>
      <c r="AD839">
        <v>7.8928000000000003</v>
      </c>
      <c r="AE839">
        <v>7.8928000000000003</v>
      </c>
      <c r="AF839" t="s">
        <v>4838</v>
      </c>
      <c r="AG839" t="s">
        <v>4838</v>
      </c>
      <c r="AH839" t="s">
        <v>3894</v>
      </c>
      <c r="AI839" t="s">
        <v>3894</v>
      </c>
      <c r="AJ839" t="s">
        <v>3895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s="2">
        <v>2</v>
      </c>
      <c r="AS839" t="s">
        <v>3896</v>
      </c>
      <c r="AT839" t="s">
        <v>3890</v>
      </c>
      <c r="AU839" t="s">
        <v>4012</v>
      </c>
      <c r="AV839" t="s">
        <v>3898</v>
      </c>
      <c r="AW839">
        <v>2</v>
      </c>
      <c r="AX839">
        <v>0</v>
      </c>
    </row>
    <row r="840" spans="1:50" x14ac:dyDescent="0.25">
      <c r="A840" t="s">
        <v>4839</v>
      </c>
      <c r="B840" t="s">
        <v>3889</v>
      </c>
      <c r="C840" t="s">
        <v>3890</v>
      </c>
      <c r="D840">
        <v>28.370999999999999</v>
      </c>
      <c r="E840">
        <v>28.343</v>
      </c>
      <c r="F840" s="2">
        <v>2.0999999999999999E-3</v>
      </c>
      <c r="G840" t="s">
        <v>2805</v>
      </c>
      <c r="H840" t="s">
        <v>2809</v>
      </c>
      <c r="I840">
        <v>440595.27510000003</v>
      </c>
      <c r="J840">
        <v>1827791.9018000001</v>
      </c>
      <c r="K840">
        <v>440595.19549999997</v>
      </c>
      <c r="L840">
        <v>1827778.6007000001</v>
      </c>
      <c r="M840" t="s">
        <v>56</v>
      </c>
      <c r="N840" t="s">
        <v>57</v>
      </c>
      <c r="O840">
        <v>450</v>
      </c>
      <c r="P840" t="s">
        <v>3891</v>
      </c>
      <c r="Q840" t="s">
        <v>3892</v>
      </c>
      <c r="R840" t="s">
        <v>251</v>
      </c>
      <c r="S840" t="s">
        <v>2807</v>
      </c>
      <c r="T840" t="s">
        <v>4760</v>
      </c>
      <c r="U840">
        <v>-0.27500000000000002</v>
      </c>
      <c r="V840">
        <v>-0.19539999999999999</v>
      </c>
      <c r="W840" t="s">
        <v>52</v>
      </c>
      <c r="X840">
        <v>1.236</v>
      </c>
      <c r="Y840">
        <v>1.2708999999999999</v>
      </c>
      <c r="Z840">
        <v>1.236</v>
      </c>
      <c r="AA840">
        <v>1.2689999999999999</v>
      </c>
      <c r="AB840">
        <v>13.376300000000001</v>
      </c>
      <c r="AC840">
        <v>13.376300000000001</v>
      </c>
      <c r="AD840">
        <v>12.4778</v>
      </c>
      <c r="AE840">
        <v>12.4778</v>
      </c>
      <c r="AF840" t="s">
        <v>4840</v>
      </c>
      <c r="AG840" t="s">
        <v>4840</v>
      </c>
      <c r="AH840" t="s">
        <v>3894</v>
      </c>
      <c r="AI840" t="s">
        <v>3894</v>
      </c>
      <c r="AJ840" t="s">
        <v>3895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s="2">
        <v>2</v>
      </c>
      <c r="AS840" t="s">
        <v>3896</v>
      </c>
      <c r="AT840" t="s">
        <v>3890</v>
      </c>
      <c r="AU840" t="s">
        <v>3897</v>
      </c>
      <c r="AV840" t="s">
        <v>3898</v>
      </c>
      <c r="AW840">
        <v>2</v>
      </c>
      <c r="AX840">
        <v>0</v>
      </c>
    </row>
    <row r="841" spans="1:50" x14ac:dyDescent="0.25">
      <c r="A841" t="s">
        <v>4841</v>
      </c>
      <c r="B841" t="s">
        <v>3947</v>
      </c>
      <c r="C841" t="s">
        <v>3890</v>
      </c>
      <c r="D841">
        <v>26.105</v>
      </c>
      <c r="E841">
        <v>26.085999999999999</v>
      </c>
      <c r="F841" s="2">
        <v>5.9999999999999995E-4</v>
      </c>
      <c r="G841" t="s">
        <v>3697</v>
      </c>
      <c r="H841" t="s">
        <v>2070</v>
      </c>
      <c r="I841">
        <v>440595.27510000003</v>
      </c>
      <c r="J841">
        <v>1827531.784</v>
      </c>
      <c r="K841">
        <v>440629.67080000002</v>
      </c>
      <c r="L841">
        <v>1827531.7838999999</v>
      </c>
      <c r="M841" t="s">
        <v>56</v>
      </c>
      <c r="N841" t="s">
        <v>57</v>
      </c>
      <c r="O841">
        <v>1050</v>
      </c>
      <c r="P841" t="s">
        <v>3918</v>
      </c>
      <c r="Q841" t="s">
        <v>3930</v>
      </c>
      <c r="R841" t="s">
        <v>141</v>
      </c>
      <c r="S841" t="s">
        <v>3699</v>
      </c>
      <c r="T841" t="s">
        <v>4842</v>
      </c>
      <c r="U841">
        <v>0.2336</v>
      </c>
      <c r="V841">
        <v>0.2334</v>
      </c>
      <c r="W841" t="s">
        <v>52</v>
      </c>
      <c r="X841">
        <v>1.8508</v>
      </c>
      <c r="Y841">
        <v>2.0424000000000002</v>
      </c>
      <c r="Z841">
        <v>1.8714</v>
      </c>
      <c r="AA841">
        <v>1.976</v>
      </c>
      <c r="AB841">
        <v>34.395899999999997</v>
      </c>
      <c r="AC841">
        <v>34.395899999999997</v>
      </c>
      <c r="AD841">
        <v>33.795999999999999</v>
      </c>
      <c r="AE841">
        <v>33.795999999999999</v>
      </c>
      <c r="AF841" t="s">
        <v>4843</v>
      </c>
      <c r="AG841" t="s">
        <v>4843</v>
      </c>
      <c r="AH841" t="s">
        <v>3894</v>
      </c>
      <c r="AI841" t="s">
        <v>3894</v>
      </c>
      <c r="AJ841" t="s">
        <v>3895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s="2">
        <v>2</v>
      </c>
      <c r="AS841" t="s">
        <v>3896</v>
      </c>
      <c r="AT841" t="s">
        <v>3890</v>
      </c>
      <c r="AU841" t="s">
        <v>3950</v>
      </c>
      <c r="AV841" t="s">
        <v>3898</v>
      </c>
      <c r="AW841">
        <v>3</v>
      </c>
      <c r="AX841">
        <v>0</v>
      </c>
    </row>
    <row r="842" spans="1:50" x14ac:dyDescent="0.25">
      <c r="A842" t="s">
        <v>4844</v>
      </c>
      <c r="B842" t="s">
        <v>3889</v>
      </c>
      <c r="C842" t="s">
        <v>3890</v>
      </c>
      <c r="D842">
        <v>29.274000000000001</v>
      </c>
      <c r="E842">
        <v>29.254999999999999</v>
      </c>
      <c r="F842" s="2">
        <v>1E-3</v>
      </c>
      <c r="G842" t="s">
        <v>3835</v>
      </c>
      <c r="H842" t="s">
        <v>3839</v>
      </c>
      <c r="I842">
        <v>440398.47509999998</v>
      </c>
      <c r="J842">
        <v>1827769.3256999999</v>
      </c>
      <c r="K842">
        <v>440398.47509999998</v>
      </c>
      <c r="L842">
        <v>1827749.7609000001</v>
      </c>
      <c r="M842" t="s">
        <v>56</v>
      </c>
      <c r="N842" t="s">
        <v>57</v>
      </c>
      <c r="O842">
        <v>450</v>
      </c>
      <c r="P842" t="s">
        <v>3891</v>
      </c>
      <c r="Q842" t="s">
        <v>3892</v>
      </c>
      <c r="R842" t="s">
        <v>107</v>
      </c>
      <c r="S842" t="s">
        <v>3837</v>
      </c>
      <c r="T842" t="s">
        <v>428</v>
      </c>
      <c r="U842">
        <v>-2.0000000000000001E-4</v>
      </c>
      <c r="V842">
        <v>-2.0000000000000001E-4</v>
      </c>
      <c r="W842" t="s">
        <v>52</v>
      </c>
      <c r="X842">
        <v>0.97670000000000001</v>
      </c>
      <c r="Y842">
        <v>1.2069000000000001</v>
      </c>
      <c r="Z842">
        <v>0.98950000000000005</v>
      </c>
      <c r="AA842">
        <v>1.0239</v>
      </c>
      <c r="AB842">
        <v>19.564800000000002</v>
      </c>
      <c r="AC842">
        <v>19.564800000000002</v>
      </c>
      <c r="AD842">
        <v>18.365400000000001</v>
      </c>
      <c r="AE842">
        <v>18.365500000000001</v>
      </c>
      <c r="AF842" t="s">
        <v>2233</v>
      </c>
      <c r="AG842" t="s">
        <v>2233</v>
      </c>
      <c r="AH842" t="s">
        <v>3894</v>
      </c>
      <c r="AI842" t="s">
        <v>3894</v>
      </c>
      <c r="AJ842" t="s">
        <v>3895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s="2">
        <v>2</v>
      </c>
      <c r="AS842" t="s">
        <v>3896</v>
      </c>
      <c r="AT842" t="s">
        <v>3890</v>
      </c>
      <c r="AU842" t="s">
        <v>3897</v>
      </c>
      <c r="AV842" t="s">
        <v>3898</v>
      </c>
      <c r="AW842">
        <v>2</v>
      </c>
      <c r="AX842">
        <v>0</v>
      </c>
    </row>
    <row r="843" spans="1:50" x14ac:dyDescent="0.25">
      <c r="A843" t="s">
        <v>4845</v>
      </c>
      <c r="B843" t="s">
        <v>3933</v>
      </c>
      <c r="C843" t="s">
        <v>3890</v>
      </c>
      <c r="D843">
        <v>31.292000000000002</v>
      </c>
      <c r="E843">
        <v>31.27</v>
      </c>
      <c r="F843" s="2">
        <v>1E-3</v>
      </c>
      <c r="G843" t="s">
        <v>2014</v>
      </c>
      <c r="H843" t="s">
        <v>2018</v>
      </c>
      <c r="I843">
        <v>440132.59950000001</v>
      </c>
      <c r="J843">
        <v>1827864.1240999999</v>
      </c>
      <c r="K843">
        <v>440132.59950000001</v>
      </c>
      <c r="L843">
        <v>1827842.8171999999</v>
      </c>
      <c r="M843" t="s">
        <v>56</v>
      </c>
      <c r="N843" t="s">
        <v>57</v>
      </c>
      <c r="O843">
        <v>750</v>
      </c>
      <c r="P843" t="s">
        <v>58</v>
      </c>
      <c r="Q843" t="s">
        <v>3919</v>
      </c>
      <c r="R843" t="s">
        <v>1968</v>
      </c>
      <c r="S843" t="s">
        <v>2016</v>
      </c>
      <c r="T843" t="s">
        <v>853</v>
      </c>
      <c r="U843">
        <v>4.3099999999999999E-2</v>
      </c>
      <c r="V843">
        <v>3.3399999999999999E-2</v>
      </c>
      <c r="W843" t="s">
        <v>52</v>
      </c>
      <c r="X843">
        <v>0.79420000000000002</v>
      </c>
      <c r="Y843">
        <v>0.98809999999999998</v>
      </c>
      <c r="Z843">
        <v>0.84689999999999999</v>
      </c>
      <c r="AA843">
        <v>0.98299999999999998</v>
      </c>
      <c r="AB843">
        <v>21.306899999999999</v>
      </c>
      <c r="AC843">
        <v>21.306899999999999</v>
      </c>
      <c r="AD843">
        <v>20.107900000000001</v>
      </c>
      <c r="AE843">
        <v>20.108000000000001</v>
      </c>
      <c r="AF843" t="s">
        <v>2233</v>
      </c>
      <c r="AG843" t="s">
        <v>2233</v>
      </c>
      <c r="AH843" t="s">
        <v>3894</v>
      </c>
      <c r="AI843" t="s">
        <v>3894</v>
      </c>
      <c r="AJ843" t="s">
        <v>3895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3896</v>
      </c>
      <c r="AT843" t="s">
        <v>3890</v>
      </c>
      <c r="AU843" t="s">
        <v>3935</v>
      </c>
      <c r="AV843" t="s">
        <v>3898</v>
      </c>
      <c r="AW843">
        <v>2</v>
      </c>
      <c r="AX843">
        <v>0</v>
      </c>
    </row>
    <row r="844" spans="1:50" x14ac:dyDescent="0.25">
      <c r="A844" t="s">
        <v>4846</v>
      </c>
      <c r="B844" t="s">
        <v>3924</v>
      </c>
      <c r="C844" t="s">
        <v>3890</v>
      </c>
      <c r="D844">
        <v>28.62</v>
      </c>
      <c r="E844">
        <v>28.6</v>
      </c>
      <c r="F844" s="2">
        <v>1E-3</v>
      </c>
      <c r="G844" t="s">
        <v>2143</v>
      </c>
      <c r="H844" t="s">
        <v>2147</v>
      </c>
      <c r="I844">
        <v>440314.42489999998</v>
      </c>
      <c r="J844">
        <v>1827635.9125000001</v>
      </c>
      <c r="K844">
        <v>440314.42489999998</v>
      </c>
      <c r="L844">
        <v>1827615.5748000001</v>
      </c>
      <c r="M844" t="s">
        <v>56</v>
      </c>
      <c r="N844" t="s">
        <v>57</v>
      </c>
      <c r="O844">
        <v>750</v>
      </c>
      <c r="P844" t="s">
        <v>3891</v>
      </c>
      <c r="Q844" t="s">
        <v>3892</v>
      </c>
      <c r="R844" t="s">
        <v>156</v>
      </c>
      <c r="S844" t="s">
        <v>2145</v>
      </c>
      <c r="T844" t="s">
        <v>416</v>
      </c>
      <c r="U844">
        <v>-0.123</v>
      </c>
      <c r="V844">
        <v>-0.123</v>
      </c>
      <c r="W844" t="s">
        <v>52</v>
      </c>
      <c r="X844">
        <v>1.784</v>
      </c>
      <c r="Y844">
        <v>1.9198</v>
      </c>
      <c r="Z844">
        <v>1.784</v>
      </c>
      <c r="AA844">
        <v>1.9198</v>
      </c>
      <c r="AB844">
        <v>20.337700000000002</v>
      </c>
      <c r="AC844">
        <v>20.337700000000002</v>
      </c>
      <c r="AD844">
        <v>19.1386</v>
      </c>
      <c r="AE844">
        <v>19.1387</v>
      </c>
      <c r="AF844" t="s">
        <v>2233</v>
      </c>
      <c r="AG844" t="s">
        <v>2233</v>
      </c>
      <c r="AH844" t="s">
        <v>3894</v>
      </c>
      <c r="AI844" t="s">
        <v>3894</v>
      </c>
      <c r="AJ844" t="s">
        <v>3895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3896</v>
      </c>
      <c r="AT844" t="s">
        <v>3890</v>
      </c>
      <c r="AU844" t="s">
        <v>3926</v>
      </c>
      <c r="AV844" t="s">
        <v>3898</v>
      </c>
      <c r="AW844">
        <v>2</v>
      </c>
      <c r="AX844">
        <v>0</v>
      </c>
    </row>
    <row r="845" spans="1:50" x14ac:dyDescent="0.25">
      <c r="A845" t="s">
        <v>4847</v>
      </c>
      <c r="B845" t="s">
        <v>3955</v>
      </c>
      <c r="C845" t="s">
        <v>3890</v>
      </c>
      <c r="D845">
        <v>29.533999999999999</v>
      </c>
      <c r="E845">
        <v>29.518000000000001</v>
      </c>
      <c r="F845" s="2">
        <v>1E-3</v>
      </c>
      <c r="G845" t="s">
        <v>3411</v>
      </c>
      <c r="H845" t="s">
        <v>3415</v>
      </c>
      <c r="I845">
        <v>440314.34989999997</v>
      </c>
      <c r="J845">
        <v>1827384.5486000001</v>
      </c>
      <c r="K845">
        <v>440330.42509999999</v>
      </c>
      <c r="L845">
        <v>1827384.5236</v>
      </c>
      <c r="M845" t="s">
        <v>56</v>
      </c>
      <c r="N845" t="s">
        <v>57</v>
      </c>
      <c r="O845">
        <v>600</v>
      </c>
      <c r="P845" t="s">
        <v>109</v>
      </c>
      <c r="Q845" t="s">
        <v>3892</v>
      </c>
      <c r="R845" t="s">
        <v>54</v>
      </c>
      <c r="S845" t="s">
        <v>3413</v>
      </c>
      <c r="T845" t="s">
        <v>1444</v>
      </c>
      <c r="U845">
        <v>2.5000000000000001E-2</v>
      </c>
      <c r="V845">
        <v>0</v>
      </c>
      <c r="W845" t="s">
        <v>52</v>
      </c>
      <c r="X845">
        <v>1.3855999999999999</v>
      </c>
      <c r="Y845">
        <v>1.468</v>
      </c>
      <c r="Z845">
        <v>1.468</v>
      </c>
      <c r="AA845">
        <v>1.3855999999999999</v>
      </c>
      <c r="AB845">
        <v>16.075299999999999</v>
      </c>
      <c r="AC845">
        <v>16.075299999999999</v>
      </c>
      <c r="AD845">
        <v>14.876099999999999</v>
      </c>
      <c r="AE845">
        <v>14.876099999999999</v>
      </c>
      <c r="AF845" t="s">
        <v>4848</v>
      </c>
      <c r="AG845" t="s">
        <v>4848</v>
      </c>
      <c r="AH845" t="s">
        <v>3894</v>
      </c>
      <c r="AI845" t="s">
        <v>3894</v>
      </c>
      <c r="AJ845" t="s">
        <v>3895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3896</v>
      </c>
      <c r="AT845" t="s">
        <v>3890</v>
      </c>
      <c r="AU845" t="s">
        <v>3956</v>
      </c>
      <c r="AV845" t="s">
        <v>3898</v>
      </c>
      <c r="AW845">
        <v>2</v>
      </c>
      <c r="AX845">
        <v>0</v>
      </c>
    </row>
    <row r="846" spans="1:50" x14ac:dyDescent="0.25">
      <c r="A846" t="s">
        <v>4849</v>
      </c>
      <c r="B846" t="s">
        <v>3996</v>
      </c>
      <c r="C846" t="s">
        <v>3890</v>
      </c>
      <c r="D846">
        <v>27.166</v>
      </c>
      <c r="E846">
        <v>27.145</v>
      </c>
      <c r="F846" s="2">
        <v>1E-3</v>
      </c>
      <c r="G846" t="s">
        <v>3739</v>
      </c>
      <c r="H846" t="s">
        <v>3743</v>
      </c>
      <c r="I846">
        <v>440405.98790000001</v>
      </c>
      <c r="J846">
        <v>1827549.9790000001</v>
      </c>
      <c r="K846">
        <v>440427.72869999998</v>
      </c>
      <c r="L846">
        <v>1827549.9786</v>
      </c>
      <c r="M846" t="s">
        <v>56</v>
      </c>
      <c r="N846" t="s">
        <v>57</v>
      </c>
      <c r="O846">
        <v>1350</v>
      </c>
      <c r="P846" t="s">
        <v>3997</v>
      </c>
      <c r="Q846" t="s">
        <v>3998</v>
      </c>
      <c r="R846" t="s">
        <v>180</v>
      </c>
      <c r="S846" t="s">
        <v>3741</v>
      </c>
      <c r="T846" t="s">
        <v>3745</v>
      </c>
      <c r="U846">
        <v>-0.55479999999999996</v>
      </c>
      <c r="V846">
        <v>-0.55520000000000003</v>
      </c>
      <c r="W846" t="s">
        <v>52</v>
      </c>
      <c r="X846">
        <v>1.431</v>
      </c>
      <c r="Y846">
        <v>1.5306</v>
      </c>
      <c r="Z846">
        <v>1.5306</v>
      </c>
      <c r="AA846">
        <v>1.431</v>
      </c>
      <c r="AB846">
        <v>21.7408</v>
      </c>
      <c r="AC846">
        <v>21.7408</v>
      </c>
      <c r="AD846">
        <v>20.5426</v>
      </c>
      <c r="AE846">
        <v>20.5426</v>
      </c>
      <c r="AF846" t="s">
        <v>4850</v>
      </c>
      <c r="AG846" t="s">
        <v>4850</v>
      </c>
      <c r="AH846" t="s">
        <v>3894</v>
      </c>
      <c r="AI846" t="s">
        <v>3894</v>
      </c>
      <c r="AJ846" t="s">
        <v>3895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3896</v>
      </c>
      <c r="AT846" t="s">
        <v>3890</v>
      </c>
      <c r="AU846" t="s">
        <v>4000</v>
      </c>
      <c r="AV846" t="s">
        <v>3898</v>
      </c>
      <c r="AW846">
        <v>2</v>
      </c>
      <c r="AX846">
        <v>0</v>
      </c>
    </row>
    <row r="847" spans="1:50" x14ac:dyDescent="0.25">
      <c r="A847" t="s">
        <v>4851</v>
      </c>
      <c r="B847" t="s">
        <v>3963</v>
      </c>
      <c r="C847" t="s">
        <v>3890</v>
      </c>
      <c r="D847">
        <v>28.515000000000001</v>
      </c>
      <c r="E847">
        <v>28.497</v>
      </c>
      <c r="F847" s="2">
        <v>1E-3</v>
      </c>
      <c r="G847" t="s">
        <v>2778</v>
      </c>
      <c r="H847" t="s">
        <v>2782</v>
      </c>
      <c r="I847">
        <v>440548.59669999999</v>
      </c>
      <c r="J847">
        <v>1827778.6007000001</v>
      </c>
      <c r="K847">
        <v>440566.29139999999</v>
      </c>
      <c r="L847">
        <v>1827778.6007000001</v>
      </c>
      <c r="M847" t="s">
        <v>56</v>
      </c>
      <c r="N847" t="s">
        <v>57</v>
      </c>
      <c r="O847">
        <v>600</v>
      </c>
      <c r="P847" t="s">
        <v>3891</v>
      </c>
      <c r="Q847" t="s">
        <v>3892</v>
      </c>
      <c r="R847" t="s">
        <v>200</v>
      </c>
      <c r="S847" t="s">
        <v>2780</v>
      </c>
      <c r="T847" t="s">
        <v>2784</v>
      </c>
      <c r="U847">
        <v>2.7799999999999998E-2</v>
      </c>
      <c r="V847">
        <v>2.18E-2</v>
      </c>
      <c r="W847" t="s">
        <v>52</v>
      </c>
      <c r="X847">
        <v>1.0407999999999999</v>
      </c>
      <c r="Y847">
        <v>1.0959000000000001</v>
      </c>
      <c r="Z847">
        <v>1.0407999999999999</v>
      </c>
      <c r="AA847">
        <v>1.0959000000000001</v>
      </c>
      <c r="AB847">
        <v>17.694600000000001</v>
      </c>
      <c r="AC847">
        <v>17.694700000000001</v>
      </c>
      <c r="AD847">
        <v>16.4955</v>
      </c>
      <c r="AE847">
        <v>16.4955</v>
      </c>
      <c r="AF847" t="s">
        <v>183</v>
      </c>
      <c r="AG847" t="s">
        <v>183</v>
      </c>
      <c r="AH847" t="s">
        <v>3894</v>
      </c>
      <c r="AI847" t="s">
        <v>3894</v>
      </c>
      <c r="AJ847" t="s">
        <v>3895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3896</v>
      </c>
      <c r="AT847" t="s">
        <v>3890</v>
      </c>
      <c r="AU847" t="s">
        <v>3964</v>
      </c>
      <c r="AV847" t="s">
        <v>3898</v>
      </c>
      <c r="AW847">
        <v>2</v>
      </c>
      <c r="AX847">
        <v>0</v>
      </c>
    </row>
    <row r="848" spans="1:50" x14ac:dyDescent="0.25">
      <c r="A848" t="s">
        <v>4852</v>
      </c>
      <c r="B848" t="s">
        <v>3889</v>
      </c>
      <c r="C848" t="s">
        <v>3890</v>
      </c>
      <c r="D848">
        <v>29.721</v>
      </c>
      <c r="E848">
        <v>29.702000000000002</v>
      </c>
      <c r="F848" s="2">
        <v>1E-3</v>
      </c>
      <c r="G848" t="s">
        <v>2453</v>
      </c>
      <c r="H848" t="s">
        <v>2457</v>
      </c>
      <c r="I848">
        <v>440529.67509999999</v>
      </c>
      <c r="J848">
        <v>1827935.2109000001</v>
      </c>
      <c r="K848">
        <v>440548.35820000002</v>
      </c>
      <c r="L848">
        <v>1827935.2109000001</v>
      </c>
      <c r="M848" t="s">
        <v>56</v>
      </c>
      <c r="N848" t="s">
        <v>57</v>
      </c>
      <c r="O848">
        <v>450</v>
      </c>
      <c r="P848" t="s">
        <v>3891</v>
      </c>
      <c r="Q848" t="s">
        <v>3892</v>
      </c>
      <c r="R848" t="s">
        <v>241</v>
      </c>
      <c r="S848" t="s">
        <v>2455</v>
      </c>
      <c r="T848" t="s">
        <v>2459</v>
      </c>
      <c r="U848">
        <v>0.25</v>
      </c>
      <c r="V848">
        <v>0.25</v>
      </c>
      <c r="W848" t="s">
        <v>52</v>
      </c>
      <c r="X848">
        <v>0.84309999999999996</v>
      </c>
      <c r="Y848">
        <v>1.0089999999999999</v>
      </c>
      <c r="Z848">
        <v>0.86519999999999997</v>
      </c>
      <c r="AA848">
        <v>0.92720000000000002</v>
      </c>
      <c r="AB848">
        <v>18.6831</v>
      </c>
      <c r="AC848">
        <v>18.6831</v>
      </c>
      <c r="AD848">
        <v>17.483799999999999</v>
      </c>
      <c r="AE848">
        <v>17.483899999999998</v>
      </c>
      <c r="AF848" t="s">
        <v>183</v>
      </c>
      <c r="AG848" t="s">
        <v>183</v>
      </c>
      <c r="AH848" t="s">
        <v>3894</v>
      </c>
      <c r="AI848" t="s">
        <v>3894</v>
      </c>
      <c r="AJ848" t="s">
        <v>3895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3896</v>
      </c>
      <c r="AT848" t="s">
        <v>3890</v>
      </c>
      <c r="AU848" t="s">
        <v>3897</v>
      </c>
      <c r="AV848" t="s">
        <v>3898</v>
      </c>
      <c r="AW848">
        <v>2</v>
      </c>
      <c r="AX848">
        <v>0</v>
      </c>
    </row>
    <row r="849" spans="1:50" x14ac:dyDescent="0.25">
      <c r="A849" t="s">
        <v>4853</v>
      </c>
      <c r="B849" t="s">
        <v>3947</v>
      </c>
      <c r="C849" t="s">
        <v>3890</v>
      </c>
      <c r="D849">
        <v>27.478000000000002</v>
      </c>
      <c r="E849">
        <v>27.373000000000001</v>
      </c>
      <c r="F849" s="2">
        <v>4.8999999999999998E-3</v>
      </c>
      <c r="G849" t="s">
        <v>3626</v>
      </c>
      <c r="H849" t="s">
        <v>3630</v>
      </c>
      <c r="I849">
        <v>440529.60009999998</v>
      </c>
      <c r="J849">
        <v>1827531.7822</v>
      </c>
      <c r="K849">
        <v>440550.87599999999</v>
      </c>
      <c r="L849">
        <v>1827531.7826</v>
      </c>
      <c r="M849" t="s">
        <v>56</v>
      </c>
      <c r="N849" t="s">
        <v>57</v>
      </c>
      <c r="O849">
        <v>1050</v>
      </c>
      <c r="P849" t="s">
        <v>3918</v>
      </c>
      <c r="Q849" t="s">
        <v>3930</v>
      </c>
      <c r="R849" t="s">
        <v>141</v>
      </c>
      <c r="S849" s="1" t="s">
        <v>3628</v>
      </c>
      <c r="T849" t="s">
        <v>3632</v>
      </c>
      <c r="U849">
        <v>0.23180000000000001</v>
      </c>
      <c r="V849">
        <v>0.23219999999999999</v>
      </c>
      <c r="W849" t="s">
        <v>52</v>
      </c>
      <c r="X849">
        <v>1.0226</v>
      </c>
      <c r="Y849">
        <v>1.1398999999999999</v>
      </c>
      <c r="Z849">
        <v>1.1398999999999999</v>
      </c>
      <c r="AA849">
        <v>1.0226</v>
      </c>
      <c r="AB849">
        <v>21.2759</v>
      </c>
      <c r="AC849">
        <v>21.276199999999999</v>
      </c>
      <c r="AD849">
        <v>20.082799999999999</v>
      </c>
      <c r="AE849">
        <v>20.082999999999998</v>
      </c>
      <c r="AF849" t="s">
        <v>4854</v>
      </c>
      <c r="AG849" t="s">
        <v>4854</v>
      </c>
      <c r="AH849" t="s">
        <v>3894</v>
      </c>
      <c r="AI849" t="s">
        <v>3894</v>
      </c>
      <c r="AJ849" t="s">
        <v>3895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3896</v>
      </c>
      <c r="AT849" t="s">
        <v>3890</v>
      </c>
      <c r="AU849" t="s">
        <v>3950</v>
      </c>
      <c r="AV849" t="s">
        <v>3898</v>
      </c>
      <c r="AW849">
        <v>2</v>
      </c>
      <c r="AX849">
        <v>0</v>
      </c>
    </row>
    <row r="850" spans="1:50" x14ac:dyDescent="0.25">
      <c r="A850" t="s">
        <v>4855</v>
      </c>
      <c r="B850" t="s">
        <v>3889</v>
      </c>
      <c r="C850" t="s">
        <v>3890</v>
      </c>
      <c r="D850">
        <v>32.731000000000002</v>
      </c>
      <c r="E850">
        <v>32.712000000000003</v>
      </c>
      <c r="F850" s="2">
        <v>1E-3</v>
      </c>
      <c r="G850" t="s">
        <v>1977</v>
      </c>
      <c r="H850" t="s">
        <v>1981</v>
      </c>
      <c r="I850">
        <v>440132.7745</v>
      </c>
      <c r="J850">
        <v>1828102.3838</v>
      </c>
      <c r="K850">
        <v>440132.7745</v>
      </c>
      <c r="L850">
        <v>1828082.8171999999</v>
      </c>
      <c r="M850" t="s">
        <v>56</v>
      </c>
      <c r="N850" t="s">
        <v>57</v>
      </c>
      <c r="O850">
        <v>450</v>
      </c>
      <c r="P850" t="s">
        <v>3891</v>
      </c>
      <c r="Q850" t="s">
        <v>3892</v>
      </c>
      <c r="R850" t="s">
        <v>1968</v>
      </c>
      <c r="S850" t="s">
        <v>1979</v>
      </c>
      <c r="T850" t="s">
        <v>432</v>
      </c>
      <c r="U850">
        <v>-2.3400000000000001E-2</v>
      </c>
      <c r="V850">
        <v>-3.2300000000000002E-2</v>
      </c>
      <c r="W850" t="s">
        <v>52</v>
      </c>
      <c r="X850">
        <v>0.76529999999999998</v>
      </c>
      <c r="Y850">
        <v>0.9496</v>
      </c>
      <c r="Z850">
        <v>0.86850000000000005</v>
      </c>
      <c r="AA850">
        <v>0.93940000000000001</v>
      </c>
      <c r="AB850">
        <v>19.566600000000001</v>
      </c>
      <c r="AC850">
        <v>19.566600000000001</v>
      </c>
      <c r="AD850">
        <v>18.3672</v>
      </c>
      <c r="AE850">
        <v>18.3673</v>
      </c>
      <c r="AF850" t="s">
        <v>2233</v>
      </c>
      <c r="AG850" t="s">
        <v>2233</v>
      </c>
      <c r="AH850" t="s">
        <v>3894</v>
      </c>
      <c r="AI850" t="s">
        <v>3894</v>
      </c>
      <c r="AJ850" t="s">
        <v>3895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3896</v>
      </c>
      <c r="AT850" t="s">
        <v>3890</v>
      </c>
      <c r="AU850" t="s">
        <v>3897</v>
      </c>
      <c r="AV850" t="s">
        <v>3898</v>
      </c>
      <c r="AW850">
        <v>2</v>
      </c>
      <c r="AX850">
        <v>0</v>
      </c>
    </row>
    <row r="851" spans="1:50" x14ac:dyDescent="0.25">
      <c r="A851" t="s">
        <v>4856</v>
      </c>
      <c r="B851" t="s">
        <v>4004</v>
      </c>
      <c r="C851" t="s">
        <v>3890</v>
      </c>
      <c r="D851">
        <v>28.195</v>
      </c>
      <c r="E851">
        <v>28.175999999999998</v>
      </c>
      <c r="F851" s="2">
        <v>1E-3</v>
      </c>
      <c r="G851" t="s">
        <v>2927</v>
      </c>
      <c r="H851" t="s">
        <v>2931</v>
      </c>
      <c r="I851">
        <v>440481.25630000001</v>
      </c>
      <c r="J851">
        <v>1827692.7645</v>
      </c>
      <c r="K851">
        <v>440500.58769999997</v>
      </c>
      <c r="L851">
        <v>1827692.7645</v>
      </c>
      <c r="M851" t="s">
        <v>56</v>
      </c>
      <c r="N851" t="s">
        <v>57</v>
      </c>
      <c r="O851">
        <v>600</v>
      </c>
      <c r="P851" t="s">
        <v>58</v>
      </c>
      <c r="Q851" t="s">
        <v>3892</v>
      </c>
      <c r="R851" t="s">
        <v>1112</v>
      </c>
      <c r="S851" t="s">
        <v>2929</v>
      </c>
      <c r="T851" t="s">
        <v>2933</v>
      </c>
      <c r="U851">
        <v>-3.4700000000000002E-2</v>
      </c>
      <c r="V851">
        <v>-2.9899999999999999E-2</v>
      </c>
      <c r="W851" t="s">
        <v>52</v>
      </c>
      <c r="X851">
        <v>1.016</v>
      </c>
      <c r="Y851">
        <v>1.0357000000000001</v>
      </c>
      <c r="Z851">
        <v>1.0357000000000001</v>
      </c>
      <c r="AA851">
        <v>1.016</v>
      </c>
      <c r="AB851">
        <v>19.331299999999999</v>
      </c>
      <c r="AC851">
        <v>19.331299999999999</v>
      </c>
      <c r="AD851">
        <v>18.132200000000001</v>
      </c>
      <c r="AE851">
        <v>18.132200000000001</v>
      </c>
      <c r="AF851" t="s">
        <v>183</v>
      </c>
      <c r="AG851" t="s">
        <v>183</v>
      </c>
      <c r="AH851" t="s">
        <v>3894</v>
      </c>
      <c r="AI851" t="s">
        <v>3894</v>
      </c>
      <c r="AJ851" t="s">
        <v>3895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3896</v>
      </c>
      <c r="AT851" t="s">
        <v>3890</v>
      </c>
      <c r="AU851" t="s">
        <v>4006</v>
      </c>
      <c r="AV851" t="s">
        <v>3898</v>
      </c>
      <c r="AW851">
        <v>2</v>
      </c>
      <c r="AX851">
        <v>0</v>
      </c>
    </row>
    <row r="852" spans="1:50" x14ac:dyDescent="0.25">
      <c r="A852" t="s">
        <v>4857</v>
      </c>
      <c r="B852" t="s">
        <v>3889</v>
      </c>
      <c r="C852" t="s">
        <v>3890</v>
      </c>
      <c r="D852">
        <v>31.957000000000001</v>
      </c>
      <c r="E852">
        <v>31.937000000000001</v>
      </c>
      <c r="F852" s="2">
        <v>1E-3</v>
      </c>
      <c r="G852" t="s">
        <v>384</v>
      </c>
      <c r="H852" t="s">
        <v>1366</v>
      </c>
      <c r="I852">
        <v>440053.7745</v>
      </c>
      <c r="J852">
        <v>1827780.6348000001</v>
      </c>
      <c r="K852">
        <v>440053.7745</v>
      </c>
      <c r="L852">
        <v>1827760.9783000001</v>
      </c>
      <c r="M852" t="s">
        <v>56</v>
      </c>
      <c r="N852" t="s">
        <v>57</v>
      </c>
      <c r="O852">
        <v>450</v>
      </c>
      <c r="P852" t="s">
        <v>3891</v>
      </c>
      <c r="Q852" t="s">
        <v>3892</v>
      </c>
      <c r="R852" t="s">
        <v>381</v>
      </c>
      <c r="S852" t="s">
        <v>386</v>
      </c>
      <c r="T852" t="s">
        <v>1368</v>
      </c>
      <c r="U852">
        <v>-6.6E-3</v>
      </c>
      <c r="V852">
        <v>-1.24E-2</v>
      </c>
      <c r="W852" t="s">
        <v>52</v>
      </c>
      <c r="X852">
        <v>1.0270999999999999</v>
      </c>
      <c r="Y852">
        <v>1.0315000000000001</v>
      </c>
      <c r="Z852">
        <v>1.0270999999999999</v>
      </c>
      <c r="AA852">
        <v>1.03</v>
      </c>
      <c r="AB852">
        <v>19.656500000000001</v>
      </c>
      <c r="AC852">
        <v>19.656500000000001</v>
      </c>
      <c r="AD852">
        <v>18.4572</v>
      </c>
      <c r="AE852">
        <v>18.4572</v>
      </c>
      <c r="AF852" t="s">
        <v>2233</v>
      </c>
      <c r="AG852" t="s">
        <v>2233</v>
      </c>
      <c r="AH852" t="s">
        <v>3894</v>
      </c>
      <c r="AI852" t="s">
        <v>3894</v>
      </c>
      <c r="AJ852" t="s">
        <v>3895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3896</v>
      </c>
      <c r="AT852" t="s">
        <v>3890</v>
      </c>
      <c r="AU852" t="s">
        <v>3897</v>
      </c>
      <c r="AV852" t="s">
        <v>3898</v>
      </c>
      <c r="AW852">
        <v>2</v>
      </c>
      <c r="AX852">
        <v>0</v>
      </c>
    </row>
    <row r="853" spans="1:50" x14ac:dyDescent="0.25">
      <c r="A853" t="s">
        <v>4858</v>
      </c>
      <c r="B853" t="s">
        <v>4355</v>
      </c>
      <c r="C853" t="s">
        <v>3890</v>
      </c>
      <c r="D853">
        <v>30.922999999999998</v>
      </c>
      <c r="E853">
        <v>30.904</v>
      </c>
      <c r="F853" s="2">
        <v>1E-3</v>
      </c>
      <c r="G853" t="s">
        <v>1926</v>
      </c>
      <c r="H853" t="s">
        <v>1930</v>
      </c>
      <c r="I853">
        <v>440121.94949999999</v>
      </c>
      <c r="J853">
        <v>1827821.54</v>
      </c>
      <c r="K853">
        <v>440121.94949999999</v>
      </c>
      <c r="L853">
        <v>1827802.8171999999</v>
      </c>
      <c r="M853" t="s">
        <v>56</v>
      </c>
      <c r="N853" t="s">
        <v>57</v>
      </c>
      <c r="O853">
        <v>900</v>
      </c>
      <c r="P853" t="s">
        <v>3918</v>
      </c>
      <c r="Q853" t="s">
        <v>3930</v>
      </c>
      <c r="R853" t="s">
        <v>395</v>
      </c>
      <c r="S853" t="s">
        <v>1928</v>
      </c>
      <c r="T853" t="s">
        <v>865</v>
      </c>
      <c r="U853">
        <v>-0.1971</v>
      </c>
      <c r="V853">
        <v>-0.1971</v>
      </c>
      <c r="W853" t="s">
        <v>52</v>
      </c>
      <c r="X853">
        <v>0.9133</v>
      </c>
      <c r="Y853">
        <v>0.94520000000000004</v>
      </c>
      <c r="Z853">
        <v>0.94520000000000004</v>
      </c>
      <c r="AA853">
        <v>0.9133</v>
      </c>
      <c r="AB853">
        <v>18.7227</v>
      </c>
      <c r="AC853">
        <v>18.722799999999999</v>
      </c>
      <c r="AD853">
        <v>17.524000000000001</v>
      </c>
      <c r="AE853">
        <v>17.524000000000001</v>
      </c>
      <c r="AF853" t="s">
        <v>2233</v>
      </c>
      <c r="AG853" t="s">
        <v>2233</v>
      </c>
      <c r="AH853" t="s">
        <v>3894</v>
      </c>
      <c r="AI853" t="s">
        <v>3894</v>
      </c>
      <c r="AJ853" t="s">
        <v>3895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3896</v>
      </c>
      <c r="AT853" t="s">
        <v>3890</v>
      </c>
      <c r="AU853" t="s">
        <v>4357</v>
      </c>
      <c r="AV853" t="s">
        <v>3898</v>
      </c>
      <c r="AW853">
        <v>2</v>
      </c>
      <c r="AX853">
        <v>0</v>
      </c>
    </row>
    <row r="854" spans="1:50" x14ac:dyDescent="0.25">
      <c r="A854" t="s">
        <v>4859</v>
      </c>
      <c r="B854" t="s">
        <v>3963</v>
      </c>
      <c r="C854" t="s">
        <v>3890</v>
      </c>
      <c r="D854">
        <v>30.44</v>
      </c>
      <c r="E854">
        <v>30.42</v>
      </c>
      <c r="F854" s="2">
        <v>1E-3</v>
      </c>
      <c r="G854" t="s">
        <v>879</v>
      </c>
      <c r="H854" t="s">
        <v>883</v>
      </c>
      <c r="I854">
        <v>440248.7499</v>
      </c>
      <c r="J854">
        <v>1827439.4838</v>
      </c>
      <c r="K854">
        <v>440248.7499</v>
      </c>
      <c r="L854">
        <v>1827459.2461000001</v>
      </c>
      <c r="M854" t="s">
        <v>56</v>
      </c>
      <c r="N854" t="s">
        <v>57</v>
      </c>
      <c r="O854">
        <v>600</v>
      </c>
      <c r="P854" t="s">
        <v>3891</v>
      </c>
      <c r="Q854" t="s">
        <v>3892</v>
      </c>
      <c r="R854" t="s">
        <v>881</v>
      </c>
      <c r="S854" s="1" t="s">
        <v>440</v>
      </c>
      <c r="T854" t="s">
        <v>885</v>
      </c>
      <c r="U854">
        <v>7.4999999999999997E-2</v>
      </c>
      <c r="V854">
        <v>7.4999999999999997E-2</v>
      </c>
      <c r="W854" t="s">
        <v>52</v>
      </c>
      <c r="X854">
        <v>0.94689999999999996</v>
      </c>
      <c r="Y854">
        <v>0.99680000000000002</v>
      </c>
      <c r="Z854">
        <v>0.99680000000000002</v>
      </c>
      <c r="AA854">
        <v>0.94689999999999996</v>
      </c>
      <c r="AB854">
        <v>19.7623</v>
      </c>
      <c r="AC854">
        <v>19.7624</v>
      </c>
      <c r="AD854">
        <v>18.563199999999998</v>
      </c>
      <c r="AE854">
        <v>18.563199999999998</v>
      </c>
      <c r="AF854" t="s">
        <v>67</v>
      </c>
      <c r="AG854" t="s">
        <v>67</v>
      </c>
      <c r="AH854" t="s">
        <v>3894</v>
      </c>
      <c r="AI854" t="s">
        <v>3894</v>
      </c>
      <c r="AJ854" t="s">
        <v>3895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3896</v>
      </c>
      <c r="AT854" t="s">
        <v>3890</v>
      </c>
      <c r="AU854" t="s">
        <v>3964</v>
      </c>
      <c r="AV854" t="s">
        <v>3898</v>
      </c>
      <c r="AW854">
        <v>2</v>
      </c>
      <c r="AX854">
        <v>0</v>
      </c>
    </row>
    <row r="855" spans="1:50" x14ac:dyDescent="0.25">
      <c r="A855" t="s">
        <v>4860</v>
      </c>
      <c r="B855" t="s">
        <v>4355</v>
      </c>
      <c r="C855" t="s">
        <v>3890</v>
      </c>
      <c r="D855">
        <v>30.943999999999999</v>
      </c>
      <c r="E855">
        <v>30.922999999999998</v>
      </c>
      <c r="F855" s="2">
        <v>1E-3</v>
      </c>
      <c r="G855" t="s">
        <v>1923</v>
      </c>
      <c r="H855" t="s">
        <v>1926</v>
      </c>
      <c r="I855">
        <v>440121.94949999999</v>
      </c>
      <c r="J855">
        <v>1827842.8171999999</v>
      </c>
      <c r="K855">
        <v>440121.94949999999</v>
      </c>
      <c r="L855">
        <v>1827821.54</v>
      </c>
      <c r="M855" t="s">
        <v>56</v>
      </c>
      <c r="N855" t="s">
        <v>57</v>
      </c>
      <c r="O855">
        <v>900</v>
      </c>
      <c r="P855" t="s">
        <v>3918</v>
      </c>
      <c r="Q855" t="s">
        <v>3930</v>
      </c>
      <c r="R855" t="s">
        <v>395</v>
      </c>
      <c r="S855" t="s">
        <v>853</v>
      </c>
      <c r="T855" t="s">
        <v>1928</v>
      </c>
      <c r="U855">
        <v>-0.1971</v>
      </c>
      <c r="V855">
        <v>-0.1971</v>
      </c>
      <c r="W855" t="s">
        <v>52</v>
      </c>
      <c r="X855">
        <v>0.94520000000000004</v>
      </c>
      <c r="Y855">
        <v>0.98199999999999998</v>
      </c>
      <c r="Z855">
        <v>0.98199999999999998</v>
      </c>
      <c r="AA855">
        <v>0.94520000000000004</v>
      </c>
      <c r="AB855">
        <v>21.2773</v>
      </c>
      <c r="AC855">
        <v>21.2773</v>
      </c>
      <c r="AD855">
        <v>20.078499999999998</v>
      </c>
      <c r="AE855">
        <v>20.078499999999998</v>
      </c>
      <c r="AF855" t="s">
        <v>2233</v>
      </c>
      <c r="AG855" t="s">
        <v>2233</v>
      </c>
      <c r="AH855" t="s">
        <v>3894</v>
      </c>
      <c r="AI855" t="s">
        <v>3894</v>
      </c>
      <c r="AJ855" t="s">
        <v>3895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3896</v>
      </c>
      <c r="AT855" t="s">
        <v>3890</v>
      </c>
      <c r="AU855" t="s">
        <v>4357</v>
      </c>
      <c r="AV855" t="s">
        <v>3898</v>
      </c>
      <c r="AW855">
        <v>2</v>
      </c>
      <c r="AX855">
        <v>0</v>
      </c>
    </row>
    <row r="856" spans="1:50" x14ac:dyDescent="0.25">
      <c r="A856" t="s">
        <v>4861</v>
      </c>
      <c r="B856" t="s">
        <v>3963</v>
      </c>
      <c r="C856" t="s">
        <v>3890</v>
      </c>
      <c r="D856">
        <v>28.533999999999999</v>
      </c>
      <c r="E856">
        <v>28.515000000000001</v>
      </c>
      <c r="F856" s="2">
        <v>1E-3</v>
      </c>
      <c r="G856" t="s">
        <v>2774</v>
      </c>
      <c r="H856" t="s">
        <v>2778</v>
      </c>
      <c r="I856">
        <v>440529.32510000002</v>
      </c>
      <c r="J856">
        <v>1827778.6007000001</v>
      </c>
      <c r="K856">
        <v>440548.59669999999</v>
      </c>
      <c r="L856">
        <v>1827778.6007000001</v>
      </c>
      <c r="M856" t="s">
        <v>56</v>
      </c>
      <c r="N856" t="s">
        <v>57</v>
      </c>
      <c r="O856">
        <v>600</v>
      </c>
      <c r="P856" t="s">
        <v>3891</v>
      </c>
      <c r="Q856" t="s">
        <v>3892</v>
      </c>
      <c r="R856" t="s">
        <v>200</v>
      </c>
      <c r="S856" t="s">
        <v>2776</v>
      </c>
      <c r="T856" t="s">
        <v>2780</v>
      </c>
      <c r="U856">
        <v>3.4299999999999997E-2</v>
      </c>
      <c r="V856">
        <v>2.7799999999999998E-2</v>
      </c>
      <c r="W856" t="s">
        <v>52</v>
      </c>
      <c r="X856">
        <v>0.85060000000000002</v>
      </c>
      <c r="Y856">
        <v>1.0407999999999999</v>
      </c>
      <c r="Z856">
        <v>0.88090000000000002</v>
      </c>
      <c r="AA856">
        <v>1.0407999999999999</v>
      </c>
      <c r="AB856">
        <v>19.271599999999999</v>
      </c>
      <c r="AC856">
        <v>19.271599999999999</v>
      </c>
      <c r="AD856">
        <v>18.072500000000002</v>
      </c>
      <c r="AE856">
        <v>18.072500000000002</v>
      </c>
      <c r="AF856" t="s">
        <v>183</v>
      </c>
      <c r="AG856" t="s">
        <v>183</v>
      </c>
      <c r="AH856" t="s">
        <v>3894</v>
      </c>
      <c r="AI856" t="s">
        <v>3894</v>
      </c>
      <c r="AJ856" t="s">
        <v>3895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3896</v>
      </c>
      <c r="AT856" t="s">
        <v>3890</v>
      </c>
      <c r="AU856" t="s">
        <v>3964</v>
      </c>
      <c r="AV856" t="s">
        <v>3898</v>
      </c>
      <c r="AW856">
        <v>2</v>
      </c>
      <c r="AX856">
        <v>0</v>
      </c>
    </row>
    <row r="857" spans="1:50" x14ac:dyDescent="0.25">
      <c r="A857" t="s">
        <v>4862</v>
      </c>
      <c r="B857" t="s">
        <v>3933</v>
      </c>
      <c r="C857" t="s">
        <v>3890</v>
      </c>
      <c r="D857">
        <v>29.24</v>
      </c>
      <c r="E857">
        <v>29.227</v>
      </c>
      <c r="F857" s="2">
        <v>1E-3</v>
      </c>
      <c r="G857" t="s">
        <v>1103</v>
      </c>
      <c r="H857" t="s">
        <v>1106</v>
      </c>
      <c r="I857">
        <v>440230.4252</v>
      </c>
      <c r="J857">
        <v>1827703.6144999999</v>
      </c>
      <c r="K857">
        <v>440217.54979999998</v>
      </c>
      <c r="L857">
        <v>1827703.6144999999</v>
      </c>
      <c r="M857" t="s">
        <v>56</v>
      </c>
      <c r="N857" t="s">
        <v>57</v>
      </c>
      <c r="O857">
        <v>750</v>
      </c>
      <c r="P857" t="s">
        <v>58</v>
      </c>
      <c r="Q857" t="s">
        <v>3919</v>
      </c>
      <c r="R857" t="s">
        <v>1056</v>
      </c>
      <c r="S857" t="s">
        <v>853</v>
      </c>
      <c r="T857" t="s">
        <v>1108</v>
      </c>
      <c r="U857">
        <v>-0.1</v>
      </c>
      <c r="V857">
        <v>-0.1</v>
      </c>
      <c r="W857" t="s">
        <v>52</v>
      </c>
      <c r="X857">
        <v>1.6052999999999999</v>
      </c>
      <c r="Y857">
        <v>1.7553000000000001</v>
      </c>
      <c r="Z857">
        <v>1.6546000000000001</v>
      </c>
      <c r="AA857">
        <v>1.6402000000000001</v>
      </c>
      <c r="AB857">
        <v>12.875500000000001</v>
      </c>
      <c r="AC857">
        <v>12.875500000000001</v>
      </c>
      <c r="AD857">
        <v>11.9015</v>
      </c>
      <c r="AE857">
        <v>11.9015</v>
      </c>
      <c r="AF857" t="s">
        <v>4630</v>
      </c>
      <c r="AG857" t="s">
        <v>4630</v>
      </c>
      <c r="AH857" t="s">
        <v>3894</v>
      </c>
      <c r="AI857" t="s">
        <v>3894</v>
      </c>
      <c r="AJ857" t="s">
        <v>3895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3896</v>
      </c>
      <c r="AT857" t="s">
        <v>3890</v>
      </c>
      <c r="AU857" t="s">
        <v>3935</v>
      </c>
      <c r="AV857" t="s">
        <v>3898</v>
      </c>
      <c r="AW857">
        <v>2</v>
      </c>
      <c r="AX857">
        <v>0</v>
      </c>
    </row>
    <row r="858" spans="1:50" x14ac:dyDescent="0.25">
      <c r="A858" t="s">
        <v>4863</v>
      </c>
      <c r="B858" t="s">
        <v>3933</v>
      </c>
      <c r="C858" t="s">
        <v>3890</v>
      </c>
      <c r="D858">
        <v>28.905000000000001</v>
      </c>
      <c r="E858">
        <v>28.891999999999999</v>
      </c>
      <c r="F858" s="2">
        <v>1E-3</v>
      </c>
      <c r="G858" t="s">
        <v>1166</v>
      </c>
      <c r="H858" t="s">
        <v>1170</v>
      </c>
      <c r="I858">
        <v>440230.4252</v>
      </c>
      <c r="J858">
        <v>1827692.8644999999</v>
      </c>
      <c r="K858">
        <v>440217.52480000001</v>
      </c>
      <c r="L858">
        <v>1827692.8644999999</v>
      </c>
      <c r="M858" t="s">
        <v>56</v>
      </c>
      <c r="N858" t="s">
        <v>57</v>
      </c>
      <c r="O858">
        <v>750</v>
      </c>
      <c r="P858" t="s">
        <v>58</v>
      </c>
      <c r="Q858" t="s">
        <v>3919</v>
      </c>
      <c r="R858" t="s">
        <v>1112</v>
      </c>
      <c r="S858" t="s">
        <v>1168</v>
      </c>
      <c r="T858" t="s">
        <v>4864</v>
      </c>
      <c r="U858">
        <v>3.3E-3</v>
      </c>
      <c r="V858">
        <v>1E-4</v>
      </c>
      <c r="W858" t="s">
        <v>52</v>
      </c>
      <c r="X858">
        <v>1.8883000000000001</v>
      </c>
      <c r="Y858">
        <v>2.0461999999999998</v>
      </c>
      <c r="Z858">
        <v>1.9896</v>
      </c>
      <c r="AA858">
        <v>1.9219999999999999</v>
      </c>
      <c r="AB858">
        <v>12.875500000000001</v>
      </c>
      <c r="AC858">
        <v>12.875500000000001</v>
      </c>
      <c r="AD858">
        <v>11.9015</v>
      </c>
      <c r="AE858">
        <v>11.9015</v>
      </c>
      <c r="AF858" t="s">
        <v>4630</v>
      </c>
      <c r="AG858" t="s">
        <v>4630</v>
      </c>
      <c r="AH858" t="s">
        <v>3894</v>
      </c>
      <c r="AI858" t="s">
        <v>3894</v>
      </c>
      <c r="AJ858" t="s">
        <v>3895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3896</v>
      </c>
      <c r="AT858" t="s">
        <v>3890</v>
      </c>
      <c r="AU858" t="s">
        <v>3935</v>
      </c>
      <c r="AV858" t="s">
        <v>3898</v>
      </c>
      <c r="AW858">
        <v>2</v>
      </c>
      <c r="AX858">
        <v>0</v>
      </c>
    </row>
    <row r="859" spans="1:50" x14ac:dyDescent="0.25">
      <c r="A859" t="s">
        <v>4865</v>
      </c>
      <c r="B859" t="s">
        <v>4355</v>
      </c>
      <c r="C859" t="s">
        <v>3890</v>
      </c>
      <c r="D859">
        <v>28.087</v>
      </c>
      <c r="E859">
        <v>28.076000000000001</v>
      </c>
      <c r="F859" s="2">
        <v>1E-3</v>
      </c>
      <c r="G859" t="s">
        <v>1170</v>
      </c>
      <c r="H859" t="s">
        <v>1174</v>
      </c>
      <c r="I859">
        <v>440217.49979999999</v>
      </c>
      <c r="J859">
        <v>1827692.8644999999</v>
      </c>
      <c r="K859">
        <v>440217.49979999999</v>
      </c>
      <c r="L859">
        <v>1827681.8171000001</v>
      </c>
      <c r="M859" t="s">
        <v>56</v>
      </c>
      <c r="N859" t="s">
        <v>57</v>
      </c>
      <c r="O859">
        <v>900</v>
      </c>
      <c r="P859" t="s">
        <v>3918</v>
      </c>
      <c r="Q859" t="s">
        <v>3930</v>
      </c>
      <c r="R859" t="s">
        <v>151</v>
      </c>
      <c r="S859" t="s">
        <v>4866</v>
      </c>
      <c r="T859" t="s">
        <v>1176</v>
      </c>
      <c r="U859">
        <v>6.2300000000000001E-2</v>
      </c>
      <c r="V859">
        <v>5.6300000000000003E-2</v>
      </c>
      <c r="W859" t="s">
        <v>52</v>
      </c>
      <c r="X859">
        <v>2.3828</v>
      </c>
      <c r="Y859">
        <v>2.5865999999999998</v>
      </c>
      <c r="Z859">
        <v>2.4024999999999999</v>
      </c>
      <c r="AA859">
        <v>2.4967000000000001</v>
      </c>
      <c r="AB859">
        <v>11.1541</v>
      </c>
      <c r="AC859">
        <v>11.1541</v>
      </c>
      <c r="AD859">
        <v>9.9552999999999994</v>
      </c>
      <c r="AE859">
        <v>9.9552999999999994</v>
      </c>
      <c r="AF859" t="s">
        <v>2233</v>
      </c>
      <c r="AG859" t="s">
        <v>2233</v>
      </c>
      <c r="AH859" t="s">
        <v>3894</v>
      </c>
      <c r="AI859" t="s">
        <v>3894</v>
      </c>
      <c r="AJ859" t="s">
        <v>3895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3896</v>
      </c>
      <c r="AT859" t="s">
        <v>3890</v>
      </c>
      <c r="AU859" t="s">
        <v>4357</v>
      </c>
      <c r="AV859" t="s">
        <v>3898</v>
      </c>
      <c r="AW859">
        <v>2</v>
      </c>
      <c r="AX859">
        <v>0</v>
      </c>
    </row>
    <row r="860" spans="1:50" x14ac:dyDescent="0.25">
      <c r="A860" t="s">
        <v>4867</v>
      </c>
      <c r="B860" t="s">
        <v>4813</v>
      </c>
      <c r="C860" t="s">
        <v>3890</v>
      </c>
      <c r="D860">
        <v>27.263000000000002</v>
      </c>
      <c r="E860">
        <v>27.248999999999999</v>
      </c>
      <c r="F860" s="2">
        <v>1.5E-3</v>
      </c>
      <c r="G860" t="s">
        <v>2156</v>
      </c>
      <c r="H860" t="s">
        <v>2225</v>
      </c>
      <c r="I860">
        <v>440314.42489999998</v>
      </c>
      <c r="J860">
        <v>1827550.1838</v>
      </c>
      <c r="K860">
        <v>440323.97489999997</v>
      </c>
      <c r="L860">
        <v>1827550.1838</v>
      </c>
      <c r="M860" t="s">
        <v>56</v>
      </c>
      <c r="N860" t="s">
        <v>57</v>
      </c>
      <c r="O860">
        <v>1050</v>
      </c>
      <c r="P860" t="s">
        <v>3997</v>
      </c>
      <c r="Q860" t="s">
        <v>3930</v>
      </c>
      <c r="R860" t="s">
        <v>180</v>
      </c>
      <c r="S860" s="1" t="s">
        <v>2158</v>
      </c>
      <c r="T860" s="1" t="s">
        <v>2227</v>
      </c>
      <c r="U860">
        <v>-0.35</v>
      </c>
      <c r="V860">
        <v>-0.35</v>
      </c>
      <c r="W860" t="s">
        <v>52</v>
      </c>
      <c r="X860">
        <v>1.9562999999999999</v>
      </c>
      <c r="Y860">
        <v>1.9953000000000001</v>
      </c>
      <c r="Z860">
        <v>1.9953000000000001</v>
      </c>
      <c r="AA860">
        <v>1.9562999999999999</v>
      </c>
      <c r="AB860">
        <v>9.5500000000000007</v>
      </c>
      <c r="AC860">
        <v>9.5500000000000007</v>
      </c>
      <c r="AD860">
        <v>8.3521000000000001</v>
      </c>
      <c r="AE860">
        <v>8.3521000000000001</v>
      </c>
      <c r="AF860" t="s">
        <v>183</v>
      </c>
      <c r="AG860" t="s">
        <v>183</v>
      </c>
      <c r="AH860" t="s">
        <v>3894</v>
      </c>
      <c r="AI860" t="s">
        <v>3894</v>
      </c>
      <c r="AJ860" t="s">
        <v>3895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3896</v>
      </c>
      <c r="AT860" t="s">
        <v>3890</v>
      </c>
      <c r="AU860" t="s">
        <v>4815</v>
      </c>
      <c r="AV860" t="s">
        <v>3898</v>
      </c>
      <c r="AW860">
        <v>2</v>
      </c>
      <c r="AX860">
        <v>0</v>
      </c>
    </row>
    <row r="861" spans="1:50" x14ac:dyDescent="0.25">
      <c r="A861" t="s">
        <v>4868</v>
      </c>
      <c r="B861" t="s">
        <v>4065</v>
      </c>
      <c r="C861" t="s">
        <v>3890</v>
      </c>
      <c r="D861">
        <v>28.567</v>
      </c>
      <c r="E861">
        <v>28.547999999999998</v>
      </c>
      <c r="F861" s="2">
        <v>1E-3</v>
      </c>
      <c r="G861" t="s">
        <v>3155</v>
      </c>
      <c r="H861" t="s">
        <v>3158</v>
      </c>
      <c r="I861">
        <v>440464.07510000002</v>
      </c>
      <c r="J861">
        <v>1827375.1486</v>
      </c>
      <c r="K861">
        <v>440482.69179999997</v>
      </c>
      <c r="L861">
        <v>1827375.1486</v>
      </c>
      <c r="M861" t="s">
        <v>56</v>
      </c>
      <c r="N861" t="s">
        <v>57</v>
      </c>
      <c r="O861">
        <v>900</v>
      </c>
      <c r="P861" t="s">
        <v>58</v>
      </c>
      <c r="Q861" t="s">
        <v>3919</v>
      </c>
      <c r="R861" t="s">
        <v>3089</v>
      </c>
      <c r="S861" t="s">
        <v>2316</v>
      </c>
      <c r="T861" t="s">
        <v>3160</v>
      </c>
      <c r="U861">
        <v>-2.5000000000000001E-2</v>
      </c>
      <c r="V861">
        <v>-2.5000000000000001E-2</v>
      </c>
      <c r="W861" t="s">
        <v>52</v>
      </c>
      <c r="X861">
        <v>1.4510000000000001</v>
      </c>
      <c r="Y861">
        <v>1.6129</v>
      </c>
      <c r="Z861">
        <v>1.4759</v>
      </c>
      <c r="AA861">
        <v>1.55</v>
      </c>
      <c r="AB861">
        <v>18.616700000000002</v>
      </c>
      <c r="AC861">
        <v>18.616700000000002</v>
      </c>
      <c r="AD861">
        <v>17.417999999999999</v>
      </c>
      <c r="AE861">
        <v>17.417999999999999</v>
      </c>
      <c r="AF861" t="s">
        <v>183</v>
      </c>
      <c r="AG861" t="s">
        <v>183</v>
      </c>
      <c r="AH861" t="s">
        <v>3894</v>
      </c>
      <c r="AI861" t="s">
        <v>3894</v>
      </c>
      <c r="AJ861" t="s">
        <v>3895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3896</v>
      </c>
      <c r="AT861" t="s">
        <v>3890</v>
      </c>
      <c r="AU861" t="s">
        <v>4066</v>
      </c>
      <c r="AV861" t="s">
        <v>3898</v>
      </c>
      <c r="AW861">
        <v>2</v>
      </c>
      <c r="AX861">
        <v>0</v>
      </c>
    </row>
    <row r="862" spans="1:50" x14ac:dyDescent="0.25">
      <c r="A862" t="s">
        <v>4869</v>
      </c>
      <c r="B862" t="s">
        <v>3928</v>
      </c>
      <c r="C862" t="s">
        <v>3890</v>
      </c>
      <c r="D862">
        <v>29.369</v>
      </c>
      <c r="E862">
        <v>29.355</v>
      </c>
      <c r="F862" s="2">
        <v>1E-3</v>
      </c>
      <c r="G862" t="s">
        <v>2552</v>
      </c>
      <c r="H862" t="s">
        <v>2555</v>
      </c>
      <c r="I862">
        <v>440570.42509999999</v>
      </c>
      <c r="J862">
        <v>1828047.2723000001</v>
      </c>
      <c r="K862">
        <v>440584.46799999999</v>
      </c>
      <c r="L862">
        <v>1828047.2723000001</v>
      </c>
      <c r="M862" t="s">
        <v>56</v>
      </c>
      <c r="N862" t="s">
        <v>57</v>
      </c>
      <c r="O862">
        <v>900</v>
      </c>
      <c r="P862" t="s">
        <v>3929</v>
      </c>
      <c r="Q862" t="s">
        <v>3930</v>
      </c>
      <c r="R862" t="s">
        <v>2502</v>
      </c>
      <c r="S862" t="s">
        <v>452</v>
      </c>
      <c r="T862" t="s">
        <v>2557</v>
      </c>
      <c r="U862">
        <v>-0.125</v>
      </c>
      <c r="V862">
        <v>-0.125</v>
      </c>
      <c r="W862" t="s">
        <v>52</v>
      </c>
      <c r="X862">
        <v>1.2765</v>
      </c>
      <c r="Y862">
        <v>1.2986</v>
      </c>
      <c r="Z862">
        <v>1.2765</v>
      </c>
      <c r="AA862">
        <v>1.2925</v>
      </c>
      <c r="AB862">
        <v>14.042899999999999</v>
      </c>
      <c r="AC862">
        <v>14.042899999999999</v>
      </c>
      <c r="AD862">
        <v>12.844200000000001</v>
      </c>
      <c r="AE862">
        <v>12.844200000000001</v>
      </c>
      <c r="AF862" t="s">
        <v>183</v>
      </c>
      <c r="AG862" t="s">
        <v>183</v>
      </c>
      <c r="AH862" t="s">
        <v>3894</v>
      </c>
      <c r="AI862" t="s">
        <v>3894</v>
      </c>
      <c r="AJ862" t="s">
        <v>3895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3896</v>
      </c>
      <c r="AT862" t="s">
        <v>3890</v>
      </c>
      <c r="AU862" t="s">
        <v>3931</v>
      </c>
      <c r="AV862" t="s">
        <v>3898</v>
      </c>
      <c r="AW862">
        <v>2</v>
      </c>
      <c r="AX862">
        <v>0</v>
      </c>
    </row>
    <row r="863" spans="1:50" x14ac:dyDescent="0.25">
      <c r="A863" t="s">
        <v>4870</v>
      </c>
      <c r="B863" t="s">
        <v>4004</v>
      </c>
      <c r="C863" t="s">
        <v>3890</v>
      </c>
      <c r="D863">
        <v>30.07</v>
      </c>
      <c r="E863">
        <v>30.05</v>
      </c>
      <c r="F863" s="2">
        <v>1E-3</v>
      </c>
      <c r="G863" t="s">
        <v>3386</v>
      </c>
      <c r="H863" t="s">
        <v>3390</v>
      </c>
      <c r="I863">
        <v>440258.3749</v>
      </c>
      <c r="J863">
        <v>1827374.9735999999</v>
      </c>
      <c r="K863">
        <v>440277.99300000002</v>
      </c>
      <c r="L863">
        <v>1827374.9735999999</v>
      </c>
      <c r="M863" t="s">
        <v>56</v>
      </c>
      <c r="N863" t="s">
        <v>57</v>
      </c>
      <c r="O863">
        <v>600</v>
      </c>
      <c r="P863" t="s">
        <v>58</v>
      </c>
      <c r="Q863" t="s">
        <v>3892</v>
      </c>
      <c r="R863" t="s">
        <v>3089</v>
      </c>
      <c r="S863" t="s">
        <v>3388</v>
      </c>
      <c r="T863" t="s">
        <v>3392</v>
      </c>
      <c r="U863">
        <v>-0.2</v>
      </c>
      <c r="V863">
        <v>-0.2</v>
      </c>
      <c r="W863" t="s">
        <v>52</v>
      </c>
      <c r="X863">
        <v>1.2262999999999999</v>
      </c>
      <c r="Y863">
        <v>1.3908</v>
      </c>
      <c r="Z863">
        <v>1.2482</v>
      </c>
      <c r="AA863">
        <v>1.3228</v>
      </c>
      <c r="AB863">
        <v>19.618099999999998</v>
      </c>
      <c r="AC863">
        <v>19.618099999999998</v>
      </c>
      <c r="AD863">
        <v>18.419</v>
      </c>
      <c r="AE863">
        <v>18.419</v>
      </c>
      <c r="AF863" t="s">
        <v>183</v>
      </c>
      <c r="AG863" t="s">
        <v>183</v>
      </c>
      <c r="AH863" t="s">
        <v>3894</v>
      </c>
      <c r="AI863" t="s">
        <v>3894</v>
      </c>
      <c r="AJ863" t="s">
        <v>3895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3896</v>
      </c>
      <c r="AT863" t="s">
        <v>3890</v>
      </c>
      <c r="AU863" t="s">
        <v>4006</v>
      </c>
      <c r="AV863" t="s">
        <v>3898</v>
      </c>
      <c r="AW863">
        <v>2</v>
      </c>
      <c r="AX863">
        <v>0</v>
      </c>
    </row>
    <row r="864" spans="1:50" x14ac:dyDescent="0.25">
      <c r="A864" t="s">
        <v>4871</v>
      </c>
      <c r="B864" t="s">
        <v>3924</v>
      </c>
      <c r="C864" t="s">
        <v>3890</v>
      </c>
      <c r="D864">
        <v>31.834</v>
      </c>
      <c r="E864">
        <v>31.824000000000002</v>
      </c>
      <c r="F864" s="2">
        <v>8.9999999999999998E-4</v>
      </c>
      <c r="G864" t="s">
        <v>1228</v>
      </c>
      <c r="H864" t="s">
        <v>1240</v>
      </c>
      <c r="I864">
        <v>440198.8248</v>
      </c>
      <c r="J864">
        <v>1828102.7338</v>
      </c>
      <c r="K864">
        <v>440198.8248</v>
      </c>
      <c r="L864">
        <v>1828091.6338</v>
      </c>
      <c r="M864" t="s">
        <v>56</v>
      </c>
      <c r="N864" t="s">
        <v>57</v>
      </c>
      <c r="O864">
        <v>750</v>
      </c>
      <c r="P864" t="s">
        <v>3891</v>
      </c>
      <c r="Q864" t="s">
        <v>3892</v>
      </c>
      <c r="R864" t="s">
        <v>146</v>
      </c>
      <c r="S864" t="s">
        <v>4872</v>
      </c>
      <c r="T864" t="s">
        <v>4798</v>
      </c>
      <c r="U864">
        <v>7.4999999999999997E-2</v>
      </c>
      <c r="V864">
        <v>7.4999999999999997E-2</v>
      </c>
      <c r="W864" t="s">
        <v>52</v>
      </c>
      <c r="X864">
        <v>1.2041999999999999</v>
      </c>
      <c r="Y864">
        <v>1.3271999999999999</v>
      </c>
      <c r="Z864">
        <v>1.2493000000000001</v>
      </c>
      <c r="AA864">
        <v>1.2052</v>
      </c>
      <c r="AB864">
        <v>11.1</v>
      </c>
      <c r="AC864">
        <v>11.1</v>
      </c>
      <c r="AD864">
        <v>9.9009</v>
      </c>
      <c r="AE864">
        <v>9.9009</v>
      </c>
      <c r="AF864" t="s">
        <v>2233</v>
      </c>
      <c r="AG864" t="s">
        <v>2233</v>
      </c>
      <c r="AH864" t="s">
        <v>3894</v>
      </c>
      <c r="AI864" t="s">
        <v>3894</v>
      </c>
      <c r="AJ864" t="s">
        <v>3895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3896</v>
      </c>
      <c r="AT864" t="s">
        <v>3890</v>
      </c>
      <c r="AU864" t="s">
        <v>3926</v>
      </c>
      <c r="AV864" t="s">
        <v>3898</v>
      </c>
      <c r="AW864">
        <v>2</v>
      </c>
      <c r="AX864">
        <v>0</v>
      </c>
    </row>
    <row r="865" spans="1:50" x14ac:dyDescent="0.25">
      <c r="A865" t="s">
        <v>4873</v>
      </c>
      <c r="B865" t="s">
        <v>4004</v>
      </c>
      <c r="C865" t="s">
        <v>3890</v>
      </c>
      <c r="D865">
        <v>28.091999999999999</v>
      </c>
      <c r="E865">
        <v>28.073</v>
      </c>
      <c r="F865" s="2">
        <v>6.9999999999999999E-4</v>
      </c>
      <c r="G865" t="s">
        <v>3030</v>
      </c>
      <c r="H865" t="s">
        <v>2070</v>
      </c>
      <c r="I865">
        <v>440590.42509999999</v>
      </c>
      <c r="J865">
        <v>1827703.7145</v>
      </c>
      <c r="K865">
        <v>440619.12410000002</v>
      </c>
      <c r="L865">
        <v>1827703.7145</v>
      </c>
      <c r="M865" t="s">
        <v>56</v>
      </c>
      <c r="N865" t="s">
        <v>57</v>
      </c>
      <c r="O865">
        <v>600</v>
      </c>
      <c r="P865" t="s">
        <v>58</v>
      </c>
      <c r="Q865" t="s">
        <v>3892</v>
      </c>
      <c r="R865" t="s">
        <v>1056</v>
      </c>
      <c r="S865" t="s">
        <v>774</v>
      </c>
      <c r="T865" s="1" t="s">
        <v>4874</v>
      </c>
      <c r="U865">
        <v>0</v>
      </c>
      <c r="V865">
        <v>0</v>
      </c>
      <c r="W865" t="s">
        <v>52</v>
      </c>
      <c r="X865">
        <v>0.88080000000000003</v>
      </c>
      <c r="Y865">
        <v>1.0351999999999999</v>
      </c>
      <c r="Z865">
        <v>0.88080000000000003</v>
      </c>
      <c r="AA865">
        <v>1.0351999999999999</v>
      </c>
      <c r="AB865">
        <v>28.699400000000001</v>
      </c>
      <c r="AC865">
        <v>28.699400000000001</v>
      </c>
      <c r="AD865">
        <v>28.099299999999999</v>
      </c>
      <c r="AE865">
        <v>28.099299999999999</v>
      </c>
      <c r="AF865" t="s">
        <v>183</v>
      </c>
      <c r="AG865" t="s">
        <v>183</v>
      </c>
      <c r="AH865" t="s">
        <v>3894</v>
      </c>
      <c r="AI865" t="s">
        <v>3894</v>
      </c>
      <c r="AJ865" t="s">
        <v>3895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3896</v>
      </c>
      <c r="AT865" t="s">
        <v>3890</v>
      </c>
      <c r="AU865" t="s">
        <v>4006</v>
      </c>
      <c r="AV865" t="s">
        <v>3898</v>
      </c>
      <c r="AW865">
        <v>3</v>
      </c>
      <c r="AX865">
        <v>0</v>
      </c>
    </row>
    <row r="866" spans="1:50" x14ac:dyDescent="0.25">
      <c r="A866" t="s">
        <v>4875</v>
      </c>
      <c r="B866" t="s">
        <v>3889</v>
      </c>
      <c r="C866" t="s">
        <v>3890</v>
      </c>
      <c r="D866">
        <v>29.193999999999999</v>
      </c>
      <c r="E866">
        <v>29.170999999999999</v>
      </c>
      <c r="F866" s="2">
        <v>1.1999999999999999E-3</v>
      </c>
      <c r="G866" t="s">
        <v>2611</v>
      </c>
      <c r="H866" t="s">
        <v>2615</v>
      </c>
      <c r="I866">
        <v>440470.67950000003</v>
      </c>
      <c r="J866">
        <v>1827884.9109</v>
      </c>
      <c r="K866">
        <v>440490.42509999999</v>
      </c>
      <c r="L866">
        <v>1827884.9109</v>
      </c>
      <c r="M866" t="s">
        <v>56</v>
      </c>
      <c r="N866" t="s">
        <v>57</v>
      </c>
      <c r="O866">
        <v>450</v>
      </c>
      <c r="P866" t="s">
        <v>3891</v>
      </c>
      <c r="Q866" t="s">
        <v>3892</v>
      </c>
      <c r="R866" t="s">
        <v>844</v>
      </c>
      <c r="S866" t="s">
        <v>2613</v>
      </c>
      <c r="T866" t="s">
        <v>597</v>
      </c>
      <c r="U866">
        <v>-7.4999999999999997E-2</v>
      </c>
      <c r="V866">
        <v>-7.4999999999999997E-2</v>
      </c>
      <c r="W866" t="s">
        <v>52</v>
      </c>
      <c r="X866">
        <v>1.3591</v>
      </c>
      <c r="Y866">
        <v>1.4716</v>
      </c>
      <c r="Z866">
        <v>1.3591</v>
      </c>
      <c r="AA866">
        <v>1.4716</v>
      </c>
      <c r="AB866">
        <v>19.7456</v>
      </c>
      <c r="AC866">
        <v>19.7456</v>
      </c>
      <c r="AD866">
        <v>18.546399999999998</v>
      </c>
      <c r="AE866">
        <v>18.546399999999998</v>
      </c>
      <c r="AF866" t="s">
        <v>3899</v>
      </c>
      <c r="AG866" t="s">
        <v>3899</v>
      </c>
      <c r="AH866" t="s">
        <v>3894</v>
      </c>
      <c r="AI866" t="s">
        <v>3894</v>
      </c>
      <c r="AJ866" t="s">
        <v>3895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3896</v>
      </c>
      <c r="AT866" t="s">
        <v>3890</v>
      </c>
      <c r="AU866" t="s">
        <v>3897</v>
      </c>
      <c r="AV866" t="s">
        <v>3898</v>
      </c>
      <c r="AW866">
        <v>2</v>
      </c>
      <c r="AX866">
        <v>0</v>
      </c>
    </row>
    <row r="867" spans="1:50" x14ac:dyDescent="0.25">
      <c r="A867" t="s">
        <v>4876</v>
      </c>
      <c r="B867" t="s">
        <v>3933</v>
      </c>
      <c r="C867" t="s">
        <v>3890</v>
      </c>
      <c r="D867">
        <v>32.749000000000002</v>
      </c>
      <c r="E867">
        <v>32.728999999999999</v>
      </c>
      <c r="F867" s="2">
        <v>1E-3</v>
      </c>
      <c r="G867" t="s">
        <v>1815</v>
      </c>
      <c r="H867" t="s">
        <v>1818</v>
      </c>
      <c r="I867">
        <v>440068.22489999997</v>
      </c>
      <c r="J867">
        <v>1828102.5588</v>
      </c>
      <c r="K867">
        <v>440088.22489999997</v>
      </c>
      <c r="L867">
        <v>1828102.5588</v>
      </c>
      <c r="M867" t="s">
        <v>56</v>
      </c>
      <c r="N867" t="s">
        <v>57</v>
      </c>
      <c r="O867">
        <v>750</v>
      </c>
      <c r="P867" t="s">
        <v>58</v>
      </c>
      <c r="Q867" t="s">
        <v>3919</v>
      </c>
      <c r="R867" t="s">
        <v>1220</v>
      </c>
      <c r="S867" t="s">
        <v>428</v>
      </c>
      <c r="T867" t="s">
        <v>432</v>
      </c>
      <c r="U867">
        <v>-0.17499999999999999</v>
      </c>
      <c r="V867">
        <v>-0.17499999999999999</v>
      </c>
      <c r="W867" t="s">
        <v>52</v>
      </c>
      <c r="X867">
        <v>1.0972999999999999</v>
      </c>
      <c r="Y867">
        <v>1.2136</v>
      </c>
      <c r="Z867">
        <v>1.2136</v>
      </c>
      <c r="AA867">
        <v>1.0972999999999999</v>
      </c>
      <c r="AB867">
        <v>20.0002</v>
      </c>
      <c r="AC867">
        <v>20.000299999999999</v>
      </c>
      <c r="AD867">
        <v>18.800999999999998</v>
      </c>
      <c r="AE867">
        <v>18.801100000000002</v>
      </c>
      <c r="AF867" t="s">
        <v>183</v>
      </c>
      <c r="AG867" t="s">
        <v>183</v>
      </c>
      <c r="AH867" t="s">
        <v>3894</v>
      </c>
      <c r="AI867" t="s">
        <v>3894</v>
      </c>
      <c r="AJ867" t="s">
        <v>3895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3896</v>
      </c>
      <c r="AT867" t="s">
        <v>3890</v>
      </c>
      <c r="AU867" t="s">
        <v>3935</v>
      </c>
      <c r="AV867" t="s">
        <v>3898</v>
      </c>
      <c r="AW867">
        <v>2</v>
      </c>
      <c r="AX867">
        <v>0</v>
      </c>
    </row>
    <row r="868" spans="1:50" x14ac:dyDescent="0.25">
      <c r="A868" t="s">
        <v>4877</v>
      </c>
      <c r="B868" t="s">
        <v>3933</v>
      </c>
      <c r="C868" t="s">
        <v>3890</v>
      </c>
      <c r="D868">
        <v>31.617999999999999</v>
      </c>
      <c r="E868">
        <v>31.597999999999999</v>
      </c>
      <c r="F868" s="2">
        <v>1E-3</v>
      </c>
      <c r="G868" t="s">
        <v>1759</v>
      </c>
      <c r="H868" t="s">
        <v>1762</v>
      </c>
      <c r="I868">
        <v>440068.22489999997</v>
      </c>
      <c r="J868">
        <v>1828091.8088</v>
      </c>
      <c r="K868">
        <v>440088.22489999997</v>
      </c>
      <c r="L868">
        <v>1828091.8088</v>
      </c>
      <c r="M868" t="s">
        <v>56</v>
      </c>
      <c r="N868" t="s">
        <v>57</v>
      </c>
      <c r="O868">
        <v>750</v>
      </c>
      <c r="P868" t="s">
        <v>58</v>
      </c>
      <c r="Q868" t="s">
        <v>3919</v>
      </c>
      <c r="R868" t="s">
        <v>1234</v>
      </c>
      <c r="S868" t="s">
        <v>428</v>
      </c>
      <c r="T868" t="s">
        <v>432</v>
      </c>
      <c r="U868">
        <v>0.17499999999999999</v>
      </c>
      <c r="V868">
        <v>0.17499999999999999</v>
      </c>
      <c r="W868" t="s">
        <v>52</v>
      </c>
      <c r="X868">
        <v>2.2282999999999999</v>
      </c>
      <c r="Y868">
        <v>2.3445999999999998</v>
      </c>
      <c r="Z868">
        <v>2.3445999999999998</v>
      </c>
      <c r="AA868">
        <v>2.2282999999999999</v>
      </c>
      <c r="AB868">
        <v>20</v>
      </c>
      <c r="AC868">
        <v>20</v>
      </c>
      <c r="AD868">
        <v>18.800999999999998</v>
      </c>
      <c r="AE868">
        <v>18.801100000000002</v>
      </c>
      <c r="AF868" t="s">
        <v>183</v>
      </c>
      <c r="AG868" t="s">
        <v>183</v>
      </c>
      <c r="AH868" t="s">
        <v>3894</v>
      </c>
      <c r="AI868" t="s">
        <v>3894</v>
      </c>
      <c r="AJ868" t="s">
        <v>3895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3896</v>
      </c>
      <c r="AT868" t="s">
        <v>3890</v>
      </c>
      <c r="AU868" t="s">
        <v>3935</v>
      </c>
      <c r="AV868" t="s">
        <v>3898</v>
      </c>
      <c r="AW868">
        <v>2</v>
      </c>
      <c r="AX868">
        <v>0</v>
      </c>
    </row>
    <row r="869" spans="1:50" x14ac:dyDescent="0.25">
      <c r="A869" t="s">
        <v>4878</v>
      </c>
      <c r="B869" t="s">
        <v>3963</v>
      </c>
      <c r="C869" t="s">
        <v>3890</v>
      </c>
      <c r="D869">
        <v>28.600999999999999</v>
      </c>
      <c r="E869">
        <v>28.581</v>
      </c>
      <c r="F869" s="2">
        <v>1E-3</v>
      </c>
      <c r="G869" t="s">
        <v>2908</v>
      </c>
      <c r="H869" t="s">
        <v>2912</v>
      </c>
      <c r="I869">
        <v>440410.4252</v>
      </c>
      <c r="J869">
        <v>1827692.7645</v>
      </c>
      <c r="K869">
        <v>440430.4252</v>
      </c>
      <c r="L869">
        <v>1827692.7645</v>
      </c>
      <c r="M869" t="s">
        <v>56</v>
      </c>
      <c r="N869" t="s">
        <v>57</v>
      </c>
      <c r="O869">
        <v>600</v>
      </c>
      <c r="P869" t="s">
        <v>3891</v>
      </c>
      <c r="Q869" t="s">
        <v>3892</v>
      </c>
      <c r="R869" t="s">
        <v>1112</v>
      </c>
      <c r="S869" t="s">
        <v>2910</v>
      </c>
      <c r="T869" t="s">
        <v>2914</v>
      </c>
      <c r="U869">
        <v>-5.2200000000000003E-2</v>
      </c>
      <c r="V869">
        <v>-4.7199999999999999E-2</v>
      </c>
      <c r="W869" t="s">
        <v>52</v>
      </c>
      <c r="X869">
        <v>0.95660000000000001</v>
      </c>
      <c r="Y869">
        <v>1.0359</v>
      </c>
      <c r="Z869">
        <v>1.0359</v>
      </c>
      <c r="AA869">
        <v>0.95660000000000001</v>
      </c>
      <c r="AB869">
        <v>20</v>
      </c>
      <c r="AC869">
        <v>20</v>
      </c>
      <c r="AD869">
        <v>18.800799999999999</v>
      </c>
      <c r="AE869">
        <v>18.800899999999999</v>
      </c>
      <c r="AF869" t="s">
        <v>183</v>
      </c>
      <c r="AG869" t="s">
        <v>183</v>
      </c>
      <c r="AH869" t="s">
        <v>3894</v>
      </c>
      <c r="AI869" t="s">
        <v>3894</v>
      </c>
      <c r="AJ869" t="s">
        <v>3895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3896</v>
      </c>
      <c r="AT869" t="s">
        <v>3890</v>
      </c>
      <c r="AU869" t="s">
        <v>3964</v>
      </c>
      <c r="AV869" t="s">
        <v>3898</v>
      </c>
      <c r="AW869">
        <v>2</v>
      </c>
      <c r="AX869">
        <v>0</v>
      </c>
    </row>
    <row r="870" spans="1:50" x14ac:dyDescent="0.25">
      <c r="A870" t="s">
        <v>4879</v>
      </c>
      <c r="B870" t="s">
        <v>4004</v>
      </c>
      <c r="C870" t="s">
        <v>3890</v>
      </c>
      <c r="D870">
        <v>28.449000000000002</v>
      </c>
      <c r="E870">
        <v>28.428999999999998</v>
      </c>
      <c r="F870" s="2">
        <v>1E-3</v>
      </c>
      <c r="G870" t="s">
        <v>2724</v>
      </c>
      <c r="H870" t="s">
        <v>2727</v>
      </c>
      <c r="I870">
        <v>440510.42509999999</v>
      </c>
      <c r="J870">
        <v>1827769.0507</v>
      </c>
      <c r="K870">
        <v>440530.42509999999</v>
      </c>
      <c r="L870">
        <v>1827769.0507</v>
      </c>
      <c r="M870" t="s">
        <v>56</v>
      </c>
      <c r="N870" t="s">
        <v>57</v>
      </c>
      <c r="O870">
        <v>600</v>
      </c>
      <c r="P870" t="s">
        <v>58</v>
      </c>
      <c r="Q870" t="s">
        <v>3892</v>
      </c>
      <c r="R870" t="s">
        <v>205</v>
      </c>
      <c r="S870" t="s">
        <v>440</v>
      </c>
      <c r="T870" t="s">
        <v>444</v>
      </c>
      <c r="U870">
        <v>0</v>
      </c>
      <c r="V870">
        <v>0</v>
      </c>
      <c r="W870" t="s">
        <v>52</v>
      </c>
      <c r="X870">
        <v>0.88039999999999996</v>
      </c>
      <c r="Y870">
        <v>0.93869999999999998</v>
      </c>
      <c r="Z870">
        <v>0.88039999999999996</v>
      </c>
      <c r="AA870">
        <v>0.93869999999999998</v>
      </c>
      <c r="AB870">
        <v>20</v>
      </c>
      <c r="AC870">
        <v>20</v>
      </c>
      <c r="AD870">
        <v>18.800799999999999</v>
      </c>
      <c r="AE870">
        <v>18.800899999999999</v>
      </c>
      <c r="AF870" t="s">
        <v>183</v>
      </c>
      <c r="AG870" t="s">
        <v>183</v>
      </c>
      <c r="AH870" t="s">
        <v>3894</v>
      </c>
      <c r="AI870" t="s">
        <v>3894</v>
      </c>
      <c r="AJ870" t="s">
        <v>3895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3896</v>
      </c>
      <c r="AT870" t="s">
        <v>3890</v>
      </c>
      <c r="AU870" t="s">
        <v>4006</v>
      </c>
      <c r="AV870" t="s">
        <v>3898</v>
      </c>
      <c r="AW870">
        <v>2</v>
      </c>
      <c r="AX870">
        <v>0</v>
      </c>
    </row>
    <row r="871" spans="1:50" x14ac:dyDescent="0.25">
      <c r="A871" t="s">
        <v>4880</v>
      </c>
      <c r="B871" t="s">
        <v>3889</v>
      </c>
      <c r="C871" t="s">
        <v>3890</v>
      </c>
      <c r="D871">
        <v>29.114000000000001</v>
      </c>
      <c r="E871">
        <v>29.094000000000001</v>
      </c>
      <c r="F871" s="2">
        <v>1E-3</v>
      </c>
      <c r="G871" t="s">
        <v>2661</v>
      </c>
      <c r="H871" t="s">
        <v>2664</v>
      </c>
      <c r="I871">
        <v>440430.42509999999</v>
      </c>
      <c r="J871">
        <v>1827894.6109</v>
      </c>
      <c r="K871">
        <v>440450.42509999999</v>
      </c>
      <c r="L871">
        <v>1827894.6109</v>
      </c>
      <c r="M871" t="s">
        <v>56</v>
      </c>
      <c r="N871" t="s">
        <v>57</v>
      </c>
      <c r="O871">
        <v>450</v>
      </c>
      <c r="P871" t="s">
        <v>3891</v>
      </c>
      <c r="Q871" t="s">
        <v>3892</v>
      </c>
      <c r="R871" t="s">
        <v>260</v>
      </c>
      <c r="S871" t="s">
        <v>424</v>
      </c>
      <c r="T871" t="s">
        <v>428</v>
      </c>
      <c r="U871">
        <v>0.12379999999999999</v>
      </c>
      <c r="V871">
        <v>0.1115</v>
      </c>
      <c r="W871" t="s">
        <v>52</v>
      </c>
      <c r="X871">
        <v>1.2807999999999999</v>
      </c>
      <c r="Y871">
        <v>1.4638</v>
      </c>
      <c r="Z871">
        <v>1.2807999999999999</v>
      </c>
      <c r="AA871">
        <v>1.4631000000000001</v>
      </c>
      <c r="AB871">
        <v>20</v>
      </c>
      <c r="AC871">
        <v>20</v>
      </c>
      <c r="AD871">
        <v>18.800699999999999</v>
      </c>
      <c r="AE871">
        <v>18.800699999999999</v>
      </c>
      <c r="AF871" t="s">
        <v>3899</v>
      </c>
      <c r="AG871" t="s">
        <v>3899</v>
      </c>
      <c r="AH871" t="s">
        <v>3894</v>
      </c>
      <c r="AI871" t="s">
        <v>3894</v>
      </c>
      <c r="AJ871" t="s">
        <v>3895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3896</v>
      </c>
      <c r="AT871" t="s">
        <v>3890</v>
      </c>
      <c r="AU871" t="s">
        <v>3897</v>
      </c>
      <c r="AV871" t="s">
        <v>3898</v>
      </c>
      <c r="AW871">
        <v>2</v>
      </c>
      <c r="AX871">
        <v>0</v>
      </c>
    </row>
    <row r="872" spans="1:50" x14ac:dyDescent="0.25">
      <c r="A872" t="s">
        <v>4881</v>
      </c>
      <c r="B872" t="s">
        <v>3889</v>
      </c>
      <c r="C872" t="s">
        <v>3890</v>
      </c>
      <c r="D872">
        <v>29.134</v>
      </c>
      <c r="E872">
        <v>29.114000000000001</v>
      </c>
      <c r="F872" s="2">
        <v>1E-3</v>
      </c>
      <c r="G872" t="s">
        <v>2658</v>
      </c>
      <c r="H872" t="s">
        <v>2661</v>
      </c>
      <c r="I872">
        <v>440410.42509999999</v>
      </c>
      <c r="J872">
        <v>1827894.6109</v>
      </c>
      <c r="K872">
        <v>440430.42509999999</v>
      </c>
      <c r="L872">
        <v>1827894.6109</v>
      </c>
      <c r="M872" t="s">
        <v>56</v>
      </c>
      <c r="N872" t="s">
        <v>57</v>
      </c>
      <c r="O872">
        <v>450</v>
      </c>
      <c r="P872" t="s">
        <v>3891</v>
      </c>
      <c r="Q872" t="s">
        <v>3892</v>
      </c>
      <c r="R872" t="s">
        <v>260</v>
      </c>
      <c r="S872" t="s">
        <v>420</v>
      </c>
      <c r="T872" t="s">
        <v>424</v>
      </c>
      <c r="U872">
        <v>0.13600000000000001</v>
      </c>
      <c r="V872">
        <v>0.12379999999999999</v>
      </c>
      <c r="W872" t="s">
        <v>52</v>
      </c>
      <c r="X872">
        <v>1.1704000000000001</v>
      </c>
      <c r="Y872">
        <v>1.2807999999999999</v>
      </c>
      <c r="Z872">
        <v>1.1704000000000001</v>
      </c>
      <c r="AA872">
        <v>1.2807999999999999</v>
      </c>
      <c r="AB872">
        <v>20</v>
      </c>
      <c r="AC872">
        <v>20</v>
      </c>
      <c r="AD872">
        <v>18.800699999999999</v>
      </c>
      <c r="AE872">
        <v>18.800699999999999</v>
      </c>
      <c r="AF872" t="s">
        <v>3899</v>
      </c>
      <c r="AG872" t="s">
        <v>3899</v>
      </c>
      <c r="AH872" t="s">
        <v>3894</v>
      </c>
      <c r="AI872" t="s">
        <v>3894</v>
      </c>
      <c r="AJ872" t="s">
        <v>3895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3896</v>
      </c>
      <c r="AT872" t="s">
        <v>3890</v>
      </c>
      <c r="AU872" t="s">
        <v>3897</v>
      </c>
      <c r="AV872" t="s">
        <v>3898</v>
      </c>
      <c r="AW872">
        <v>2</v>
      </c>
      <c r="AX872">
        <v>0</v>
      </c>
    </row>
    <row r="873" spans="1:50" x14ac:dyDescent="0.25">
      <c r="A873" t="s">
        <v>4882</v>
      </c>
      <c r="B873" t="s">
        <v>3889</v>
      </c>
      <c r="C873" t="s">
        <v>3890</v>
      </c>
      <c r="D873">
        <v>29.170999999999999</v>
      </c>
      <c r="E873">
        <v>29.149000000000001</v>
      </c>
      <c r="F873" s="2">
        <v>1.1000000000000001E-3</v>
      </c>
      <c r="G873" t="s">
        <v>2615</v>
      </c>
      <c r="H873" t="s">
        <v>2618</v>
      </c>
      <c r="I873">
        <v>440490.42509999999</v>
      </c>
      <c r="J873">
        <v>1827884.9109</v>
      </c>
      <c r="K873">
        <v>440510.42509999999</v>
      </c>
      <c r="L873">
        <v>1827884.9109</v>
      </c>
      <c r="M873" t="s">
        <v>56</v>
      </c>
      <c r="N873" t="s">
        <v>57</v>
      </c>
      <c r="O873">
        <v>450</v>
      </c>
      <c r="P873" t="s">
        <v>3891</v>
      </c>
      <c r="Q873" t="s">
        <v>3892</v>
      </c>
      <c r="R873" t="s">
        <v>844</v>
      </c>
      <c r="S873" t="s">
        <v>597</v>
      </c>
      <c r="T873" t="s">
        <v>440</v>
      </c>
      <c r="U873">
        <v>-7.4999999999999997E-2</v>
      </c>
      <c r="V873">
        <v>-7.4999999999999997E-2</v>
      </c>
      <c r="W873" t="s">
        <v>52</v>
      </c>
      <c r="X873">
        <v>1.4438</v>
      </c>
      <c r="Y873">
        <v>1.4764999999999999</v>
      </c>
      <c r="Z873">
        <v>1.4716</v>
      </c>
      <c r="AA873">
        <v>1.4438</v>
      </c>
      <c r="AB873">
        <v>20</v>
      </c>
      <c r="AC873">
        <v>20</v>
      </c>
      <c r="AD873">
        <v>18.800799999999999</v>
      </c>
      <c r="AE873">
        <v>18.800799999999999</v>
      </c>
      <c r="AF873" t="s">
        <v>3899</v>
      </c>
      <c r="AG873" t="s">
        <v>3899</v>
      </c>
      <c r="AH873" t="s">
        <v>3894</v>
      </c>
      <c r="AI873" t="s">
        <v>3894</v>
      </c>
      <c r="AJ873" t="s">
        <v>3895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3896</v>
      </c>
      <c r="AT873" t="s">
        <v>3890</v>
      </c>
      <c r="AU873" t="s">
        <v>3897</v>
      </c>
      <c r="AV873" t="s">
        <v>3898</v>
      </c>
      <c r="AW873">
        <v>2</v>
      </c>
      <c r="AX873">
        <v>0</v>
      </c>
    </row>
    <row r="874" spans="1:50" x14ac:dyDescent="0.25">
      <c r="A874" t="s">
        <v>4883</v>
      </c>
      <c r="B874" t="s">
        <v>3889</v>
      </c>
      <c r="C874" t="s">
        <v>3890</v>
      </c>
      <c r="D874">
        <v>29.896999999999998</v>
      </c>
      <c r="E874">
        <v>29.876999999999999</v>
      </c>
      <c r="F874" s="2">
        <v>1E-3</v>
      </c>
      <c r="G874" t="s">
        <v>2406</v>
      </c>
      <c r="H874" t="s">
        <v>2409</v>
      </c>
      <c r="I874">
        <v>440470.42509999999</v>
      </c>
      <c r="J874">
        <v>1827925.5109000001</v>
      </c>
      <c r="K874">
        <v>440490.42509999999</v>
      </c>
      <c r="L874">
        <v>1827925.5109000001</v>
      </c>
      <c r="M874" t="s">
        <v>56</v>
      </c>
      <c r="N874" t="s">
        <v>57</v>
      </c>
      <c r="O874">
        <v>450</v>
      </c>
      <c r="P874" t="s">
        <v>3891</v>
      </c>
      <c r="Q874" t="s">
        <v>3892</v>
      </c>
      <c r="R874" t="s">
        <v>2395</v>
      </c>
      <c r="S874" t="s">
        <v>432</v>
      </c>
      <c r="T874" t="s">
        <v>597</v>
      </c>
      <c r="U874">
        <v>-0.18540000000000001</v>
      </c>
      <c r="V874">
        <v>-0.1938</v>
      </c>
      <c r="W874" t="s">
        <v>52</v>
      </c>
      <c r="X874">
        <v>0.9012</v>
      </c>
      <c r="Y874">
        <v>0.92720000000000002</v>
      </c>
      <c r="Z874">
        <v>0.92579999999999996</v>
      </c>
      <c r="AA874">
        <v>0.9012</v>
      </c>
      <c r="AB874">
        <v>20</v>
      </c>
      <c r="AC874">
        <v>20</v>
      </c>
      <c r="AD874">
        <v>18.800699999999999</v>
      </c>
      <c r="AE874">
        <v>18.800699999999999</v>
      </c>
      <c r="AF874" t="s">
        <v>183</v>
      </c>
      <c r="AG874" t="s">
        <v>183</v>
      </c>
      <c r="AH874" t="s">
        <v>3894</v>
      </c>
      <c r="AI874" t="s">
        <v>3894</v>
      </c>
      <c r="AJ874" t="s">
        <v>3895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3896</v>
      </c>
      <c r="AT874" t="s">
        <v>3890</v>
      </c>
      <c r="AU874" t="s">
        <v>3897</v>
      </c>
      <c r="AV874" t="s">
        <v>3898</v>
      </c>
      <c r="AW874">
        <v>2</v>
      </c>
      <c r="AX874">
        <v>0</v>
      </c>
    </row>
    <row r="875" spans="1:50" x14ac:dyDescent="0.25">
      <c r="A875" t="s">
        <v>4884</v>
      </c>
      <c r="B875" t="s">
        <v>4813</v>
      </c>
      <c r="C875" t="s">
        <v>3890</v>
      </c>
      <c r="D875">
        <v>27.295000000000002</v>
      </c>
      <c r="E875">
        <v>27.274999999999999</v>
      </c>
      <c r="F875" s="2">
        <v>1E-3</v>
      </c>
      <c r="G875" t="s">
        <v>2099</v>
      </c>
      <c r="H875" t="s">
        <v>2103</v>
      </c>
      <c r="I875">
        <v>440280.25550000003</v>
      </c>
      <c r="J875">
        <v>1827550.1838</v>
      </c>
      <c r="K875">
        <v>440300.25550000003</v>
      </c>
      <c r="L875">
        <v>1827550.1838</v>
      </c>
      <c r="M875" t="s">
        <v>56</v>
      </c>
      <c r="N875" t="s">
        <v>57</v>
      </c>
      <c r="O875">
        <v>1050</v>
      </c>
      <c r="P875" t="s">
        <v>3997</v>
      </c>
      <c r="Q875" t="s">
        <v>3930</v>
      </c>
      <c r="R875" t="s">
        <v>180</v>
      </c>
      <c r="S875" t="s">
        <v>2101</v>
      </c>
      <c r="T875" t="s">
        <v>902</v>
      </c>
      <c r="U875">
        <v>-0.35</v>
      </c>
      <c r="V875">
        <v>-0.35</v>
      </c>
      <c r="W875" t="s">
        <v>52</v>
      </c>
      <c r="X875">
        <v>2.0617999999999999</v>
      </c>
      <c r="Y875">
        <v>2.1526999999999998</v>
      </c>
      <c r="Z875">
        <v>2.1526999999999998</v>
      </c>
      <c r="AA875">
        <v>2.0617999999999999</v>
      </c>
      <c r="AB875">
        <v>20</v>
      </c>
      <c r="AC875">
        <v>20</v>
      </c>
      <c r="AD875">
        <v>18.801400000000001</v>
      </c>
      <c r="AE875">
        <v>18.801400000000001</v>
      </c>
      <c r="AF875" t="s">
        <v>183</v>
      </c>
      <c r="AG875" t="s">
        <v>183</v>
      </c>
      <c r="AH875" t="s">
        <v>3894</v>
      </c>
      <c r="AI875" t="s">
        <v>3894</v>
      </c>
      <c r="AJ875" t="s">
        <v>3895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3896</v>
      </c>
      <c r="AT875" t="s">
        <v>3890</v>
      </c>
      <c r="AU875" t="s">
        <v>4815</v>
      </c>
      <c r="AV875" t="s">
        <v>3898</v>
      </c>
      <c r="AW875">
        <v>2</v>
      </c>
      <c r="AX875">
        <v>0</v>
      </c>
    </row>
    <row r="876" spans="1:50" x14ac:dyDescent="0.25">
      <c r="A876" t="s">
        <v>4885</v>
      </c>
      <c r="B876" t="s">
        <v>4010</v>
      </c>
      <c r="C876" t="s">
        <v>3890</v>
      </c>
      <c r="D876">
        <v>29.393000000000001</v>
      </c>
      <c r="E876">
        <v>29.373999999999999</v>
      </c>
      <c r="F876" s="2">
        <v>1E-3</v>
      </c>
      <c r="G876" t="s">
        <v>2419</v>
      </c>
      <c r="H876" t="s">
        <v>2423</v>
      </c>
      <c r="I876">
        <v>440539.21629999997</v>
      </c>
      <c r="J876">
        <v>1827925.7609000001</v>
      </c>
      <c r="K876">
        <v>440558.8983</v>
      </c>
      <c r="L876">
        <v>1827925.7609000001</v>
      </c>
      <c r="M876" t="s">
        <v>56</v>
      </c>
      <c r="N876" t="s">
        <v>57</v>
      </c>
      <c r="O876">
        <v>900</v>
      </c>
      <c r="P876" t="s">
        <v>109</v>
      </c>
      <c r="Q876" t="s">
        <v>3919</v>
      </c>
      <c r="R876" t="s">
        <v>2395</v>
      </c>
      <c r="S876" t="s">
        <v>2421</v>
      </c>
      <c r="T876" t="s">
        <v>2425</v>
      </c>
      <c r="U876">
        <v>3.56E-2</v>
      </c>
      <c r="V876">
        <v>2.7300000000000001E-2</v>
      </c>
      <c r="W876" t="s">
        <v>52</v>
      </c>
      <c r="X876">
        <v>0.8488</v>
      </c>
      <c r="Y876">
        <v>0.94159999999999999</v>
      </c>
      <c r="Z876">
        <v>0.94159999999999999</v>
      </c>
      <c r="AA876">
        <v>0.8488</v>
      </c>
      <c r="AB876">
        <v>19.681999999999999</v>
      </c>
      <c r="AC876">
        <v>19.681999999999999</v>
      </c>
      <c r="AD876">
        <v>18.4832</v>
      </c>
      <c r="AE876">
        <v>18.4832</v>
      </c>
      <c r="AF876" t="s">
        <v>183</v>
      </c>
      <c r="AG876" t="s">
        <v>183</v>
      </c>
      <c r="AH876" t="s">
        <v>3894</v>
      </c>
      <c r="AI876" t="s">
        <v>3894</v>
      </c>
      <c r="AJ876" t="s">
        <v>3895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3896</v>
      </c>
      <c r="AT876" t="s">
        <v>3890</v>
      </c>
      <c r="AU876" t="s">
        <v>4012</v>
      </c>
      <c r="AV876" t="s">
        <v>3898</v>
      </c>
      <c r="AW876">
        <v>2</v>
      </c>
      <c r="AX876">
        <v>0</v>
      </c>
    </row>
    <row r="877" spans="1:50" x14ac:dyDescent="0.25">
      <c r="A877" t="s">
        <v>4886</v>
      </c>
      <c r="B877" t="s">
        <v>3889</v>
      </c>
      <c r="C877" t="s">
        <v>3890</v>
      </c>
      <c r="D877">
        <v>28.395</v>
      </c>
      <c r="E877">
        <v>28.370999999999999</v>
      </c>
      <c r="F877" s="2">
        <v>2.2000000000000001E-3</v>
      </c>
      <c r="G877" t="s">
        <v>2802</v>
      </c>
      <c r="H877" t="s">
        <v>2805</v>
      </c>
      <c r="I877">
        <v>440595.27510000003</v>
      </c>
      <c r="J877">
        <v>1827802.6984000001</v>
      </c>
      <c r="K877">
        <v>440595.27510000003</v>
      </c>
      <c r="L877">
        <v>1827791.9018000001</v>
      </c>
      <c r="M877" t="s">
        <v>56</v>
      </c>
      <c r="N877" t="s">
        <v>57</v>
      </c>
      <c r="O877">
        <v>450</v>
      </c>
      <c r="P877" t="s">
        <v>3891</v>
      </c>
      <c r="Q877" t="s">
        <v>3892</v>
      </c>
      <c r="R877" t="s">
        <v>251</v>
      </c>
      <c r="S877" t="s">
        <v>525</v>
      </c>
      <c r="T877" t="s">
        <v>2807</v>
      </c>
      <c r="U877">
        <v>-0.27500000000000002</v>
      </c>
      <c r="V877">
        <v>-0.27500000000000002</v>
      </c>
      <c r="W877" t="s">
        <v>52</v>
      </c>
      <c r="X877">
        <v>1.1893</v>
      </c>
      <c r="Y877">
        <v>1.236</v>
      </c>
      <c r="Z877">
        <v>1.1893</v>
      </c>
      <c r="AA877">
        <v>1.236</v>
      </c>
      <c r="AB877">
        <v>10.7966</v>
      </c>
      <c r="AC877">
        <v>10.7966</v>
      </c>
      <c r="AD877">
        <v>9.5982000000000003</v>
      </c>
      <c r="AE877">
        <v>9.5982000000000003</v>
      </c>
      <c r="AF877" t="s">
        <v>2233</v>
      </c>
      <c r="AG877" t="s">
        <v>2233</v>
      </c>
      <c r="AH877" t="s">
        <v>3894</v>
      </c>
      <c r="AI877" t="s">
        <v>3894</v>
      </c>
      <c r="AJ877" t="s">
        <v>3895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3896</v>
      </c>
      <c r="AT877" t="s">
        <v>3890</v>
      </c>
      <c r="AU877" t="s">
        <v>3897</v>
      </c>
      <c r="AV877" t="s">
        <v>3898</v>
      </c>
      <c r="AW877">
        <v>2</v>
      </c>
      <c r="AX877">
        <v>0</v>
      </c>
    </row>
    <row r="878" spans="1:50" x14ac:dyDescent="0.25">
      <c r="A878" t="s">
        <v>4887</v>
      </c>
      <c r="B878" t="s">
        <v>3963</v>
      </c>
      <c r="C878" t="s">
        <v>3890</v>
      </c>
      <c r="D878">
        <v>28.68</v>
      </c>
      <c r="E878">
        <v>28.66</v>
      </c>
      <c r="F878" s="2">
        <v>1.1000000000000001E-3</v>
      </c>
      <c r="G878" t="s">
        <v>2136</v>
      </c>
      <c r="H878" t="s">
        <v>2140</v>
      </c>
      <c r="I878">
        <v>440314.34989999997</v>
      </c>
      <c r="J878">
        <v>1827693.2365000001</v>
      </c>
      <c r="K878">
        <v>440314.34989999997</v>
      </c>
      <c r="L878">
        <v>1827675.5748000001</v>
      </c>
      <c r="M878" t="s">
        <v>56</v>
      </c>
      <c r="N878" t="s">
        <v>57</v>
      </c>
      <c r="O878">
        <v>600</v>
      </c>
      <c r="P878" t="s">
        <v>3891</v>
      </c>
      <c r="Q878" t="s">
        <v>3892</v>
      </c>
      <c r="R878" t="s">
        <v>156</v>
      </c>
      <c r="S878" t="s">
        <v>4023</v>
      </c>
      <c r="T878" t="s">
        <v>428</v>
      </c>
      <c r="U878">
        <v>-4.8000000000000001E-2</v>
      </c>
      <c r="V878">
        <v>-4.8000000000000001E-2</v>
      </c>
      <c r="W878" t="s">
        <v>52</v>
      </c>
      <c r="X878">
        <v>1.5009999999999999</v>
      </c>
      <c r="Y878">
        <v>1.6621999999999999</v>
      </c>
      <c r="Z878">
        <v>1.5152000000000001</v>
      </c>
      <c r="AA878">
        <v>1.6313</v>
      </c>
      <c r="AB878">
        <v>17.6617</v>
      </c>
      <c r="AC878">
        <v>17.6617</v>
      </c>
      <c r="AD878">
        <v>16.462700000000002</v>
      </c>
      <c r="AE878">
        <v>16.462700000000002</v>
      </c>
      <c r="AF878" t="s">
        <v>2233</v>
      </c>
      <c r="AG878" t="s">
        <v>2233</v>
      </c>
      <c r="AH878" t="s">
        <v>3894</v>
      </c>
      <c r="AI878" t="s">
        <v>3894</v>
      </c>
      <c r="AJ878" t="s">
        <v>3895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3896</v>
      </c>
      <c r="AT878" t="s">
        <v>3890</v>
      </c>
      <c r="AU878" t="s">
        <v>3964</v>
      </c>
      <c r="AV878" t="s">
        <v>3898</v>
      </c>
      <c r="AW878">
        <v>2</v>
      </c>
      <c r="AX878">
        <v>0</v>
      </c>
    </row>
    <row r="879" spans="1:50" x14ac:dyDescent="0.25">
      <c r="A879" t="s">
        <v>4888</v>
      </c>
      <c r="B879" t="s">
        <v>3889</v>
      </c>
      <c r="C879" t="s">
        <v>3890</v>
      </c>
      <c r="D879">
        <v>28.683</v>
      </c>
      <c r="E879">
        <v>28.667999999999999</v>
      </c>
      <c r="F879" s="2">
        <v>1.1000000000000001E-3</v>
      </c>
      <c r="G879" t="s">
        <v>3601</v>
      </c>
      <c r="H879" t="s">
        <v>3604</v>
      </c>
      <c r="I879">
        <v>440519.97509999998</v>
      </c>
      <c r="J879">
        <v>1827425.1986</v>
      </c>
      <c r="K879">
        <v>440519.97509999998</v>
      </c>
      <c r="L879">
        <v>1827439.4838</v>
      </c>
      <c r="M879" t="s">
        <v>56</v>
      </c>
      <c r="N879" t="s">
        <v>57</v>
      </c>
      <c r="O879">
        <v>450</v>
      </c>
      <c r="P879" t="s">
        <v>3891</v>
      </c>
      <c r="Q879" t="s">
        <v>3892</v>
      </c>
      <c r="R879" t="s">
        <v>3606</v>
      </c>
      <c r="S879" t="s">
        <v>4057</v>
      </c>
      <c r="T879" t="s">
        <v>440</v>
      </c>
      <c r="U879">
        <v>0.13270000000000001</v>
      </c>
      <c r="V879">
        <v>0.13270000000000001</v>
      </c>
      <c r="W879" t="s">
        <v>52</v>
      </c>
      <c r="X879">
        <v>0.84109999999999996</v>
      </c>
      <c r="Y879">
        <v>1.0008999999999999</v>
      </c>
      <c r="Z879">
        <v>0.86499999999999999</v>
      </c>
      <c r="AA879">
        <v>0.92779999999999996</v>
      </c>
      <c r="AB879">
        <v>14.5839</v>
      </c>
      <c r="AC879">
        <v>14.584</v>
      </c>
      <c r="AD879">
        <v>13.3847</v>
      </c>
      <c r="AE879">
        <v>13.3847</v>
      </c>
      <c r="AF879" t="s">
        <v>67</v>
      </c>
      <c r="AG879" t="s">
        <v>67</v>
      </c>
      <c r="AH879" t="s">
        <v>3894</v>
      </c>
      <c r="AI879" t="s">
        <v>3894</v>
      </c>
      <c r="AJ879" t="s">
        <v>3895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3896</v>
      </c>
      <c r="AT879" t="s">
        <v>3890</v>
      </c>
      <c r="AU879" t="s">
        <v>3897</v>
      </c>
      <c r="AV879" t="s">
        <v>3898</v>
      </c>
      <c r="AW879">
        <v>2</v>
      </c>
      <c r="AX879">
        <v>0</v>
      </c>
    </row>
    <row r="880" spans="1:50" x14ac:dyDescent="0.25">
      <c r="A880" t="s">
        <v>3569</v>
      </c>
      <c r="B880" t="s">
        <v>3889</v>
      </c>
      <c r="C880" t="s">
        <v>3890</v>
      </c>
      <c r="D880">
        <v>28.683</v>
      </c>
      <c r="E880">
        <v>28.667999999999999</v>
      </c>
      <c r="F880" s="2">
        <v>1E-3</v>
      </c>
      <c r="G880" t="s">
        <v>3568</v>
      </c>
      <c r="H880" t="s">
        <v>3571</v>
      </c>
      <c r="I880">
        <v>440529.67509999999</v>
      </c>
      <c r="J880">
        <v>1827424.8485999999</v>
      </c>
      <c r="K880">
        <v>440529.67509999999</v>
      </c>
      <c r="L880">
        <v>1827439.4838</v>
      </c>
      <c r="M880" t="s">
        <v>56</v>
      </c>
      <c r="N880" t="s">
        <v>57</v>
      </c>
      <c r="O880">
        <v>450</v>
      </c>
      <c r="P880" t="s">
        <v>3891</v>
      </c>
      <c r="Q880" t="s">
        <v>3892</v>
      </c>
      <c r="R880" t="s">
        <v>362</v>
      </c>
      <c r="S880" t="s">
        <v>436</v>
      </c>
      <c r="T880" t="s">
        <v>440</v>
      </c>
      <c r="U880">
        <v>0</v>
      </c>
      <c r="V880">
        <v>0</v>
      </c>
      <c r="W880" t="s">
        <v>52</v>
      </c>
      <c r="X880">
        <v>0.84140000000000004</v>
      </c>
      <c r="Y880">
        <v>1.0016</v>
      </c>
      <c r="Z880">
        <v>0.87180000000000002</v>
      </c>
      <c r="AA880">
        <v>0.92779999999999996</v>
      </c>
      <c r="AB880">
        <v>14.635199999999999</v>
      </c>
      <c r="AC880">
        <v>14.635199999999999</v>
      </c>
      <c r="AD880">
        <v>13.4359</v>
      </c>
      <c r="AE880">
        <v>13.4359</v>
      </c>
      <c r="AF880" t="s">
        <v>67</v>
      </c>
      <c r="AG880" t="s">
        <v>67</v>
      </c>
      <c r="AH880" t="s">
        <v>3894</v>
      </c>
      <c r="AI880" t="s">
        <v>3894</v>
      </c>
      <c r="AJ880" t="s">
        <v>3895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3896</v>
      </c>
      <c r="AT880" t="s">
        <v>3890</v>
      </c>
      <c r="AU880" t="s">
        <v>3897</v>
      </c>
      <c r="AV880" t="s">
        <v>3898</v>
      </c>
      <c r="AW880">
        <v>2</v>
      </c>
      <c r="AX880">
        <v>0</v>
      </c>
    </row>
    <row r="881" spans="1:50" x14ac:dyDescent="0.25">
      <c r="A881" t="s">
        <v>4889</v>
      </c>
      <c r="B881" t="s">
        <v>3889</v>
      </c>
      <c r="C881" t="s">
        <v>3890</v>
      </c>
      <c r="D881">
        <v>30.029</v>
      </c>
      <c r="E881">
        <v>30.01</v>
      </c>
      <c r="F881" s="2">
        <v>1E-3</v>
      </c>
      <c r="G881" t="s">
        <v>2253</v>
      </c>
      <c r="H881" t="s">
        <v>2257</v>
      </c>
      <c r="I881">
        <v>440416.3077</v>
      </c>
      <c r="J881">
        <v>1827935.2109000001</v>
      </c>
      <c r="K881">
        <v>440435.03580000001</v>
      </c>
      <c r="L881">
        <v>1827935.2109000001</v>
      </c>
      <c r="M881" t="s">
        <v>56</v>
      </c>
      <c r="N881" t="s">
        <v>57</v>
      </c>
      <c r="O881">
        <v>450</v>
      </c>
      <c r="P881" t="s">
        <v>3891</v>
      </c>
      <c r="Q881" t="s">
        <v>3892</v>
      </c>
      <c r="R881" t="s">
        <v>241</v>
      </c>
      <c r="S881" t="s">
        <v>2255</v>
      </c>
      <c r="T881" t="s">
        <v>2259</v>
      </c>
      <c r="U881">
        <v>0.25</v>
      </c>
      <c r="V881">
        <v>0.25</v>
      </c>
      <c r="W881" t="s">
        <v>52</v>
      </c>
      <c r="X881">
        <v>0.89710000000000001</v>
      </c>
      <c r="Y881">
        <v>0.92169999999999996</v>
      </c>
      <c r="Z881">
        <v>0.92169999999999996</v>
      </c>
      <c r="AA881">
        <v>0.89710000000000001</v>
      </c>
      <c r="AB881">
        <v>18.728100000000001</v>
      </c>
      <c r="AC881">
        <v>18.728100000000001</v>
      </c>
      <c r="AD881">
        <v>17.5288</v>
      </c>
      <c r="AE881">
        <v>17.5288</v>
      </c>
      <c r="AF881" t="s">
        <v>183</v>
      </c>
      <c r="AG881" t="s">
        <v>183</v>
      </c>
      <c r="AH881" t="s">
        <v>3894</v>
      </c>
      <c r="AI881" t="s">
        <v>3894</v>
      </c>
      <c r="AJ881" t="s">
        <v>3895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3896</v>
      </c>
      <c r="AT881" t="s">
        <v>3890</v>
      </c>
      <c r="AU881" t="s">
        <v>3897</v>
      </c>
      <c r="AV881" t="s">
        <v>3898</v>
      </c>
      <c r="AW881">
        <v>2</v>
      </c>
      <c r="AX881">
        <v>0</v>
      </c>
    </row>
    <row r="882" spans="1:50" x14ac:dyDescent="0.25">
      <c r="A882" t="s">
        <v>4890</v>
      </c>
      <c r="B882" t="s">
        <v>3996</v>
      </c>
      <c r="C882" t="s">
        <v>3890</v>
      </c>
      <c r="D882">
        <v>27.006</v>
      </c>
      <c r="E882">
        <v>26.984999999999999</v>
      </c>
      <c r="F882" s="2">
        <v>1E-3</v>
      </c>
      <c r="G882" t="s">
        <v>3780</v>
      </c>
      <c r="H882" t="s">
        <v>3784</v>
      </c>
      <c r="I882">
        <v>440509.22450000001</v>
      </c>
      <c r="J882">
        <v>1827549.9697</v>
      </c>
      <c r="K882">
        <v>440530.30209999997</v>
      </c>
      <c r="L882">
        <v>1827549.977</v>
      </c>
      <c r="M882" t="s">
        <v>56</v>
      </c>
      <c r="N882" t="s">
        <v>57</v>
      </c>
      <c r="O882">
        <v>1350</v>
      </c>
      <c r="P882" t="s">
        <v>3997</v>
      </c>
      <c r="Q882" t="s">
        <v>3998</v>
      </c>
      <c r="R882" t="s">
        <v>180</v>
      </c>
      <c r="S882" t="s">
        <v>3782</v>
      </c>
      <c r="T882" t="s">
        <v>3001</v>
      </c>
      <c r="U882">
        <v>-0.56410000000000005</v>
      </c>
      <c r="V882">
        <v>-0.55679999999999996</v>
      </c>
      <c r="W882" t="s">
        <v>52</v>
      </c>
      <c r="X882">
        <v>0.97240000000000004</v>
      </c>
      <c r="Y882">
        <v>1.1152</v>
      </c>
      <c r="Z882">
        <v>1.1152</v>
      </c>
      <c r="AA882">
        <v>0.97240000000000004</v>
      </c>
      <c r="AB882">
        <v>21.0776</v>
      </c>
      <c r="AC882">
        <v>21.0776</v>
      </c>
      <c r="AD882">
        <v>19.8794</v>
      </c>
      <c r="AE882">
        <v>19.8794</v>
      </c>
      <c r="AF882" t="s">
        <v>4891</v>
      </c>
      <c r="AG882" t="s">
        <v>4891</v>
      </c>
      <c r="AH882" t="s">
        <v>3894</v>
      </c>
      <c r="AI882" t="s">
        <v>3894</v>
      </c>
      <c r="AJ882" t="s">
        <v>3895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3896</v>
      </c>
      <c r="AT882" t="s">
        <v>3890</v>
      </c>
      <c r="AU882" t="s">
        <v>4000</v>
      </c>
      <c r="AV882" t="s">
        <v>3898</v>
      </c>
      <c r="AW882">
        <v>2</v>
      </c>
      <c r="AX882">
        <v>0</v>
      </c>
    </row>
    <row r="883" spans="1:50" x14ac:dyDescent="0.25">
      <c r="A883" t="s">
        <v>4892</v>
      </c>
      <c r="B883" t="s">
        <v>4355</v>
      </c>
      <c r="C883" t="s">
        <v>3890</v>
      </c>
      <c r="D883">
        <v>27.981999999999999</v>
      </c>
      <c r="E883">
        <v>27.972000000000001</v>
      </c>
      <c r="F883" s="2">
        <v>1E-3</v>
      </c>
      <c r="G883" t="s">
        <v>149</v>
      </c>
      <c r="H883" t="s">
        <v>2080</v>
      </c>
      <c r="I883">
        <v>440217.49979999999</v>
      </c>
      <c r="J883">
        <v>1827588.5366</v>
      </c>
      <c r="K883">
        <v>440217.45750000002</v>
      </c>
      <c r="L883">
        <v>1827579.0844000001</v>
      </c>
      <c r="M883" t="s">
        <v>56</v>
      </c>
      <c r="N883" t="s">
        <v>57</v>
      </c>
      <c r="O883">
        <v>900</v>
      </c>
      <c r="P883" t="s">
        <v>3918</v>
      </c>
      <c r="Q883" t="s">
        <v>3930</v>
      </c>
      <c r="R883" t="s">
        <v>151</v>
      </c>
      <c r="S883" t="s">
        <v>152</v>
      </c>
      <c r="T883" t="s">
        <v>4893</v>
      </c>
      <c r="U883">
        <v>5.5999999999999999E-3</v>
      </c>
      <c r="V883">
        <v>4.2700000000000002E-2</v>
      </c>
      <c r="W883" t="s">
        <v>52</v>
      </c>
      <c r="X883">
        <v>2.3666</v>
      </c>
      <c r="Y883">
        <v>2.3953000000000002</v>
      </c>
      <c r="Z883">
        <v>2.3666</v>
      </c>
      <c r="AA883">
        <v>2.3953000000000002</v>
      </c>
      <c r="AB883">
        <v>9.3637999999999995</v>
      </c>
      <c r="AC883">
        <v>9.3637999999999995</v>
      </c>
      <c r="AD883">
        <v>8.0679999999999996</v>
      </c>
      <c r="AE883">
        <v>8.0679999999999996</v>
      </c>
      <c r="AF883" t="s">
        <v>4894</v>
      </c>
      <c r="AG883" t="s">
        <v>4894</v>
      </c>
      <c r="AH883" t="s">
        <v>3894</v>
      </c>
      <c r="AI883" t="s">
        <v>3894</v>
      </c>
      <c r="AJ883" t="s">
        <v>3895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3896</v>
      </c>
      <c r="AT883" t="s">
        <v>3890</v>
      </c>
      <c r="AU883" t="s">
        <v>4357</v>
      </c>
      <c r="AV883" t="s">
        <v>3898</v>
      </c>
      <c r="AW883">
        <v>2</v>
      </c>
      <c r="AX883">
        <v>0</v>
      </c>
    </row>
    <row r="884" spans="1:50" x14ac:dyDescent="0.25">
      <c r="A884" t="s">
        <v>4895</v>
      </c>
      <c r="B884" t="s">
        <v>4004</v>
      </c>
      <c r="C884" t="s">
        <v>3890</v>
      </c>
      <c r="D884">
        <v>28.3</v>
      </c>
      <c r="E884">
        <v>28.291</v>
      </c>
      <c r="F884" s="2">
        <v>8.9999999999999998E-4</v>
      </c>
      <c r="G884" t="s">
        <v>2796</v>
      </c>
      <c r="H884" t="s">
        <v>2809</v>
      </c>
      <c r="I884">
        <v>440585.57510000002</v>
      </c>
      <c r="J884">
        <v>1827778.6007000001</v>
      </c>
      <c r="K884">
        <v>440595.19549999997</v>
      </c>
      <c r="L884">
        <v>1827778.6007000001</v>
      </c>
      <c r="M884" t="s">
        <v>56</v>
      </c>
      <c r="N884" t="s">
        <v>57</v>
      </c>
      <c r="O884">
        <v>600</v>
      </c>
      <c r="P884" t="s">
        <v>58</v>
      </c>
      <c r="Q884" t="s">
        <v>3892</v>
      </c>
      <c r="R884" t="s">
        <v>200</v>
      </c>
      <c r="S884" t="s">
        <v>2477</v>
      </c>
      <c r="T884" s="1" t="s">
        <v>4896</v>
      </c>
      <c r="U884">
        <v>1.52E-2</v>
      </c>
      <c r="V884">
        <v>1.1900000000000001E-2</v>
      </c>
      <c r="W884" t="s">
        <v>52</v>
      </c>
      <c r="X884">
        <v>1.0075000000000001</v>
      </c>
      <c r="Y884">
        <v>1.171</v>
      </c>
      <c r="Z884">
        <v>1.0083</v>
      </c>
      <c r="AA884">
        <v>1.171</v>
      </c>
      <c r="AB884">
        <v>9.6204000000000001</v>
      </c>
      <c r="AC884">
        <v>9.6204000000000001</v>
      </c>
      <c r="AD884">
        <v>8.4212000000000007</v>
      </c>
      <c r="AE884">
        <v>8.4212000000000007</v>
      </c>
      <c r="AF884" t="s">
        <v>183</v>
      </c>
      <c r="AG884" t="s">
        <v>183</v>
      </c>
      <c r="AH884" t="s">
        <v>3894</v>
      </c>
      <c r="AI884" t="s">
        <v>3894</v>
      </c>
      <c r="AJ884" t="s">
        <v>3895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3896</v>
      </c>
      <c r="AT884" t="s">
        <v>3890</v>
      </c>
      <c r="AU884" t="s">
        <v>4006</v>
      </c>
      <c r="AV884" t="s">
        <v>3898</v>
      </c>
      <c r="AW884">
        <v>2</v>
      </c>
      <c r="AX884">
        <v>0</v>
      </c>
    </row>
    <row r="885" spans="1:50" x14ac:dyDescent="0.25">
      <c r="A885" t="s">
        <v>4897</v>
      </c>
      <c r="B885" t="s">
        <v>3963</v>
      </c>
      <c r="C885" t="s">
        <v>3890</v>
      </c>
      <c r="D885">
        <v>28.66</v>
      </c>
      <c r="E885">
        <v>28.64</v>
      </c>
      <c r="F885" s="2">
        <v>1E-3</v>
      </c>
      <c r="G885" t="s">
        <v>2140</v>
      </c>
      <c r="H885" t="s">
        <v>402</v>
      </c>
      <c r="I885">
        <v>440314.34989999997</v>
      </c>
      <c r="J885">
        <v>1827675.5748000001</v>
      </c>
      <c r="K885">
        <v>440314.34989999997</v>
      </c>
      <c r="L885">
        <v>1827655.9909000001</v>
      </c>
      <c r="M885" t="s">
        <v>56</v>
      </c>
      <c r="N885" t="s">
        <v>57</v>
      </c>
      <c r="O885">
        <v>600</v>
      </c>
      <c r="P885" t="s">
        <v>3891</v>
      </c>
      <c r="Q885" t="s">
        <v>3892</v>
      </c>
      <c r="R885" t="s">
        <v>156</v>
      </c>
      <c r="S885" t="s">
        <v>428</v>
      </c>
      <c r="T885" t="s">
        <v>404</v>
      </c>
      <c r="U885">
        <v>-4.8000000000000001E-2</v>
      </c>
      <c r="V885">
        <v>-4.8000000000000001E-2</v>
      </c>
      <c r="W885" t="s">
        <v>52</v>
      </c>
      <c r="X885">
        <v>1.6313</v>
      </c>
      <c r="Y885">
        <v>1.6865000000000001</v>
      </c>
      <c r="Z885">
        <v>1.6313</v>
      </c>
      <c r="AA885">
        <v>1.6865000000000001</v>
      </c>
      <c r="AB885">
        <v>19.5839</v>
      </c>
      <c r="AC885">
        <v>19.5839</v>
      </c>
      <c r="AD885">
        <v>18.384799999999998</v>
      </c>
      <c r="AE885">
        <v>18.384799999999998</v>
      </c>
      <c r="AF885" t="s">
        <v>2233</v>
      </c>
      <c r="AG885" t="s">
        <v>2233</v>
      </c>
      <c r="AH885" t="s">
        <v>3894</v>
      </c>
      <c r="AI885" t="s">
        <v>3894</v>
      </c>
      <c r="AJ885" t="s">
        <v>3895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3896</v>
      </c>
      <c r="AT885" t="s">
        <v>3890</v>
      </c>
      <c r="AU885" t="s">
        <v>3964</v>
      </c>
      <c r="AV885" t="s">
        <v>3898</v>
      </c>
      <c r="AW885">
        <v>2</v>
      </c>
      <c r="AX885">
        <v>0</v>
      </c>
    </row>
    <row r="886" spans="1:50" x14ac:dyDescent="0.25">
      <c r="A886" t="s">
        <v>4898</v>
      </c>
      <c r="B886" t="s">
        <v>3963</v>
      </c>
      <c r="C886" t="s">
        <v>3890</v>
      </c>
      <c r="D886">
        <v>31.896000000000001</v>
      </c>
      <c r="E886">
        <v>31.875</v>
      </c>
      <c r="F886" s="2">
        <v>1E-3</v>
      </c>
      <c r="G886" t="s">
        <v>379</v>
      </c>
      <c r="H886" t="s">
        <v>1374</v>
      </c>
      <c r="I886">
        <v>440053.69949999999</v>
      </c>
      <c r="J886">
        <v>1827720.0652000001</v>
      </c>
      <c r="K886">
        <v>440053.69949999999</v>
      </c>
      <c r="L886">
        <v>1827699.5242000001</v>
      </c>
      <c r="M886" t="s">
        <v>56</v>
      </c>
      <c r="N886" t="s">
        <v>57</v>
      </c>
      <c r="O886">
        <v>600</v>
      </c>
      <c r="P886" t="s">
        <v>3891</v>
      </c>
      <c r="Q886" t="s">
        <v>3892</v>
      </c>
      <c r="R886" t="s">
        <v>381</v>
      </c>
      <c r="S886" t="s">
        <v>382</v>
      </c>
      <c r="T886" t="s">
        <v>1376</v>
      </c>
      <c r="U886">
        <v>5.04E-2</v>
      </c>
      <c r="V886">
        <v>4.4400000000000002E-2</v>
      </c>
      <c r="W886" t="s">
        <v>52</v>
      </c>
      <c r="X886">
        <v>0.89480000000000004</v>
      </c>
      <c r="Y886">
        <v>0.96319999999999995</v>
      </c>
      <c r="Z886">
        <v>0.96319999999999995</v>
      </c>
      <c r="AA886">
        <v>0.89480000000000004</v>
      </c>
      <c r="AB886">
        <v>20.541</v>
      </c>
      <c r="AC886">
        <v>20.541</v>
      </c>
      <c r="AD886">
        <v>19.341899999999999</v>
      </c>
      <c r="AE886">
        <v>19.341899999999999</v>
      </c>
      <c r="AF886" t="s">
        <v>2233</v>
      </c>
      <c r="AG886" t="s">
        <v>2233</v>
      </c>
      <c r="AH886" t="s">
        <v>3894</v>
      </c>
      <c r="AI886" t="s">
        <v>3894</v>
      </c>
      <c r="AJ886" t="s">
        <v>3895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3896</v>
      </c>
      <c r="AT886" t="s">
        <v>3890</v>
      </c>
      <c r="AU886" t="s">
        <v>3964</v>
      </c>
      <c r="AV886" t="s">
        <v>3898</v>
      </c>
      <c r="AW886">
        <v>2</v>
      </c>
      <c r="AX886">
        <v>0</v>
      </c>
    </row>
    <row r="887" spans="1:50" x14ac:dyDescent="0.25">
      <c r="A887" t="s">
        <v>4899</v>
      </c>
      <c r="B887" t="s">
        <v>3963</v>
      </c>
      <c r="C887" t="s">
        <v>3890</v>
      </c>
      <c r="D887">
        <v>31.914999999999999</v>
      </c>
      <c r="E887">
        <v>31.893000000000001</v>
      </c>
      <c r="F887" s="2">
        <v>1E-3</v>
      </c>
      <c r="G887" t="s">
        <v>1639</v>
      </c>
      <c r="H887" t="s">
        <v>1643</v>
      </c>
      <c r="I887">
        <v>440044.1495</v>
      </c>
      <c r="J887">
        <v>1827761.0604999999</v>
      </c>
      <c r="K887">
        <v>440044.1495</v>
      </c>
      <c r="L887">
        <v>1827739.3221</v>
      </c>
      <c r="M887" t="s">
        <v>56</v>
      </c>
      <c r="N887" t="s">
        <v>57</v>
      </c>
      <c r="O887">
        <v>600</v>
      </c>
      <c r="P887" t="s">
        <v>3891</v>
      </c>
      <c r="Q887" t="s">
        <v>3892</v>
      </c>
      <c r="R887" t="s">
        <v>390</v>
      </c>
      <c r="S887" t="s">
        <v>1641</v>
      </c>
      <c r="T887" t="s">
        <v>1645</v>
      </c>
      <c r="U887">
        <v>7.4999999999999997E-2</v>
      </c>
      <c r="V887">
        <v>7.4999999999999997E-2</v>
      </c>
      <c r="W887" t="s">
        <v>52</v>
      </c>
      <c r="X887">
        <v>1.0281</v>
      </c>
      <c r="Y887">
        <v>1.0506</v>
      </c>
      <c r="Z887">
        <v>1.0506</v>
      </c>
      <c r="AA887">
        <v>1.0281</v>
      </c>
      <c r="AB887">
        <v>21.738399999999999</v>
      </c>
      <c r="AC887">
        <v>21.738399999999999</v>
      </c>
      <c r="AD887">
        <v>20.539200000000001</v>
      </c>
      <c r="AE887">
        <v>20.539200000000001</v>
      </c>
      <c r="AF887" t="s">
        <v>2233</v>
      </c>
      <c r="AG887" t="s">
        <v>2233</v>
      </c>
      <c r="AH887" t="s">
        <v>3894</v>
      </c>
      <c r="AI887" t="s">
        <v>3894</v>
      </c>
      <c r="AJ887" t="s">
        <v>3895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3896</v>
      </c>
      <c r="AT887" t="s">
        <v>3890</v>
      </c>
      <c r="AU887" t="s">
        <v>3964</v>
      </c>
      <c r="AV887" t="s">
        <v>3898</v>
      </c>
      <c r="AW887">
        <v>2</v>
      </c>
      <c r="AX887">
        <v>0</v>
      </c>
    </row>
    <row r="888" spans="1:50" x14ac:dyDescent="0.25">
      <c r="A888" t="s">
        <v>4900</v>
      </c>
      <c r="B888" t="s">
        <v>3996</v>
      </c>
      <c r="C888" t="s">
        <v>3890</v>
      </c>
      <c r="D888">
        <v>27.123999999999999</v>
      </c>
      <c r="E888">
        <v>27.105</v>
      </c>
      <c r="F888" s="2">
        <v>1E-3</v>
      </c>
      <c r="G888" t="s">
        <v>3756</v>
      </c>
      <c r="H888" t="s">
        <v>3766</v>
      </c>
      <c r="I888">
        <v>440448.24910000002</v>
      </c>
      <c r="J888">
        <v>1827549.9805999999</v>
      </c>
      <c r="K888">
        <v>440467.82770000002</v>
      </c>
      <c r="L888">
        <v>1827549.9759</v>
      </c>
      <c r="M888" t="s">
        <v>56</v>
      </c>
      <c r="N888" t="s">
        <v>57</v>
      </c>
      <c r="O888">
        <v>1350</v>
      </c>
      <c r="P888" t="s">
        <v>3997</v>
      </c>
      <c r="Q888" t="s">
        <v>3998</v>
      </c>
      <c r="R888" t="s">
        <v>180</v>
      </c>
      <c r="S888" t="s">
        <v>3758</v>
      </c>
      <c r="T888" t="s">
        <v>3768</v>
      </c>
      <c r="U888">
        <v>-0.55320000000000003</v>
      </c>
      <c r="V888">
        <v>-0.55789999999999995</v>
      </c>
      <c r="W888" t="s">
        <v>52</v>
      </c>
      <c r="X888">
        <v>1.2486999999999999</v>
      </c>
      <c r="Y888">
        <v>1.3383</v>
      </c>
      <c r="Z888">
        <v>1.3383</v>
      </c>
      <c r="AA888">
        <v>1.2486999999999999</v>
      </c>
      <c r="AB888">
        <v>19.578600000000002</v>
      </c>
      <c r="AC888">
        <v>19.578600000000002</v>
      </c>
      <c r="AD888">
        <v>18.380400000000002</v>
      </c>
      <c r="AE888">
        <v>18.380400000000002</v>
      </c>
      <c r="AF888" t="s">
        <v>4901</v>
      </c>
      <c r="AG888" t="s">
        <v>4901</v>
      </c>
      <c r="AH888" t="s">
        <v>3894</v>
      </c>
      <c r="AI888" t="s">
        <v>3894</v>
      </c>
      <c r="AJ888" t="s">
        <v>3895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3896</v>
      </c>
      <c r="AT888" t="s">
        <v>3890</v>
      </c>
      <c r="AU888" t="s">
        <v>4000</v>
      </c>
      <c r="AV888" t="s">
        <v>3898</v>
      </c>
      <c r="AW888">
        <v>2</v>
      </c>
      <c r="AX888">
        <v>0</v>
      </c>
    </row>
    <row r="889" spans="1:50" x14ac:dyDescent="0.25">
      <c r="A889" t="s">
        <v>4902</v>
      </c>
      <c r="B889" t="s">
        <v>3889</v>
      </c>
      <c r="C889" t="s">
        <v>3890</v>
      </c>
      <c r="D889">
        <v>31.277999999999999</v>
      </c>
      <c r="E889">
        <v>31.263999999999999</v>
      </c>
      <c r="F889" s="2">
        <v>1E-3</v>
      </c>
      <c r="G889" t="s">
        <v>710</v>
      </c>
      <c r="H889" t="s">
        <v>713</v>
      </c>
      <c r="I889">
        <v>440117.47499999998</v>
      </c>
      <c r="J889">
        <v>1827425.1986</v>
      </c>
      <c r="K889">
        <v>440117.47499999998</v>
      </c>
      <c r="L889">
        <v>1827439.4831999999</v>
      </c>
      <c r="M889" t="s">
        <v>56</v>
      </c>
      <c r="N889" t="s">
        <v>57</v>
      </c>
      <c r="O889">
        <v>450</v>
      </c>
      <c r="P889" t="s">
        <v>3891</v>
      </c>
      <c r="Q889" t="s">
        <v>3892</v>
      </c>
      <c r="R889" t="s">
        <v>715</v>
      </c>
      <c r="S889" t="s">
        <v>4075</v>
      </c>
      <c r="T889" t="s">
        <v>440</v>
      </c>
      <c r="U889">
        <v>0.1923</v>
      </c>
      <c r="V889">
        <v>0.1923</v>
      </c>
      <c r="W889" t="s">
        <v>52</v>
      </c>
      <c r="X889">
        <v>0.84430000000000005</v>
      </c>
      <c r="Y889">
        <v>1.0128999999999999</v>
      </c>
      <c r="Z889">
        <v>0.86550000000000005</v>
      </c>
      <c r="AA889">
        <v>0.97960000000000003</v>
      </c>
      <c r="AB889">
        <v>14.5749</v>
      </c>
      <c r="AC889">
        <v>14.5749</v>
      </c>
      <c r="AD889">
        <v>13.3756</v>
      </c>
      <c r="AE889">
        <v>13.3756</v>
      </c>
      <c r="AF889" t="s">
        <v>67</v>
      </c>
      <c r="AG889" t="s">
        <v>67</v>
      </c>
      <c r="AH889" t="s">
        <v>3894</v>
      </c>
      <c r="AI889" t="s">
        <v>3894</v>
      </c>
      <c r="AJ889" t="s">
        <v>3895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3896</v>
      </c>
      <c r="AT889" t="s">
        <v>3890</v>
      </c>
      <c r="AU889" t="s">
        <v>3897</v>
      </c>
      <c r="AV889" t="s">
        <v>3898</v>
      </c>
      <c r="AW889">
        <v>2</v>
      </c>
      <c r="AX889">
        <v>0</v>
      </c>
    </row>
    <row r="890" spans="1:50" x14ac:dyDescent="0.25">
      <c r="A890" t="s">
        <v>4903</v>
      </c>
      <c r="B890" t="s">
        <v>4004</v>
      </c>
      <c r="C890" t="s">
        <v>3890</v>
      </c>
      <c r="D890">
        <v>28.812000000000001</v>
      </c>
      <c r="E890">
        <v>28.803000000000001</v>
      </c>
      <c r="F890" s="2">
        <v>1E-3</v>
      </c>
      <c r="G890" t="s">
        <v>2496</v>
      </c>
      <c r="H890" t="s">
        <v>2578</v>
      </c>
      <c r="I890">
        <v>440585.57510000002</v>
      </c>
      <c r="J890">
        <v>1827935.1359000001</v>
      </c>
      <c r="K890">
        <v>440594.8175</v>
      </c>
      <c r="L890">
        <v>1827935.1359000001</v>
      </c>
      <c r="M890" t="s">
        <v>56</v>
      </c>
      <c r="N890" t="s">
        <v>57</v>
      </c>
      <c r="O890">
        <v>600</v>
      </c>
      <c r="P890" t="s">
        <v>58</v>
      </c>
      <c r="Q890" t="s">
        <v>3892</v>
      </c>
      <c r="R890" t="s">
        <v>241</v>
      </c>
      <c r="S890" t="s">
        <v>2477</v>
      </c>
      <c r="T890" s="1" t="s">
        <v>4373</v>
      </c>
      <c r="U890">
        <v>0.17499999999999999</v>
      </c>
      <c r="V890">
        <v>0.17499999999999999</v>
      </c>
      <c r="W890" t="s">
        <v>52</v>
      </c>
      <c r="X890">
        <v>1.0494000000000001</v>
      </c>
      <c r="Y890">
        <v>1.2015</v>
      </c>
      <c r="Z890">
        <v>1.0494000000000001</v>
      </c>
      <c r="AA890">
        <v>1.2015</v>
      </c>
      <c r="AB890">
        <v>8.9878999999999998</v>
      </c>
      <c r="AC890">
        <v>8.9878999999999998</v>
      </c>
      <c r="AD890">
        <v>7.7887000000000004</v>
      </c>
      <c r="AE890">
        <v>7.7887000000000004</v>
      </c>
      <c r="AF890" t="s">
        <v>183</v>
      </c>
      <c r="AG890" t="s">
        <v>183</v>
      </c>
      <c r="AH890" t="s">
        <v>3894</v>
      </c>
      <c r="AI890" t="s">
        <v>3894</v>
      </c>
      <c r="AJ890" t="s">
        <v>3895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3896</v>
      </c>
      <c r="AT890" t="s">
        <v>3890</v>
      </c>
      <c r="AU890" t="s">
        <v>4006</v>
      </c>
      <c r="AV890" t="s">
        <v>3898</v>
      </c>
      <c r="AW890">
        <v>2</v>
      </c>
      <c r="AX890">
        <v>0</v>
      </c>
    </row>
    <row r="891" spans="1:50" x14ac:dyDescent="0.25">
      <c r="A891" t="s">
        <v>4904</v>
      </c>
      <c r="B891" t="s">
        <v>4065</v>
      </c>
      <c r="C891" t="s">
        <v>3890</v>
      </c>
      <c r="D891">
        <v>29.702000000000002</v>
      </c>
      <c r="E891">
        <v>29.683</v>
      </c>
      <c r="F891" s="2">
        <v>1E-3</v>
      </c>
      <c r="G891" t="s">
        <v>239</v>
      </c>
      <c r="H891" t="s">
        <v>2318</v>
      </c>
      <c r="I891">
        <v>440483.9387</v>
      </c>
      <c r="J891">
        <v>1827934.9609000001</v>
      </c>
      <c r="K891">
        <v>440502.63459999999</v>
      </c>
      <c r="L891">
        <v>1827934.9609000001</v>
      </c>
      <c r="M891" t="s">
        <v>56</v>
      </c>
      <c r="N891" t="s">
        <v>57</v>
      </c>
      <c r="O891">
        <v>900</v>
      </c>
      <c r="P891" t="s">
        <v>58</v>
      </c>
      <c r="Q891" t="s">
        <v>3919</v>
      </c>
      <c r="R891" t="s">
        <v>241</v>
      </c>
      <c r="S891" t="s">
        <v>242</v>
      </c>
      <c r="T891" t="s">
        <v>2320</v>
      </c>
      <c r="U891">
        <v>0</v>
      </c>
      <c r="V891">
        <v>0</v>
      </c>
      <c r="W891" t="s">
        <v>52</v>
      </c>
      <c r="X891">
        <v>0.88680000000000003</v>
      </c>
      <c r="Y891">
        <v>0.9113</v>
      </c>
      <c r="Z891">
        <v>0.9113</v>
      </c>
      <c r="AA891">
        <v>0.88680000000000003</v>
      </c>
      <c r="AB891">
        <v>18.695900000000002</v>
      </c>
      <c r="AC891">
        <v>18.695900000000002</v>
      </c>
      <c r="AD891">
        <v>17.4971</v>
      </c>
      <c r="AE891">
        <v>17.497199999999999</v>
      </c>
      <c r="AF891" t="s">
        <v>183</v>
      </c>
      <c r="AG891" t="s">
        <v>183</v>
      </c>
      <c r="AH891" t="s">
        <v>3894</v>
      </c>
      <c r="AI891" t="s">
        <v>3894</v>
      </c>
      <c r="AJ891" t="s">
        <v>3895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3896</v>
      </c>
      <c r="AT891" t="s">
        <v>3890</v>
      </c>
      <c r="AU891" t="s">
        <v>4066</v>
      </c>
      <c r="AV891" t="s">
        <v>3898</v>
      </c>
      <c r="AW891">
        <v>2</v>
      </c>
      <c r="AX891">
        <v>0</v>
      </c>
    </row>
    <row r="892" spans="1:50" x14ac:dyDescent="0.25">
      <c r="A892" t="s">
        <v>4905</v>
      </c>
      <c r="B892" t="s">
        <v>4004</v>
      </c>
      <c r="C892" t="s">
        <v>3890</v>
      </c>
      <c r="D892">
        <v>28.061</v>
      </c>
      <c r="E892">
        <v>28.042000000000002</v>
      </c>
      <c r="F892" s="2">
        <v>8.9999999999999998E-4</v>
      </c>
      <c r="G892" t="s">
        <v>2943</v>
      </c>
      <c r="H892" t="s">
        <v>2947</v>
      </c>
      <c r="I892">
        <v>440547.03419999999</v>
      </c>
      <c r="J892">
        <v>1827692.7645</v>
      </c>
      <c r="K892">
        <v>440568.12719999999</v>
      </c>
      <c r="L892">
        <v>1827692.7645</v>
      </c>
      <c r="M892" t="s">
        <v>56</v>
      </c>
      <c r="N892" t="s">
        <v>57</v>
      </c>
      <c r="O892">
        <v>600</v>
      </c>
      <c r="P892" t="s">
        <v>58</v>
      </c>
      <c r="Q892" t="s">
        <v>3892</v>
      </c>
      <c r="R892" t="s">
        <v>1112</v>
      </c>
      <c r="S892" t="s">
        <v>2945</v>
      </c>
      <c r="T892" t="s">
        <v>2949</v>
      </c>
      <c r="U892">
        <v>-1.84E-2</v>
      </c>
      <c r="V892">
        <v>-1.32E-2</v>
      </c>
      <c r="W892" t="s">
        <v>52</v>
      </c>
      <c r="X892">
        <v>1.0148999999999999</v>
      </c>
      <c r="Y892">
        <v>1.0381</v>
      </c>
      <c r="Z892">
        <v>1.0381</v>
      </c>
      <c r="AA892">
        <v>1.0148999999999999</v>
      </c>
      <c r="AB892">
        <v>21.093</v>
      </c>
      <c r="AC892">
        <v>21.093</v>
      </c>
      <c r="AD892">
        <v>19.893799999999999</v>
      </c>
      <c r="AE892">
        <v>19.893799999999999</v>
      </c>
      <c r="AF892" t="s">
        <v>183</v>
      </c>
      <c r="AG892" t="s">
        <v>183</v>
      </c>
      <c r="AH892" t="s">
        <v>3894</v>
      </c>
      <c r="AI892" t="s">
        <v>3894</v>
      </c>
      <c r="AJ892" t="s">
        <v>3895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3896</v>
      </c>
      <c r="AT892" t="s">
        <v>3890</v>
      </c>
      <c r="AU892" t="s">
        <v>4006</v>
      </c>
      <c r="AV892" t="s">
        <v>3898</v>
      </c>
      <c r="AW892">
        <v>2</v>
      </c>
      <c r="AX892">
        <v>0</v>
      </c>
    </row>
    <row r="893" spans="1:50" x14ac:dyDescent="0.25">
      <c r="A893" t="s">
        <v>4906</v>
      </c>
      <c r="B893" t="s">
        <v>4004</v>
      </c>
      <c r="C893" t="s">
        <v>3890</v>
      </c>
      <c r="D893">
        <v>28.58</v>
      </c>
      <c r="E893">
        <v>28.568000000000001</v>
      </c>
      <c r="F893" s="2">
        <v>1E-3</v>
      </c>
      <c r="G893" t="s">
        <v>3848</v>
      </c>
      <c r="H893" t="s">
        <v>3003</v>
      </c>
      <c r="I893">
        <v>440398.13890000002</v>
      </c>
      <c r="J893">
        <v>1827703.7145</v>
      </c>
      <c r="K893">
        <v>440410.4252</v>
      </c>
      <c r="L893">
        <v>1827703.7145</v>
      </c>
      <c r="M893" t="s">
        <v>56</v>
      </c>
      <c r="N893" t="s">
        <v>57</v>
      </c>
      <c r="O893">
        <v>600</v>
      </c>
      <c r="P893" t="s">
        <v>58</v>
      </c>
      <c r="Q893" t="s">
        <v>3892</v>
      </c>
      <c r="R893" t="s">
        <v>1056</v>
      </c>
      <c r="S893" t="s">
        <v>3850</v>
      </c>
      <c r="T893" t="s">
        <v>420</v>
      </c>
      <c r="U893">
        <v>0</v>
      </c>
      <c r="V893">
        <v>0</v>
      </c>
      <c r="W893" t="s">
        <v>52</v>
      </c>
      <c r="X893">
        <v>0.87549999999999994</v>
      </c>
      <c r="Y893">
        <v>1.0369999999999999</v>
      </c>
      <c r="Z893">
        <v>0.89959999999999996</v>
      </c>
      <c r="AA893">
        <v>0.91890000000000005</v>
      </c>
      <c r="AB893">
        <v>12.286300000000001</v>
      </c>
      <c r="AC893">
        <v>12.286300000000001</v>
      </c>
      <c r="AD893">
        <v>11.0871</v>
      </c>
      <c r="AE893">
        <v>11.0871</v>
      </c>
      <c r="AF893" t="s">
        <v>183</v>
      </c>
      <c r="AG893" t="s">
        <v>183</v>
      </c>
      <c r="AH893" t="s">
        <v>3894</v>
      </c>
      <c r="AI893" t="s">
        <v>3894</v>
      </c>
      <c r="AJ893" t="s">
        <v>3895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3896</v>
      </c>
      <c r="AT893" t="s">
        <v>3890</v>
      </c>
      <c r="AU893" t="s">
        <v>4006</v>
      </c>
      <c r="AV893" t="s">
        <v>3898</v>
      </c>
      <c r="AW893">
        <v>2</v>
      </c>
      <c r="AX893">
        <v>0</v>
      </c>
    </row>
    <row r="894" spans="1:50" x14ac:dyDescent="0.25">
      <c r="A894" t="s">
        <v>4907</v>
      </c>
      <c r="B894" t="s">
        <v>3947</v>
      </c>
      <c r="C894" t="s">
        <v>3890</v>
      </c>
      <c r="D894">
        <v>28.146000000000001</v>
      </c>
      <c r="E894">
        <v>28.122</v>
      </c>
      <c r="F894" s="2">
        <v>1E-3</v>
      </c>
      <c r="G894" t="s">
        <v>953</v>
      </c>
      <c r="H894" t="s">
        <v>1029</v>
      </c>
      <c r="I894">
        <v>440323.82490000001</v>
      </c>
      <c r="J894">
        <v>1827531.7838000001</v>
      </c>
      <c r="K894">
        <v>440347.47730000003</v>
      </c>
      <c r="L894">
        <v>1827531.7837</v>
      </c>
      <c r="M894" t="s">
        <v>56</v>
      </c>
      <c r="N894" t="s">
        <v>57</v>
      </c>
      <c r="O894">
        <v>1050</v>
      </c>
      <c r="P894" t="s">
        <v>3918</v>
      </c>
      <c r="Q894" t="s">
        <v>3930</v>
      </c>
      <c r="R894" t="s">
        <v>141</v>
      </c>
      <c r="S894" t="s">
        <v>955</v>
      </c>
      <c r="T894" t="s">
        <v>4908</v>
      </c>
      <c r="U894">
        <v>0.2334</v>
      </c>
      <c r="V894">
        <v>0.23319999999999999</v>
      </c>
      <c r="W894" t="s">
        <v>52</v>
      </c>
      <c r="X894">
        <v>1.5529999999999999</v>
      </c>
      <c r="Y894">
        <v>1.6601999999999999</v>
      </c>
      <c r="Z894">
        <v>1.6601999999999999</v>
      </c>
      <c r="AA894">
        <v>1.5529999999999999</v>
      </c>
      <c r="AB894">
        <v>23.635100000000001</v>
      </c>
      <c r="AC894">
        <v>23.635100000000001</v>
      </c>
      <c r="AD894">
        <v>22.436499999999999</v>
      </c>
      <c r="AE894">
        <v>22.436499999999999</v>
      </c>
      <c r="AF894" t="s">
        <v>4909</v>
      </c>
      <c r="AG894" t="s">
        <v>4909</v>
      </c>
      <c r="AH894" t="s">
        <v>3894</v>
      </c>
      <c r="AI894" t="s">
        <v>3894</v>
      </c>
      <c r="AJ894" t="s">
        <v>3895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3896</v>
      </c>
      <c r="AT894" t="s">
        <v>3890</v>
      </c>
      <c r="AU894" t="s">
        <v>3950</v>
      </c>
      <c r="AV894" t="s">
        <v>3898</v>
      </c>
      <c r="AW894">
        <v>2</v>
      </c>
      <c r="AX894">
        <v>0</v>
      </c>
    </row>
    <row r="895" spans="1:50" x14ac:dyDescent="0.25">
      <c r="A895" t="s">
        <v>4910</v>
      </c>
      <c r="B895" t="s">
        <v>3924</v>
      </c>
      <c r="C895" t="s">
        <v>3890</v>
      </c>
      <c r="D895">
        <v>31.812000000000001</v>
      </c>
      <c r="E895">
        <v>31.792000000000002</v>
      </c>
      <c r="F895" s="2">
        <v>1E-3</v>
      </c>
      <c r="G895" t="s">
        <v>1749</v>
      </c>
      <c r="H895" t="s">
        <v>1752</v>
      </c>
      <c r="I895">
        <v>440053.62449999998</v>
      </c>
      <c r="J895">
        <v>1828062.8171000001</v>
      </c>
      <c r="K895">
        <v>440053.62449999998</v>
      </c>
      <c r="L895">
        <v>1828082.8171000001</v>
      </c>
      <c r="M895" t="s">
        <v>56</v>
      </c>
      <c r="N895" t="s">
        <v>57</v>
      </c>
      <c r="O895">
        <v>750</v>
      </c>
      <c r="P895" t="s">
        <v>3891</v>
      </c>
      <c r="Q895" t="s">
        <v>3892</v>
      </c>
      <c r="R895" t="s">
        <v>502</v>
      </c>
      <c r="S895" t="s">
        <v>428</v>
      </c>
      <c r="T895" t="s">
        <v>432</v>
      </c>
      <c r="U895">
        <v>0.1615</v>
      </c>
      <c r="V895">
        <v>0.1615</v>
      </c>
      <c r="W895" t="s">
        <v>52</v>
      </c>
      <c r="X895">
        <v>2.4037999999999999</v>
      </c>
      <c r="Y895">
        <v>2.4824000000000002</v>
      </c>
      <c r="Z895">
        <v>2.4037999999999999</v>
      </c>
      <c r="AA895">
        <v>2.4824000000000002</v>
      </c>
      <c r="AB895">
        <v>20</v>
      </c>
      <c r="AC895">
        <v>20</v>
      </c>
      <c r="AD895">
        <v>18.800999999999998</v>
      </c>
      <c r="AE895">
        <v>18.800999999999998</v>
      </c>
      <c r="AF895" t="s">
        <v>67</v>
      </c>
      <c r="AG895" t="s">
        <v>67</v>
      </c>
      <c r="AH895" t="s">
        <v>3894</v>
      </c>
      <c r="AI895" t="s">
        <v>3894</v>
      </c>
      <c r="AJ895" t="s">
        <v>3895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3896</v>
      </c>
      <c r="AT895" t="s">
        <v>3890</v>
      </c>
      <c r="AU895" t="s">
        <v>3926</v>
      </c>
      <c r="AV895" t="s">
        <v>3898</v>
      </c>
      <c r="AW895">
        <v>2</v>
      </c>
      <c r="AX895">
        <v>0</v>
      </c>
    </row>
    <row r="896" spans="1:50" x14ac:dyDescent="0.25">
      <c r="A896" t="s">
        <v>4911</v>
      </c>
      <c r="B896" t="s">
        <v>3963</v>
      </c>
      <c r="C896" t="s">
        <v>3890</v>
      </c>
      <c r="D896">
        <v>31.824999999999999</v>
      </c>
      <c r="E896">
        <v>31.805</v>
      </c>
      <c r="F896" s="2">
        <v>1E-3</v>
      </c>
      <c r="G896" t="s">
        <v>1721</v>
      </c>
      <c r="H896" t="s">
        <v>1724</v>
      </c>
      <c r="I896">
        <v>440044.1495</v>
      </c>
      <c r="J896">
        <v>1828062.8171000001</v>
      </c>
      <c r="K896">
        <v>440044.1495</v>
      </c>
      <c r="L896">
        <v>1828082.8171000001</v>
      </c>
      <c r="M896" t="s">
        <v>56</v>
      </c>
      <c r="N896" t="s">
        <v>57</v>
      </c>
      <c r="O896">
        <v>600</v>
      </c>
      <c r="P896" t="s">
        <v>3891</v>
      </c>
      <c r="Q896" t="s">
        <v>3892</v>
      </c>
      <c r="R896" t="s">
        <v>489</v>
      </c>
      <c r="S896" t="s">
        <v>428</v>
      </c>
      <c r="T896" t="s">
        <v>432</v>
      </c>
      <c r="U896">
        <v>7.4999999999999997E-2</v>
      </c>
      <c r="V896">
        <v>7.4999999999999997E-2</v>
      </c>
      <c r="W896" t="s">
        <v>52</v>
      </c>
      <c r="X896">
        <v>2.3923000000000001</v>
      </c>
      <c r="Y896">
        <v>2.4708999999999999</v>
      </c>
      <c r="Z896">
        <v>2.3923000000000001</v>
      </c>
      <c r="AA896">
        <v>2.4708999999999999</v>
      </c>
      <c r="AB896">
        <v>20</v>
      </c>
      <c r="AC896">
        <v>20</v>
      </c>
      <c r="AD896">
        <v>18.800799999999999</v>
      </c>
      <c r="AE896">
        <v>18.800899999999999</v>
      </c>
      <c r="AF896" t="s">
        <v>67</v>
      </c>
      <c r="AG896" t="s">
        <v>67</v>
      </c>
      <c r="AH896" t="s">
        <v>3894</v>
      </c>
      <c r="AI896" t="s">
        <v>3894</v>
      </c>
      <c r="AJ896" t="s">
        <v>3895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3896</v>
      </c>
      <c r="AT896" t="s">
        <v>3890</v>
      </c>
      <c r="AU896" t="s">
        <v>3964</v>
      </c>
      <c r="AV896" t="s">
        <v>3898</v>
      </c>
      <c r="AW896">
        <v>2</v>
      </c>
      <c r="AX896">
        <v>0</v>
      </c>
    </row>
    <row r="897" spans="1:50" x14ac:dyDescent="0.25">
      <c r="A897" t="s">
        <v>4912</v>
      </c>
      <c r="B897" t="s">
        <v>3933</v>
      </c>
      <c r="C897" t="s">
        <v>3890</v>
      </c>
      <c r="D897">
        <v>31.663</v>
      </c>
      <c r="E897">
        <v>31.643000000000001</v>
      </c>
      <c r="F897" s="2">
        <v>1E-3</v>
      </c>
      <c r="G897" t="s">
        <v>1243</v>
      </c>
      <c r="H897" t="s">
        <v>1247</v>
      </c>
      <c r="I897">
        <v>440198.84980000003</v>
      </c>
      <c r="J897">
        <v>1828081.8171000001</v>
      </c>
      <c r="K897">
        <v>440198.84980000003</v>
      </c>
      <c r="L897">
        <v>1828061.8171000001</v>
      </c>
      <c r="M897" t="s">
        <v>56</v>
      </c>
      <c r="N897" t="s">
        <v>57</v>
      </c>
      <c r="O897">
        <v>750</v>
      </c>
      <c r="P897" t="s">
        <v>58</v>
      </c>
      <c r="Q897" t="s">
        <v>3919</v>
      </c>
      <c r="R897" t="s">
        <v>146</v>
      </c>
      <c r="S897" t="s">
        <v>1245</v>
      </c>
      <c r="T897" t="s">
        <v>1249</v>
      </c>
      <c r="U897">
        <v>0.05</v>
      </c>
      <c r="V897">
        <v>0.05</v>
      </c>
      <c r="W897" t="s">
        <v>52</v>
      </c>
      <c r="X897">
        <v>1.0919000000000001</v>
      </c>
      <c r="Y897">
        <v>1.1685000000000001</v>
      </c>
      <c r="Z897">
        <v>1.1685000000000001</v>
      </c>
      <c r="AA897">
        <v>1.0919000000000001</v>
      </c>
      <c r="AB897">
        <v>20</v>
      </c>
      <c r="AC897">
        <v>20</v>
      </c>
      <c r="AD897">
        <v>18.800999999999998</v>
      </c>
      <c r="AE897">
        <v>18.801100000000002</v>
      </c>
      <c r="AF897" t="s">
        <v>2233</v>
      </c>
      <c r="AG897" t="s">
        <v>2233</v>
      </c>
      <c r="AH897" t="s">
        <v>3894</v>
      </c>
      <c r="AI897" t="s">
        <v>3894</v>
      </c>
      <c r="AJ897" t="s">
        <v>3895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3896</v>
      </c>
      <c r="AT897" t="s">
        <v>3890</v>
      </c>
      <c r="AU897" t="s">
        <v>3935</v>
      </c>
      <c r="AV897" t="s">
        <v>3898</v>
      </c>
      <c r="AW897">
        <v>2</v>
      </c>
      <c r="AX897">
        <v>0</v>
      </c>
    </row>
    <row r="898" spans="1:50" x14ac:dyDescent="0.25">
      <c r="A898" t="s">
        <v>4913</v>
      </c>
      <c r="B898" t="s">
        <v>3889</v>
      </c>
      <c r="C898" t="s">
        <v>3890</v>
      </c>
      <c r="D898">
        <v>29.155999999999999</v>
      </c>
      <c r="E898">
        <v>29.135999999999999</v>
      </c>
      <c r="F898" s="2">
        <v>1E-3</v>
      </c>
      <c r="G898" t="s">
        <v>2217</v>
      </c>
      <c r="H898" t="s">
        <v>2221</v>
      </c>
      <c r="I898">
        <v>440323.97489999997</v>
      </c>
      <c r="J898">
        <v>1827595.5748000001</v>
      </c>
      <c r="K898">
        <v>440323.97489999997</v>
      </c>
      <c r="L898">
        <v>1827575.5748000001</v>
      </c>
      <c r="M898" t="s">
        <v>56</v>
      </c>
      <c r="N898" t="s">
        <v>57</v>
      </c>
      <c r="O898">
        <v>450</v>
      </c>
      <c r="P898" t="s">
        <v>3891</v>
      </c>
      <c r="Q898" t="s">
        <v>3892</v>
      </c>
      <c r="R898" t="s">
        <v>161</v>
      </c>
      <c r="S898" t="s">
        <v>2219</v>
      </c>
      <c r="T898" t="s">
        <v>2223</v>
      </c>
      <c r="U898">
        <v>0</v>
      </c>
      <c r="V898">
        <v>0</v>
      </c>
      <c r="W898" t="s">
        <v>52</v>
      </c>
      <c r="X898">
        <v>1.4841</v>
      </c>
      <c r="Y898">
        <v>1.6213</v>
      </c>
      <c r="Z898">
        <v>1.4841</v>
      </c>
      <c r="AA898">
        <v>1.6213</v>
      </c>
      <c r="AB898">
        <v>20</v>
      </c>
      <c r="AC898">
        <v>20</v>
      </c>
      <c r="AD898">
        <v>18.800699999999999</v>
      </c>
      <c r="AE898">
        <v>18.800699999999999</v>
      </c>
      <c r="AF898" t="s">
        <v>2233</v>
      </c>
      <c r="AG898" t="s">
        <v>2233</v>
      </c>
      <c r="AH898" t="s">
        <v>3894</v>
      </c>
      <c r="AI898" t="s">
        <v>3894</v>
      </c>
      <c r="AJ898" t="s">
        <v>3895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3896</v>
      </c>
      <c r="AT898" t="s">
        <v>3890</v>
      </c>
      <c r="AU898" t="s">
        <v>3897</v>
      </c>
      <c r="AV898" t="s">
        <v>3898</v>
      </c>
      <c r="AW898">
        <v>2</v>
      </c>
      <c r="AX898">
        <v>0</v>
      </c>
    </row>
    <row r="899" spans="1:50" x14ac:dyDescent="0.25">
      <c r="A899" t="s">
        <v>4914</v>
      </c>
      <c r="B899" t="s">
        <v>3924</v>
      </c>
      <c r="C899" t="s">
        <v>3890</v>
      </c>
      <c r="D899">
        <v>28.58</v>
      </c>
      <c r="E899">
        <v>28.56</v>
      </c>
      <c r="F899" s="2">
        <v>1E-3</v>
      </c>
      <c r="G899" t="s">
        <v>2150</v>
      </c>
      <c r="H899" t="s">
        <v>2153</v>
      </c>
      <c r="I899">
        <v>440314.42489999998</v>
      </c>
      <c r="J899">
        <v>1827595.5748000001</v>
      </c>
      <c r="K899">
        <v>440314.42489999998</v>
      </c>
      <c r="L899">
        <v>1827575.5748000001</v>
      </c>
      <c r="M899" t="s">
        <v>56</v>
      </c>
      <c r="N899" t="s">
        <v>57</v>
      </c>
      <c r="O899">
        <v>750</v>
      </c>
      <c r="P899" t="s">
        <v>3891</v>
      </c>
      <c r="Q899" t="s">
        <v>3892</v>
      </c>
      <c r="R899" t="s">
        <v>156</v>
      </c>
      <c r="S899" t="s">
        <v>529</v>
      </c>
      <c r="T899" t="s">
        <v>525</v>
      </c>
      <c r="U899">
        <v>-0.123</v>
      </c>
      <c r="V899">
        <v>-0.123</v>
      </c>
      <c r="W899" t="s">
        <v>52</v>
      </c>
      <c r="X899">
        <v>2.0571000000000002</v>
      </c>
      <c r="Y899">
        <v>2.1943000000000001</v>
      </c>
      <c r="Z899">
        <v>2.0571000000000002</v>
      </c>
      <c r="AA899">
        <v>2.1943000000000001</v>
      </c>
      <c r="AB899">
        <v>20</v>
      </c>
      <c r="AC899">
        <v>20</v>
      </c>
      <c r="AD899">
        <v>18.800999999999998</v>
      </c>
      <c r="AE899">
        <v>18.800999999999998</v>
      </c>
      <c r="AF899" t="s">
        <v>2233</v>
      </c>
      <c r="AG899" t="s">
        <v>2233</v>
      </c>
      <c r="AH899" t="s">
        <v>3894</v>
      </c>
      <c r="AI899" t="s">
        <v>3894</v>
      </c>
      <c r="AJ899" t="s">
        <v>3895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3896</v>
      </c>
      <c r="AT899" t="s">
        <v>3890</v>
      </c>
      <c r="AU899" t="s">
        <v>3926</v>
      </c>
      <c r="AV899" t="s">
        <v>3898</v>
      </c>
      <c r="AW899">
        <v>2</v>
      </c>
      <c r="AX899">
        <v>0</v>
      </c>
    </row>
    <row r="900" spans="1:50" x14ac:dyDescent="0.25">
      <c r="A900" t="s">
        <v>4915</v>
      </c>
      <c r="B900" t="s">
        <v>4010</v>
      </c>
      <c r="C900" t="s">
        <v>3890</v>
      </c>
      <c r="D900">
        <v>31.385000000000002</v>
      </c>
      <c r="E900">
        <v>31.364999999999998</v>
      </c>
      <c r="F900" s="2">
        <v>1E-3</v>
      </c>
      <c r="G900" t="s">
        <v>1834</v>
      </c>
      <c r="H900" t="s">
        <v>1837</v>
      </c>
      <c r="I900">
        <v>440121.92450000002</v>
      </c>
      <c r="J900">
        <v>1828062.8171999999</v>
      </c>
      <c r="K900">
        <v>440121.92450000002</v>
      </c>
      <c r="L900">
        <v>1828042.8171999999</v>
      </c>
      <c r="M900" t="s">
        <v>56</v>
      </c>
      <c r="N900" t="s">
        <v>57</v>
      </c>
      <c r="O900">
        <v>900</v>
      </c>
      <c r="P900" t="s">
        <v>109</v>
      </c>
      <c r="Q900" t="s">
        <v>3919</v>
      </c>
      <c r="R900" t="s">
        <v>395</v>
      </c>
      <c r="S900" t="s">
        <v>428</v>
      </c>
      <c r="T900" t="s">
        <v>424</v>
      </c>
      <c r="U900">
        <v>-0.1721</v>
      </c>
      <c r="V900">
        <v>-0.1721</v>
      </c>
      <c r="W900" t="s">
        <v>52</v>
      </c>
      <c r="X900">
        <v>1.7134</v>
      </c>
      <c r="Y900">
        <v>1.8149</v>
      </c>
      <c r="Z900">
        <v>1.8149</v>
      </c>
      <c r="AA900">
        <v>1.7134</v>
      </c>
      <c r="AB900">
        <v>20</v>
      </c>
      <c r="AC900">
        <v>20</v>
      </c>
      <c r="AD900">
        <v>18.801200000000001</v>
      </c>
      <c r="AE900">
        <v>18.801200000000001</v>
      </c>
      <c r="AF900" t="s">
        <v>2233</v>
      </c>
      <c r="AG900" t="s">
        <v>2233</v>
      </c>
      <c r="AH900" t="s">
        <v>3894</v>
      </c>
      <c r="AI900" t="s">
        <v>3894</v>
      </c>
      <c r="AJ900" t="s">
        <v>3895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3896</v>
      </c>
      <c r="AT900" t="s">
        <v>3890</v>
      </c>
      <c r="AU900" t="s">
        <v>4012</v>
      </c>
      <c r="AV900" t="s">
        <v>3898</v>
      </c>
      <c r="AW900">
        <v>2</v>
      </c>
      <c r="AX900">
        <v>0</v>
      </c>
    </row>
    <row r="901" spans="1:50" x14ac:dyDescent="0.25">
      <c r="A901" t="s">
        <v>4916</v>
      </c>
      <c r="B901" t="s">
        <v>3889</v>
      </c>
      <c r="C901" t="s">
        <v>3890</v>
      </c>
      <c r="D901">
        <v>30.013000000000002</v>
      </c>
      <c r="E901">
        <v>29.992999999999999</v>
      </c>
      <c r="F901" s="2">
        <v>1E-3</v>
      </c>
      <c r="G901" t="s">
        <v>907</v>
      </c>
      <c r="H901" t="s">
        <v>910</v>
      </c>
      <c r="I901">
        <v>440323.97489999997</v>
      </c>
      <c r="J901">
        <v>1827439.4838</v>
      </c>
      <c r="K901">
        <v>440323.97489999997</v>
      </c>
      <c r="L901">
        <v>1827459.4838</v>
      </c>
      <c r="M901" t="s">
        <v>56</v>
      </c>
      <c r="N901" t="s">
        <v>57</v>
      </c>
      <c r="O901">
        <v>450</v>
      </c>
      <c r="P901" t="s">
        <v>3891</v>
      </c>
      <c r="Q901" t="s">
        <v>3892</v>
      </c>
      <c r="R901" t="s">
        <v>372</v>
      </c>
      <c r="S901" t="s">
        <v>440</v>
      </c>
      <c r="T901" t="s">
        <v>444</v>
      </c>
      <c r="U901">
        <v>-0.15</v>
      </c>
      <c r="V901">
        <v>-0.15</v>
      </c>
      <c r="W901" t="s">
        <v>52</v>
      </c>
      <c r="X901">
        <v>0.90669999999999995</v>
      </c>
      <c r="Y901">
        <v>0.9829</v>
      </c>
      <c r="Z901">
        <v>0.9829</v>
      </c>
      <c r="AA901">
        <v>0.90669999999999995</v>
      </c>
      <c r="AB901">
        <v>20</v>
      </c>
      <c r="AC901">
        <v>20</v>
      </c>
      <c r="AD901">
        <v>18.800699999999999</v>
      </c>
      <c r="AE901">
        <v>18.800699999999999</v>
      </c>
      <c r="AF901" t="s">
        <v>67</v>
      </c>
      <c r="AG901" t="s">
        <v>67</v>
      </c>
      <c r="AH901" t="s">
        <v>3894</v>
      </c>
      <c r="AI901" t="s">
        <v>3894</v>
      </c>
      <c r="AJ901" t="s">
        <v>3895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3896</v>
      </c>
      <c r="AT901" t="s">
        <v>3890</v>
      </c>
      <c r="AU901" t="s">
        <v>3897</v>
      </c>
      <c r="AV901" t="s">
        <v>3898</v>
      </c>
      <c r="AW901">
        <v>2</v>
      </c>
      <c r="AX901">
        <v>0</v>
      </c>
    </row>
    <row r="902" spans="1:50" x14ac:dyDescent="0.25">
      <c r="A902" t="s">
        <v>4917</v>
      </c>
      <c r="B902" t="s">
        <v>3889</v>
      </c>
      <c r="C902" t="s">
        <v>3890</v>
      </c>
      <c r="D902">
        <v>31.263999999999999</v>
      </c>
      <c r="E902">
        <v>31.244</v>
      </c>
      <c r="F902" s="2">
        <v>1E-3</v>
      </c>
      <c r="G902" t="s">
        <v>713</v>
      </c>
      <c r="H902" t="s">
        <v>717</v>
      </c>
      <c r="I902">
        <v>440117.47499999998</v>
      </c>
      <c r="J902">
        <v>1827439.4831999999</v>
      </c>
      <c r="K902">
        <v>440117.47499999998</v>
      </c>
      <c r="L902">
        <v>1827459.4831999999</v>
      </c>
      <c r="M902" t="s">
        <v>56</v>
      </c>
      <c r="N902" t="s">
        <v>57</v>
      </c>
      <c r="O902">
        <v>450</v>
      </c>
      <c r="P902" t="s">
        <v>3891</v>
      </c>
      <c r="Q902" t="s">
        <v>3892</v>
      </c>
      <c r="R902" t="s">
        <v>715</v>
      </c>
      <c r="S902" t="s">
        <v>440</v>
      </c>
      <c r="T902" t="s">
        <v>444</v>
      </c>
      <c r="U902">
        <v>0.1923</v>
      </c>
      <c r="V902">
        <v>0.1923</v>
      </c>
      <c r="W902" t="s">
        <v>52</v>
      </c>
      <c r="X902">
        <v>0.89770000000000005</v>
      </c>
      <c r="Y902">
        <v>0.97960000000000003</v>
      </c>
      <c r="Z902">
        <v>0.97960000000000003</v>
      </c>
      <c r="AA902">
        <v>0.89770000000000005</v>
      </c>
      <c r="AB902">
        <v>20</v>
      </c>
      <c r="AC902">
        <v>20</v>
      </c>
      <c r="AD902">
        <v>18.800699999999999</v>
      </c>
      <c r="AE902">
        <v>18.800699999999999</v>
      </c>
      <c r="AF902" t="s">
        <v>67</v>
      </c>
      <c r="AG902" t="s">
        <v>67</v>
      </c>
      <c r="AH902" t="s">
        <v>3894</v>
      </c>
      <c r="AI902" t="s">
        <v>3894</v>
      </c>
      <c r="AJ902" t="s">
        <v>3895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3896</v>
      </c>
      <c r="AT902" t="s">
        <v>3890</v>
      </c>
      <c r="AU902" t="s">
        <v>3897</v>
      </c>
      <c r="AV902" t="s">
        <v>3898</v>
      </c>
      <c r="AW902">
        <v>2</v>
      </c>
      <c r="AX902">
        <v>0</v>
      </c>
    </row>
    <row r="903" spans="1:50" x14ac:dyDescent="0.25">
      <c r="A903" t="s">
        <v>4918</v>
      </c>
      <c r="B903" t="s">
        <v>3933</v>
      </c>
      <c r="C903" t="s">
        <v>3890</v>
      </c>
      <c r="D903">
        <v>31.27</v>
      </c>
      <c r="E903">
        <v>31.25</v>
      </c>
      <c r="F903" s="2">
        <v>1E-3</v>
      </c>
      <c r="G903" t="s">
        <v>2018</v>
      </c>
      <c r="H903" t="s">
        <v>2021</v>
      </c>
      <c r="I903">
        <v>440132.59950000001</v>
      </c>
      <c r="J903">
        <v>1827842.8171999999</v>
      </c>
      <c r="K903">
        <v>440132.59950000001</v>
      </c>
      <c r="L903">
        <v>1827822.8171999999</v>
      </c>
      <c r="M903" t="s">
        <v>56</v>
      </c>
      <c r="N903" t="s">
        <v>57</v>
      </c>
      <c r="O903">
        <v>750</v>
      </c>
      <c r="P903" t="s">
        <v>58</v>
      </c>
      <c r="Q903" t="s">
        <v>3919</v>
      </c>
      <c r="R903" t="s">
        <v>1968</v>
      </c>
      <c r="S903" t="s">
        <v>853</v>
      </c>
      <c r="T903" t="s">
        <v>849</v>
      </c>
      <c r="U903">
        <v>3.3399999999999999E-2</v>
      </c>
      <c r="V903">
        <v>2.4299999999999999E-2</v>
      </c>
      <c r="W903" t="s">
        <v>52</v>
      </c>
      <c r="X903">
        <v>0.94869999999999999</v>
      </c>
      <c r="Y903">
        <v>0.98299999999999998</v>
      </c>
      <c r="Z903">
        <v>0.98299999999999998</v>
      </c>
      <c r="AA903">
        <v>0.94869999999999999</v>
      </c>
      <c r="AB903">
        <v>20</v>
      </c>
      <c r="AC903">
        <v>20</v>
      </c>
      <c r="AD903">
        <v>18.800999999999998</v>
      </c>
      <c r="AE903">
        <v>18.801100000000002</v>
      </c>
      <c r="AF903" t="s">
        <v>2233</v>
      </c>
      <c r="AG903" t="s">
        <v>2233</v>
      </c>
      <c r="AH903" t="s">
        <v>3894</v>
      </c>
      <c r="AI903" t="s">
        <v>3894</v>
      </c>
      <c r="AJ903" t="s">
        <v>3895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3896</v>
      </c>
      <c r="AT903" t="s">
        <v>3890</v>
      </c>
      <c r="AU903" t="s">
        <v>3935</v>
      </c>
      <c r="AV903" t="s">
        <v>3898</v>
      </c>
      <c r="AW903">
        <v>2</v>
      </c>
      <c r="AX903">
        <v>0</v>
      </c>
    </row>
    <row r="904" spans="1:50" x14ac:dyDescent="0.25">
      <c r="A904" t="s">
        <v>4919</v>
      </c>
      <c r="B904" t="s">
        <v>3933</v>
      </c>
      <c r="C904" t="s">
        <v>3890</v>
      </c>
      <c r="D904">
        <v>32.945999999999998</v>
      </c>
      <c r="E904">
        <v>32.926000000000002</v>
      </c>
      <c r="F904" s="2">
        <v>1E-3</v>
      </c>
      <c r="G904" t="s">
        <v>1427</v>
      </c>
      <c r="H904" t="s">
        <v>1430</v>
      </c>
      <c r="I904">
        <v>439962.09980000003</v>
      </c>
      <c r="J904">
        <v>1828045.8171000001</v>
      </c>
      <c r="K904">
        <v>439962.09980000003</v>
      </c>
      <c r="L904">
        <v>1828025.8171000001</v>
      </c>
      <c r="M904" t="s">
        <v>56</v>
      </c>
      <c r="N904" t="s">
        <v>57</v>
      </c>
      <c r="O904">
        <v>750</v>
      </c>
      <c r="P904" t="s">
        <v>58</v>
      </c>
      <c r="Q904" t="s">
        <v>3919</v>
      </c>
      <c r="R904" t="s">
        <v>1404</v>
      </c>
      <c r="S904" t="s">
        <v>424</v>
      </c>
      <c r="T904" t="s">
        <v>420</v>
      </c>
      <c r="U904">
        <v>0.13800000000000001</v>
      </c>
      <c r="V904">
        <v>0.1295</v>
      </c>
      <c r="W904" t="s">
        <v>52</v>
      </c>
      <c r="X904">
        <v>1.3599000000000001</v>
      </c>
      <c r="Y904">
        <v>1.4201999999999999</v>
      </c>
      <c r="Z904">
        <v>1.4201999999999999</v>
      </c>
      <c r="AA904">
        <v>1.3599000000000001</v>
      </c>
      <c r="AB904">
        <v>20</v>
      </c>
      <c r="AC904">
        <v>20</v>
      </c>
      <c r="AD904">
        <v>18.800999999999998</v>
      </c>
      <c r="AE904">
        <v>18.801100000000002</v>
      </c>
      <c r="AF904" t="s">
        <v>4011</v>
      </c>
      <c r="AG904" t="s">
        <v>4011</v>
      </c>
      <c r="AH904" t="s">
        <v>3894</v>
      </c>
      <c r="AI904" t="s">
        <v>3894</v>
      </c>
      <c r="AJ904" t="s">
        <v>3895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3896</v>
      </c>
      <c r="AT904" t="s">
        <v>3890</v>
      </c>
      <c r="AU904" t="s">
        <v>3935</v>
      </c>
      <c r="AV904" t="s">
        <v>3898</v>
      </c>
      <c r="AW904">
        <v>2</v>
      </c>
      <c r="AX904">
        <v>0</v>
      </c>
    </row>
    <row r="905" spans="1:50" x14ac:dyDescent="0.25">
      <c r="A905" t="s">
        <v>4920</v>
      </c>
      <c r="B905" t="s">
        <v>3933</v>
      </c>
      <c r="C905" t="s">
        <v>3890</v>
      </c>
      <c r="D905">
        <v>32.947000000000003</v>
      </c>
      <c r="E905">
        <v>32.927</v>
      </c>
      <c r="F905" s="2">
        <v>1E-3</v>
      </c>
      <c r="G905" t="s">
        <v>1531</v>
      </c>
      <c r="H905" t="s">
        <v>1534</v>
      </c>
      <c r="I905">
        <v>439951.34980000003</v>
      </c>
      <c r="J905">
        <v>1828045.8171000001</v>
      </c>
      <c r="K905">
        <v>439951.34980000003</v>
      </c>
      <c r="L905">
        <v>1828025.8171000001</v>
      </c>
      <c r="M905" t="s">
        <v>56</v>
      </c>
      <c r="N905" t="s">
        <v>57</v>
      </c>
      <c r="O905">
        <v>750</v>
      </c>
      <c r="P905" t="s">
        <v>58</v>
      </c>
      <c r="Q905" t="s">
        <v>3919</v>
      </c>
      <c r="R905" t="s">
        <v>1510</v>
      </c>
      <c r="S905" t="s">
        <v>424</v>
      </c>
      <c r="T905" t="s">
        <v>420</v>
      </c>
      <c r="U905">
        <v>0.05</v>
      </c>
      <c r="V905">
        <v>0.05</v>
      </c>
      <c r="W905" t="s">
        <v>52</v>
      </c>
      <c r="X905">
        <v>1.3589</v>
      </c>
      <c r="Y905">
        <v>1.4192</v>
      </c>
      <c r="Z905">
        <v>1.4192</v>
      </c>
      <c r="AA905">
        <v>1.3589</v>
      </c>
      <c r="AB905">
        <v>20</v>
      </c>
      <c r="AC905">
        <v>20</v>
      </c>
      <c r="AD905">
        <v>18.800999999999998</v>
      </c>
      <c r="AE905">
        <v>18.801100000000002</v>
      </c>
      <c r="AF905" t="s">
        <v>4011</v>
      </c>
      <c r="AG905" t="s">
        <v>4011</v>
      </c>
      <c r="AH905" t="s">
        <v>3894</v>
      </c>
      <c r="AI905" t="s">
        <v>3894</v>
      </c>
      <c r="AJ905" t="s">
        <v>3895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3896</v>
      </c>
      <c r="AT905" t="s">
        <v>3890</v>
      </c>
      <c r="AU905" t="s">
        <v>3935</v>
      </c>
      <c r="AV905" t="s">
        <v>3898</v>
      </c>
      <c r="AW905">
        <v>2</v>
      </c>
      <c r="AX905">
        <v>0</v>
      </c>
    </row>
    <row r="906" spans="1:50" x14ac:dyDescent="0.25">
      <c r="A906" t="s">
        <v>4921</v>
      </c>
      <c r="B906" t="s">
        <v>3889</v>
      </c>
      <c r="C906" t="s">
        <v>3890</v>
      </c>
      <c r="D906">
        <v>29.242000000000001</v>
      </c>
      <c r="E906">
        <v>29.181999999999999</v>
      </c>
      <c r="F906" s="2">
        <v>3.0000000000000001E-3</v>
      </c>
      <c r="G906" t="s">
        <v>3839</v>
      </c>
      <c r="H906" t="s">
        <v>3842</v>
      </c>
      <c r="I906">
        <v>440398.47509999998</v>
      </c>
      <c r="J906">
        <v>1827749.7609000001</v>
      </c>
      <c r="K906">
        <v>440398.47509999998</v>
      </c>
      <c r="L906">
        <v>1827729.7609000001</v>
      </c>
      <c r="M906" t="s">
        <v>56</v>
      </c>
      <c r="N906" t="s">
        <v>57</v>
      </c>
      <c r="O906">
        <v>450</v>
      </c>
      <c r="P906" t="s">
        <v>3891</v>
      </c>
      <c r="Q906" t="s">
        <v>3892</v>
      </c>
      <c r="R906" t="s">
        <v>107</v>
      </c>
      <c r="S906" t="s">
        <v>428</v>
      </c>
      <c r="T906" t="s">
        <v>424</v>
      </c>
      <c r="U906">
        <v>-2.0000000000000001E-4</v>
      </c>
      <c r="V906">
        <v>-2.0000000000000001E-4</v>
      </c>
      <c r="W906" t="s">
        <v>52</v>
      </c>
      <c r="X906">
        <v>0.88170000000000004</v>
      </c>
      <c r="Y906">
        <v>1.0368999999999999</v>
      </c>
      <c r="Z906">
        <v>1.0368999999999999</v>
      </c>
      <c r="AA906">
        <v>0.88170000000000004</v>
      </c>
      <c r="AB906">
        <v>20</v>
      </c>
      <c r="AC906">
        <v>20.0001</v>
      </c>
      <c r="AD906">
        <v>18.802099999999999</v>
      </c>
      <c r="AE906">
        <v>18.802199999999999</v>
      </c>
      <c r="AF906" t="s">
        <v>2233</v>
      </c>
      <c r="AG906" t="s">
        <v>2233</v>
      </c>
      <c r="AH906" t="s">
        <v>3894</v>
      </c>
      <c r="AI906" t="s">
        <v>3894</v>
      </c>
      <c r="AJ906" t="s">
        <v>3895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3896</v>
      </c>
      <c r="AT906" t="s">
        <v>3890</v>
      </c>
      <c r="AU906" t="s">
        <v>3897</v>
      </c>
      <c r="AV906" t="s">
        <v>3898</v>
      </c>
      <c r="AW906">
        <v>2</v>
      </c>
      <c r="AX906">
        <v>0</v>
      </c>
    </row>
    <row r="907" spans="1:50" x14ac:dyDescent="0.25">
      <c r="A907" t="s">
        <v>4922</v>
      </c>
      <c r="B907" t="s">
        <v>3963</v>
      </c>
      <c r="C907" t="s">
        <v>3890</v>
      </c>
      <c r="D907">
        <v>29.234999999999999</v>
      </c>
      <c r="E907">
        <v>29.181999999999999</v>
      </c>
      <c r="F907" s="2">
        <v>2.5999999999999999E-3</v>
      </c>
      <c r="G907" t="s">
        <v>2989</v>
      </c>
      <c r="H907" t="s">
        <v>2992</v>
      </c>
      <c r="I907">
        <v>440387.45010000002</v>
      </c>
      <c r="J907">
        <v>1827749.7609000001</v>
      </c>
      <c r="K907">
        <v>440387.45010000002</v>
      </c>
      <c r="L907">
        <v>1827729.7609000001</v>
      </c>
      <c r="M907" t="s">
        <v>56</v>
      </c>
      <c r="N907" t="s">
        <v>57</v>
      </c>
      <c r="O907">
        <v>600</v>
      </c>
      <c r="P907" t="s">
        <v>3891</v>
      </c>
      <c r="Q907" t="s">
        <v>3892</v>
      </c>
      <c r="R907" t="s">
        <v>117</v>
      </c>
      <c r="S907" t="s">
        <v>428</v>
      </c>
      <c r="T907" t="s">
        <v>424</v>
      </c>
      <c r="U907">
        <v>-3.8600000000000002E-2</v>
      </c>
      <c r="V907">
        <v>-3.8600000000000002E-2</v>
      </c>
      <c r="W907" t="s">
        <v>52</v>
      </c>
      <c r="X907">
        <v>0.88019999999999998</v>
      </c>
      <c r="Y907">
        <v>1.0424</v>
      </c>
      <c r="Z907">
        <v>1.0424</v>
      </c>
      <c r="AA907">
        <v>0.88019999999999998</v>
      </c>
      <c r="AB907">
        <v>20</v>
      </c>
      <c r="AC907">
        <v>20.0001</v>
      </c>
      <c r="AD907">
        <v>18.802299999999999</v>
      </c>
      <c r="AE907">
        <v>18.802299999999999</v>
      </c>
      <c r="AF907" t="s">
        <v>2233</v>
      </c>
      <c r="AG907" t="s">
        <v>2233</v>
      </c>
      <c r="AH907" t="s">
        <v>3894</v>
      </c>
      <c r="AI907" t="s">
        <v>3894</v>
      </c>
      <c r="AJ907" t="s">
        <v>3895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3896</v>
      </c>
      <c r="AT907" t="s">
        <v>3890</v>
      </c>
      <c r="AU907" t="s">
        <v>3964</v>
      </c>
      <c r="AV907" t="s">
        <v>3898</v>
      </c>
      <c r="AW907">
        <v>2</v>
      </c>
      <c r="AX907">
        <v>0</v>
      </c>
    </row>
    <row r="908" spans="1:50" x14ac:dyDescent="0.25">
      <c r="A908" t="s">
        <v>4923</v>
      </c>
      <c r="B908" t="s">
        <v>3889</v>
      </c>
      <c r="C908" t="s">
        <v>3890</v>
      </c>
      <c r="D908">
        <v>28.678000000000001</v>
      </c>
      <c r="E908">
        <v>28.634</v>
      </c>
      <c r="F908" s="2">
        <v>2.2000000000000001E-3</v>
      </c>
      <c r="G908" t="s">
        <v>2647</v>
      </c>
      <c r="H908" t="s">
        <v>2645</v>
      </c>
      <c r="I908">
        <v>440595.27510000003</v>
      </c>
      <c r="J908">
        <v>1827862.6984000001</v>
      </c>
      <c r="K908">
        <v>440595.27510000003</v>
      </c>
      <c r="L908">
        <v>1827842.6984000001</v>
      </c>
      <c r="M908" t="s">
        <v>56</v>
      </c>
      <c r="N908" t="s">
        <v>57</v>
      </c>
      <c r="O908">
        <v>450</v>
      </c>
      <c r="P908" t="s">
        <v>3891</v>
      </c>
      <c r="Q908" t="s">
        <v>3892</v>
      </c>
      <c r="R908" t="s">
        <v>251</v>
      </c>
      <c r="S908" t="s">
        <v>420</v>
      </c>
      <c r="T908" t="s">
        <v>416</v>
      </c>
      <c r="U908">
        <v>-0.27500000000000002</v>
      </c>
      <c r="V908">
        <v>-0.27500000000000002</v>
      </c>
      <c r="W908" t="s">
        <v>52</v>
      </c>
      <c r="X908">
        <v>0.87260000000000004</v>
      </c>
      <c r="Y908">
        <v>0.88229999999999997</v>
      </c>
      <c r="Z908">
        <v>0.88229999999999997</v>
      </c>
      <c r="AA908">
        <v>0.88180000000000003</v>
      </c>
      <c r="AB908">
        <v>20</v>
      </c>
      <c r="AC908">
        <v>20</v>
      </c>
      <c r="AD908">
        <v>18.801500000000001</v>
      </c>
      <c r="AE908">
        <v>18.801600000000001</v>
      </c>
      <c r="AF908" t="s">
        <v>2233</v>
      </c>
      <c r="AG908" t="s">
        <v>2233</v>
      </c>
      <c r="AH908" t="s">
        <v>3894</v>
      </c>
      <c r="AI908" t="s">
        <v>3894</v>
      </c>
      <c r="AJ908" t="s">
        <v>3895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3896</v>
      </c>
      <c r="AT908" t="s">
        <v>3890</v>
      </c>
      <c r="AU908" t="s">
        <v>3897</v>
      </c>
      <c r="AV908" t="s">
        <v>3898</v>
      </c>
      <c r="AW908">
        <v>2</v>
      </c>
      <c r="AX908">
        <v>0</v>
      </c>
    </row>
    <row r="909" spans="1:50" x14ac:dyDescent="0.25">
      <c r="A909" t="s">
        <v>4924</v>
      </c>
      <c r="B909" t="s">
        <v>4355</v>
      </c>
      <c r="C909" t="s">
        <v>3890</v>
      </c>
      <c r="D909">
        <v>28.056000000000001</v>
      </c>
      <c r="E909">
        <v>28.036000000000001</v>
      </c>
      <c r="F909" s="2">
        <v>1E-3</v>
      </c>
      <c r="G909" t="s">
        <v>1178</v>
      </c>
      <c r="H909" t="s">
        <v>1182</v>
      </c>
      <c r="I909">
        <v>440217.49979999999</v>
      </c>
      <c r="J909">
        <v>1827661.8171000001</v>
      </c>
      <c r="K909">
        <v>440217.49979999999</v>
      </c>
      <c r="L909">
        <v>1827641.8171000001</v>
      </c>
      <c r="M909" t="s">
        <v>56</v>
      </c>
      <c r="N909" t="s">
        <v>57</v>
      </c>
      <c r="O909">
        <v>900</v>
      </c>
      <c r="P909" t="s">
        <v>3918</v>
      </c>
      <c r="Q909" t="s">
        <v>3930</v>
      </c>
      <c r="R909" t="s">
        <v>151</v>
      </c>
      <c r="S909" t="s">
        <v>1180</v>
      </c>
      <c r="T909" t="s">
        <v>1184</v>
      </c>
      <c r="U909">
        <v>4.5400000000000003E-2</v>
      </c>
      <c r="V909">
        <v>3.4500000000000003E-2</v>
      </c>
      <c r="W909" t="s">
        <v>52</v>
      </c>
      <c r="X909">
        <v>2.3435000000000001</v>
      </c>
      <c r="Y909">
        <v>2.4201000000000001</v>
      </c>
      <c r="Z909">
        <v>2.4201000000000001</v>
      </c>
      <c r="AA909">
        <v>2.3435000000000001</v>
      </c>
      <c r="AB909">
        <v>20</v>
      </c>
      <c r="AC909">
        <v>20</v>
      </c>
      <c r="AD909">
        <v>18.801200000000001</v>
      </c>
      <c r="AE909">
        <v>18.801300000000001</v>
      </c>
      <c r="AF909" t="s">
        <v>2233</v>
      </c>
      <c r="AG909" t="s">
        <v>2233</v>
      </c>
      <c r="AH909" t="s">
        <v>3894</v>
      </c>
      <c r="AI909" t="s">
        <v>3894</v>
      </c>
      <c r="AJ909" t="s">
        <v>3895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3896</v>
      </c>
      <c r="AT909" t="s">
        <v>3890</v>
      </c>
      <c r="AU909" t="s">
        <v>4357</v>
      </c>
      <c r="AV909" t="s">
        <v>3898</v>
      </c>
      <c r="AW909">
        <v>2</v>
      </c>
      <c r="AX909">
        <v>0</v>
      </c>
    </row>
    <row r="910" spans="1:50" x14ac:dyDescent="0.25">
      <c r="A910" t="s">
        <v>4925</v>
      </c>
      <c r="B910" t="s">
        <v>4010</v>
      </c>
      <c r="C910" t="s">
        <v>3890</v>
      </c>
      <c r="D910">
        <v>32.695999999999998</v>
      </c>
      <c r="E910">
        <v>32.676000000000002</v>
      </c>
      <c r="F910" s="2">
        <v>1E-3</v>
      </c>
      <c r="G910" t="s">
        <v>1442</v>
      </c>
      <c r="H910" t="s">
        <v>1446</v>
      </c>
      <c r="I910">
        <v>439962.02480000001</v>
      </c>
      <c r="J910">
        <v>1827945.8171000001</v>
      </c>
      <c r="K910">
        <v>439962.02480000001</v>
      </c>
      <c r="L910">
        <v>1827925.8171000001</v>
      </c>
      <c r="M910" t="s">
        <v>56</v>
      </c>
      <c r="N910" t="s">
        <v>57</v>
      </c>
      <c r="O910">
        <v>900</v>
      </c>
      <c r="P910" t="s">
        <v>109</v>
      </c>
      <c r="Q910" t="s">
        <v>3919</v>
      </c>
      <c r="R910" t="s">
        <v>1404</v>
      </c>
      <c r="S910" t="s">
        <v>1444</v>
      </c>
      <c r="T910" t="s">
        <v>1057</v>
      </c>
      <c r="U910">
        <v>0.1701</v>
      </c>
      <c r="V910">
        <v>0.1615</v>
      </c>
      <c r="W910" t="s">
        <v>52</v>
      </c>
      <c r="X910">
        <v>0.97989999999999999</v>
      </c>
      <c r="Y910">
        <v>1.0556000000000001</v>
      </c>
      <c r="Z910">
        <v>1.0556000000000001</v>
      </c>
      <c r="AA910">
        <v>0.97989999999999999</v>
      </c>
      <c r="AB910">
        <v>20</v>
      </c>
      <c r="AC910">
        <v>20</v>
      </c>
      <c r="AD910">
        <v>18.801200000000001</v>
      </c>
      <c r="AE910">
        <v>18.801200000000001</v>
      </c>
      <c r="AF910" t="s">
        <v>4011</v>
      </c>
      <c r="AG910" t="s">
        <v>4011</v>
      </c>
      <c r="AH910" t="s">
        <v>3894</v>
      </c>
      <c r="AI910" t="s">
        <v>3894</v>
      </c>
      <c r="AJ910" t="s">
        <v>3895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3896</v>
      </c>
      <c r="AT910" t="s">
        <v>3890</v>
      </c>
      <c r="AU910" t="s">
        <v>4012</v>
      </c>
      <c r="AV910" t="s">
        <v>3898</v>
      </c>
      <c r="AW910">
        <v>2</v>
      </c>
      <c r="AX910">
        <v>0</v>
      </c>
    </row>
    <row r="911" spans="1:50" x14ac:dyDescent="0.25">
      <c r="A911" t="s">
        <v>4926</v>
      </c>
      <c r="B911" t="s">
        <v>3963</v>
      </c>
      <c r="C911" t="s">
        <v>3890</v>
      </c>
      <c r="D911">
        <v>33.195999999999998</v>
      </c>
      <c r="E911">
        <v>33.176000000000002</v>
      </c>
      <c r="F911" s="2">
        <v>1E-3</v>
      </c>
      <c r="G911" t="s">
        <v>1412</v>
      </c>
      <c r="H911" t="s">
        <v>1415</v>
      </c>
      <c r="I911">
        <v>439962.1998</v>
      </c>
      <c r="J911">
        <v>1828145.8171000001</v>
      </c>
      <c r="K911">
        <v>439962.1998</v>
      </c>
      <c r="L911">
        <v>1828125.8171000001</v>
      </c>
      <c r="M911" t="s">
        <v>56</v>
      </c>
      <c r="N911" t="s">
        <v>57</v>
      </c>
      <c r="O911">
        <v>600</v>
      </c>
      <c r="P911" t="s">
        <v>3891</v>
      </c>
      <c r="Q911" t="s">
        <v>3892</v>
      </c>
      <c r="R911" t="s">
        <v>1404</v>
      </c>
      <c r="S911" t="s">
        <v>444</v>
      </c>
      <c r="T911" t="s">
        <v>440</v>
      </c>
      <c r="U911">
        <v>8.1000000000000003E-2</v>
      </c>
      <c r="V911">
        <v>7.2400000000000006E-2</v>
      </c>
      <c r="W911" t="s">
        <v>52</v>
      </c>
      <c r="X911">
        <v>1.2105999999999999</v>
      </c>
      <c r="Y911">
        <v>1.3194999999999999</v>
      </c>
      <c r="Z911">
        <v>1.2105999999999999</v>
      </c>
      <c r="AA911">
        <v>1.3194999999999999</v>
      </c>
      <c r="AB911">
        <v>20</v>
      </c>
      <c r="AC911">
        <v>20</v>
      </c>
      <c r="AD911">
        <v>18.800799999999999</v>
      </c>
      <c r="AE911">
        <v>18.800899999999999</v>
      </c>
      <c r="AF911" t="s">
        <v>4011</v>
      </c>
      <c r="AG911" t="s">
        <v>4011</v>
      </c>
      <c r="AH911" t="s">
        <v>3894</v>
      </c>
      <c r="AI911" t="s">
        <v>3894</v>
      </c>
      <c r="AJ911" t="s">
        <v>3895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3896</v>
      </c>
      <c r="AT911" t="s">
        <v>3890</v>
      </c>
      <c r="AU911" t="s">
        <v>3964</v>
      </c>
      <c r="AV911" t="s">
        <v>3898</v>
      </c>
      <c r="AW911">
        <v>2</v>
      </c>
      <c r="AX911">
        <v>0</v>
      </c>
    </row>
    <row r="912" spans="1:50" x14ac:dyDescent="0.25">
      <c r="A912" t="s">
        <v>4927</v>
      </c>
      <c r="B912" t="s">
        <v>4010</v>
      </c>
      <c r="C912" t="s">
        <v>3890</v>
      </c>
      <c r="D912">
        <v>32.697000000000003</v>
      </c>
      <c r="E912">
        <v>32.677</v>
      </c>
      <c r="F912" s="2">
        <v>1E-3</v>
      </c>
      <c r="G912" t="s">
        <v>1546</v>
      </c>
      <c r="H912" t="s">
        <v>1549</v>
      </c>
      <c r="I912">
        <v>439951.42479999998</v>
      </c>
      <c r="J912">
        <v>1827945.8171000001</v>
      </c>
      <c r="K912">
        <v>439951.42479999998</v>
      </c>
      <c r="L912">
        <v>1827925.8171000001</v>
      </c>
      <c r="M912" t="s">
        <v>56</v>
      </c>
      <c r="N912" t="s">
        <v>57</v>
      </c>
      <c r="O912">
        <v>900</v>
      </c>
      <c r="P912" t="s">
        <v>109</v>
      </c>
      <c r="Q912" t="s">
        <v>3919</v>
      </c>
      <c r="R912" t="s">
        <v>1510</v>
      </c>
      <c r="S912" t="s">
        <v>1444</v>
      </c>
      <c r="T912" t="s">
        <v>1057</v>
      </c>
      <c r="U912">
        <v>-2.5000000000000001E-2</v>
      </c>
      <c r="V912">
        <v>-2.5000000000000001E-2</v>
      </c>
      <c r="W912" t="s">
        <v>52</v>
      </c>
      <c r="X912">
        <v>0.97889999999999999</v>
      </c>
      <c r="Y912">
        <v>1.0546</v>
      </c>
      <c r="Z912">
        <v>1.0546</v>
      </c>
      <c r="AA912">
        <v>0.97889999999999999</v>
      </c>
      <c r="AB912">
        <v>20</v>
      </c>
      <c r="AC912">
        <v>20</v>
      </c>
      <c r="AD912">
        <v>18.801200000000001</v>
      </c>
      <c r="AE912">
        <v>18.801200000000001</v>
      </c>
      <c r="AF912" t="s">
        <v>4011</v>
      </c>
      <c r="AG912" t="s">
        <v>4011</v>
      </c>
      <c r="AH912" t="s">
        <v>3894</v>
      </c>
      <c r="AI912" t="s">
        <v>3894</v>
      </c>
      <c r="AJ912" t="s">
        <v>3895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3896</v>
      </c>
      <c r="AT912" t="s">
        <v>3890</v>
      </c>
      <c r="AU912" t="s">
        <v>4012</v>
      </c>
      <c r="AV912" t="s">
        <v>3898</v>
      </c>
      <c r="AW912">
        <v>2</v>
      </c>
      <c r="AX912">
        <v>0</v>
      </c>
    </row>
    <row r="913" spans="1:50" x14ac:dyDescent="0.25">
      <c r="A913" t="s">
        <v>4928</v>
      </c>
      <c r="B913" t="s">
        <v>3963</v>
      </c>
      <c r="C913" t="s">
        <v>3890</v>
      </c>
      <c r="D913">
        <v>33.197000000000003</v>
      </c>
      <c r="E913">
        <v>33.177</v>
      </c>
      <c r="F913" s="2">
        <v>1E-3</v>
      </c>
      <c r="G913" t="s">
        <v>1516</v>
      </c>
      <c r="H913" t="s">
        <v>1519</v>
      </c>
      <c r="I913">
        <v>439951.24979999999</v>
      </c>
      <c r="J913">
        <v>1828145.8171000001</v>
      </c>
      <c r="K913">
        <v>439951.24979999999</v>
      </c>
      <c r="L913">
        <v>1828125.8171000001</v>
      </c>
      <c r="M913" t="s">
        <v>56</v>
      </c>
      <c r="N913" t="s">
        <v>57</v>
      </c>
      <c r="O913">
        <v>600</v>
      </c>
      <c r="P913" t="s">
        <v>3891</v>
      </c>
      <c r="Q913" t="s">
        <v>3892</v>
      </c>
      <c r="R913" t="s">
        <v>1510</v>
      </c>
      <c r="S913" t="s">
        <v>444</v>
      </c>
      <c r="T913" t="s">
        <v>440</v>
      </c>
      <c r="U913">
        <v>0.15</v>
      </c>
      <c r="V913">
        <v>0.15</v>
      </c>
      <c r="W913" t="s">
        <v>52</v>
      </c>
      <c r="X913">
        <v>1.2096</v>
      </c>
      <c r="Y913">
        <v>1.3185</v>
      </c>
      <c r="Z913">
        <v>1.2096</v>
      </c>
      <c r="AA913">
        <v>1.3185</v>
      </c>
      <c r="AB913">
        <v>20.0001</v>
      </c>
      <c r="AC913">
        <v>20.0002</v>
      </c>
      <c r="AD913">
        <v>18.800899999999999</v>
      </c>
      <c r="AE913">
        <v>18.800899999999999</v>
      </c>
      <c r="AF913" t="s">
        <v>4011</v>
      </c>
      <c r="AG913" t="s">
        <v>4011</v>
      </c>
      <c r="AH913" t="s">
        <v>3894</v>
      </c>
      <c r="AI913" t="s">
        <v>3894</v>
      </c>
      <c r="AJ913" t="s">
        <v>3895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3896</v>
      </c>
      <c r="AT913" t="s">
        <v>3890</v>
      </c>
      <c r="AU913" t="s">
        <v>3964</v>
      </c>
      <c r="AV913" t="s">
        <v>3898</v>
      </c>
      <c r="AW913">
        <v>2</v>
      </c>
      <c r="AX913">
        <v>0</v>
      </c>
    </row>
    <row r="914" spans="1:50" x14ac:dyDescent="0.25">
      <c r="A914" t="s">
        <v>4929</v>
      </c>
      <c r="B914" t="s">
        <v>4010</v>
      </c>
      <c r="C914" t="s">
        <v>3890</v>
      </c>
      <c r="D914">
        <v>31.265000000000001</v>
      </c>
      <c r="E914">
        <v>31.245000000000001</v>
      </c>
      <c r="F914" s="2">
        <v>1E-3</v>
      </c>
      <c r="G914" t="s">
        <v>1852</v>
      </c>
      <c r="H914" t="s">
        <v>1855</v>
      </c>
      <c r="I914">
        <v>440121.92450000002</v>
      </c>
      <c r="J914">
        <v>1827942.8171999999</v>
      </c>
      <c r="K914">
        <v>440121.92450000002</v>
      </c>
      <c r="L914">
        <v>1827922.8171999999</v>
      </c>
      <c r="M914" t="s">
        <v>56</v>
      </c>
      <c r="N914" t="s">
        <v>57</v>
      </c>
      <c r="O914">
        <v>900</v>
      </c>
      <c r="P914" t="s">
        <v>109</v>
      </c>
      <c r="Q914" t="s">
        <v>3919</v>
      </c>
      <c r="R914" t="s">
        <v>395</v>
      </c>
      <c r="S914" t="s">
        <v>1444</v>
      </c>
      <c r="T914" t="s">
        <v>1057</v>
      </c>
      <c r="U914">
        <v>-0.1721</v>
      </c>
      <c r="V914">
        <v>-0.1721</v>
      </c>
      <c r="W914" t="s">
        <v>52</v>
      </c>
      <c r="X914">
        <v>1.1285000000000001</v>
      </c>
      <c r="Y914">
        <v>1.2107000000000001</v>
      </c>
      <c r="Z914">
        <v>1.2107000000000001</v>
      </c>
      <c r="AA914">
        <v>1.1285000000000001</v>
      </c>
      <c r="AB914">
        <v>20</v>
      </c>
      <c r="AC914">
        <v>20</v>
      </c>
      <c r="AD914">
        <v>18.801200000000001</v>
      </c>
      <c r="AE914">
        <v>18.801200000000001</v>
      </c>
      <c r="AF914" t="s">
        <v>2233</v>
      </c>
      <c r="AG914" t="s">
        <v>2233</v>
      </c>
      <c r="AH914" t="s">
        <v>3894</v>
      </c>
      <c r="AI914" t="s">
        <v>3894</v>
      </c>
      <c r="AJ914" t="s">
        <v>3895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3896</v>
      </c>
      <c r="AT914" t="s">
        <v>3890</v>
      </c>
      <c r="AU914" t="s">
        <v>4012</v>
      </c>
      <c r="AV914" t="s">
        <v>3898</v>
      </c>
      <c r="AW914">
        <v>2</v>
      </c>
      <c r="AX914">
        <v>0</v>
      </c>
    </row>
    <row r="915" spans="1:50" x14ac:dyDescent="0.25">
      <c r="A915" t="s">
        <v>4930</v>
      </c>
      <c r="B915" t="s">
        <v>3889</v>
      </c>
      <c r="C915" t="s">
        <v>3890</v>
      </c>
      <c r="D915">
        <v>31.931999999999999</v>
      </c>
      <c r="E915">
        <v>31.911999999999999</v>
      </c>
      <c r="F915" s="2">
        <v>1E-3</v>
      </c>
      <c r="G915" t="s">
        <v>1731</v>
      </c>
      <c r="H915" t="s">
        <v>1734</v>
      </c>
      <c r="I915">
        <v>440053.7745</v>
      </c>
      <c r="J915">
        <v>1827942.8171000001</v>
      </c>
      <c r="K915">
        <v>440053.7745</v>
      </c>
      <c r="L915">
        <v>1827962.8171000001</v>
      </c>
      <c r="M915" t="s">
        <v>56</v>
      </c>
      <c r="N915" t="s">
        <v>57</v>
      </c>
      <c r="O915">
        <v>450</v>
      </c>
      <c r="P915" t="s">
        <v>3891</v>
      </c>
      <c r="Q915" t="s">
        <v>3892</v>
      </c>
      <c r="R915" t="s">
        <v>502</v>
      </c>
      <c r="S915" t="s">
        <v>1444</v>
      </c>
      <c r="T915" t="s">
        <v>525</v>
      </c>
      <c r="U915">
        <v>1.15E-2</v>
      </c>
      <c r="V915">
        <v>1.15E-2</v>
      </c>
      <c r="W915" t="s">
        <v>52</v>
      </c>
      <c r="X915">
        <v>0.90810000000000002</v>
      </c>
      <c r="Y915">
        <v>1.1680999999999999</v>
      </c>
      <c r="Z915">
        <v>0.90810000000000002</v>
      </c>
      <c r="AA915">
        <v>1.1680999999999999</v>
      </c>
      <c r="AB915">
        <v>20</v>
      </c>
      <c r="AC915">
        <v>20</v>
      </c>
      <c r="AD915">
        <v>18.800699999999999</v>
      </c>
      <c r="AE915">
        <v>18.800699999999999</v>
      </c>
      <c r="AF915" t="s">
        <v>67</v>
      </c>
      <c r="AG915" t="s">
        <v>67</v>
      </c>
      <c r="AH915" t="s">
        <v>3894</v>
      </c>
      <c r="AI915" t="s">
        <v>3894</v>
      </c>
      <c r="AJ915" t="s">
        <v>3895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3896</v>
      </c>
      <c r="AT915" t="s">
        <v>3890</v>
      </c>
      <c r="AU915" t="s">
        <v>3897</v>
      </c>
      <c r="AV915" t="s">
        <v>3898</v>
      </c>
      <c r="AW915">
        <v>2</v>
      </c>
      <c r="AX915">
        <v>0</v>
      </c>
    </row>
    <row r="916" spans="1:50" x14ac:dyDescent="0.25">
      <c r="A916" t="s">
        <v>4931</v>
      </c>
      <c r="B916" t="s">
        <v>3889</v>
      </c>
      <c r="C916" t="s">
        <v>3890</v>
      </c>
      <c r="D916">
        <v>31.945</v>
      </c>
      <c r="E916">
        <v>31.925000000000001</v>
      </c>
      <c r="F916" s="2">
        <v>1E-3</v>
      </c>
      <c r="G916" t="s">
        <v>1703</v>
      </c>
      <c r="H916" t="s">
        <v>1706</v>
      </c>
      <c r="I916">
        <v>440044.07449999999</v>
      </c>
      <c r="J916">
        <v>1827942.8171000001</v>
      </c>
      <c r="K916">
        <v>440044.07449999999</v>
      </c>
      <c r="L916">
        <v>1827962.8171000001</v>
      </c>
      <c r="M916" t="s">
        <v>56</v>
      </c>
      <c r="N916" t="s">
        <v>57</v>
      </c>
      <c r="O916">
        <v>450</v>
      </c>
      <c r="P916" t="s">
        <v>3891</v>
      </c>
      <c r="Q916" t="s">
        <v>3892</v>
      </c>
      <c r="R916" t="s">
        <v>489</v>
      </c>
      <c r="S916" t="s">
        <v>1444</v>
      </c>
      <c r="T916" t="s">
        <v>525</v>
      </c>
      <c r="U916">
        <v>0.15</v>
      </c>
      <c r="V916">
        <v>0.15</v>
      </c>
      <c r="W916" t="s">
        <v>52</v>
      </c>
      <c r="X916">
        <v>0.89510000000000001</v>
      </c>
      <c r="Y916">
        <v>1.1551</v>
      </c>
      <c r="Z916">
        <v>0.89510000000000001</v>
      </c>
      <c r="AA916">
        <v>1.1551</v>
      </c>
      <c r="AB916">
        <v>20</v>
      </c>
      <c r="AC916">
        <v>20</v>
      </c>
      <c r="AD916">
        <v>18.800699999999999</v>
      </c>
      <c r="AE916">
        <v>18.800699999999999</v>
      </c>
      <c r="AF916" t="s">
        <v>67</v>
      </c>
      <c r="AG916" t="s">
        <v>67</v>
      </c>
      <c r="AH916" t="s">
        <v>3894</v>
      </c>
      <c r="AI916" t="s">
        <v>3894</v>
      </c>
      <c r="AJ916" t="s">
        <v>3895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3896</v>
      </c>
      <c r="AT916" t="s">
        <v>3890</v>
      </c>
      <c r="AU916" t="s">
        <v>3897</v>
      </c>
      <c r="AV916" t="s">
        <v>3898</v>
      </c>
      <c r="AW916">
        <v>2</v>
      </c>
      <c r="AX916">
        <v>0</v>
      </c>
    </row>
    <row r="917" spans="1:50" x14ac:dyDescent="0.25">
      <c r="A917" t="s">
        <v>4932</v>
      </c>
      <c r="B917" t="s">
        <v>3933</v>
      </c>
      <c r="C917" t="s">
        <v>3890</v>
      </c>
      <c r="D917">
        <v>31.577999999999999</v>
      </c>
      <c r="E917">
        <v>31.564</v>
      </c>
      <c r="F917" s="2">
        <v>1E-3</v>
      </c>
      <c r="G917" t="s">
        <v>1765</v>
      </c>
      <c r="H917" t="s">
        <v>1828</v>
      </c>
      <c r="I917">
        <v>440108.22489999997</v>
      </c>
      <c r="J917">
        <v>1828091.8088</v>
      </c>
      <c r="K917">
        <v>440121.8995</v>
      </c>
      <c r="L917">
        <v>1828091.9088000001</v>
      </c>
      <c r="M917" t="s">
        <v>56</v>
      </c>
      <c r="N917" t="s">
        <v>57</v>
      </c>
      <c r="O917">
        <v>750</v>
      </c>
      <c r="P917" t="s">
        <v>58</v>
      </c>
      <c r="Q917" t="s">
        <v>3919</v>
      </c>
      <c r="R917" t="s">
        <v>1234</v>
      </c>
      <c r="S917" t="s">
        <v>597</v>
      </c>
      <c r="T917" t="s">
        <v>1826</v>
      </c>
      <c r="U917">
        <v>0.17499999999999999</v>
      </c>
      <c r="V917">
        <v>0.27500000000000002</v>
      </c>
      <c r="W917" t="s">
        <v>52</v>
      </c>
      <c r="X917">
        <v>1.7515000000000001</v>
      </c>
      <c r="Y917">
        <v>2.1120000000000001</v>
      </c>
      <c r="Z917">
        <v>2.1120000000000001</v>
      </c>
      <c r="AA917">
        <v>1.7732000000000001</v>
      </c>
      <c r="AB917">
        <v>13.6747</v>
      </c>
      <c r="AC917">
        <v>13.6747</v>
      </c>
      <c r="AD917">
        <v>12.701000000000001</v>
      </c>
      <c r="AE917">
        <v>12.701000000000001</v>
      </c>
      <c r="AF917" t="s">
        <v>4933</v>
      </c>
      <c r="AG917" t="s">
        <v>4933</v>
      </c>
      <c r="AH917" t="s">
        <v>3894</v>
      </c>
      <c r="AI917" t="s">
        <v>3894</v>
      </c>
      <c r="AJ917" t="s">
        <v>3895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3896</v>
      </c>
      <c r="AT917" t="s">
        <v>3890</v>
      </c>
      <c r="AU917" t="s">
        <v>3935</v>
      </c>
      <c r="AV917" t="s">
        <v>3898</v>
      </c>
      <c r="AW917">
        <v>2</v>
      </c>
      <c r="AX917">
        <v>0</v>
      </c>
    </row>
    <row r="918" spans="1:50" x14ac:dyDescent="0.25">
      <c r="A918" t="s">
        <v>4934</v>
      </c>
      <c r="B918" t="s">
        <v>3889</v>
      </c>
      <c r="C918" t="s">
        <v>3890</v>
      </c>
      <c r="D918">
        <v>30.047000000000001</v>
      </c>
      <c r="E918">
        <v>30.029</v>
      </c>
      <c r="F918" s="2">
        <v>1E-3</v>
      </c>
      <c r="G918" t="s">
        <v>2249</v>
      </c>
      <c r="H918" t="s">
        <v>2253</v>
      </c>
      <c r="I918">
        <v>440398.47509999998</v>
      </c>
      <c r="J918">
        <v>1827935.2109000001</v>
      </c>
      <c r="K918">
        <v>440416.3077</v>
      </c>
      <c r="L918">
        <v>1827935.2109000001</v>
      </c>
      <c r="M918" t="s">
        <v>56</v>
      </c>
      <c r="N918" t="s">
        <v>57</v>
      </c>
      <c r="O918">
        <v>450</v>
      </c>
      <c r="P918" t="s">
        <v>3891</v>
      </c>
      <c r="Q918" t="s">
        <v>3892</v>
      </c>
      <c r="R918" t="s">
        <v>241</v>
      </c>
      <c r="S918" t="s">
        <v>2251</v>
      </c>
      <c r="T918" t="s">
        <v>2255</v>
      </c>
      <c r="U918">
        <v>0.25</v>
      </c>
      <c r="V918">
        <v>0.25</v>
      </c>
      <c r="W918" t="s">
        <v>52</v>
      </c>
      <c r="X918">
        <v>0.84119999999999995</v>
      </c>
      <c r="Y918">
        <v>1.0021</v>
      </c>
      <c r="Z918">
        <v>0.85389999999999999</v>
      </c>
      <c r="AA918">
        <v>0.92169999999999996</v>
      </c>
      <c r="AB918">
        <v>17.832599999999999</v>
      </c>
      <c r="AC918">
        <v>17.832599999999999</v>
      </c>
      <c r="AD918">
        <v>16.633299999999998</v>
      </c>
      <c r="AE918">
        <v>16.633299999999998</v>
      </c>
      <c r="AF918" t="s">
        <v>4935</v>
      </c>
      <c r="AG918" t="s">
        <v>4935</v>
      </c>
      <c r="AH918" t="s">
        <v>3894</v>
      </c>
      <c r="AI918" t="s">
        <v>3894</v>
      </c>
      <c r="AJ918" t="s">
        <v>3895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3896</v>
      </c>
      <c r="AT918" t="s">
        <v>3890</v>
      </c>
      <c r="AU918" t="s">
        <v>3897</v>
      </c>
      <c r="AV918" t="s">
        <v>3898</v>
      </c>
      <c r="AW918">
        <v>2</v>
      </c>
      <c r="AX918">
        <v>0</v>
      </c>
    </row>
    <row r="919" spans="1:50" x14ac:dyDescent="0.25">
      <c r="A919" t="s">
        <v>4936</v>
      </c>
      <c r="B919" t="s">
        <v>3889</v>
      </c>
      <c r="C919" t="s">
        <v>3890</v>
      </c>
      <c r="D919">
        <v>31.870999999999999</v>
      </c>
      <c r="E919">
        <v>31.858000000000001</v>
      </c>
      <c r="F919" s="2">
        <v>8.9999999999999998E-4</v>
      </c>
      <c r="G919" t="s">
        <v>1907</v>
      </c>
      <c r="H919" t="s">
        <v>225</v>
      </c>
      <c r="I919">
        <v>440054.70250000001</v>
      </c>
      <c r="J919">
        <v>1827853.3740999999</v>
      </c>
      <c r="K919">
        <v>440068.44990000001</v>
      </c>
      <c r="L919">
        <v>1827853.3740999999</v>
      </c>
      <c r="M919" t="s">
        <v>56</v>
      </c>
      <c r="N919" t="s">
        <v>57</v>
      </c>
      <c r="O919">
        <v>450</v>
      </c>
      <c r="P919" t="s">
        <v>3891</v>
      </c>
      <c r="Q919" t="s">
        <v>3892</v>
      </c>
      <c r="R919" t="s">
        <v>227</v>
      </c>
      <c r="S919" t="s">
        <v>1909</v>
      </c>
      <c r="T919" t="s">
        <v>228</v>
      </c>
      <c r="U919">
        <v>0</v>
      </c>
      <c r="V919">
        <v>0</v>
      </c>
      <c r="W919" t="s">
        <v>52</v>
      </c>
      <c r="X919">
        <v>0.93579999999999997</v>
      </c>
      <c r="Y919">
        <v>0.97250000000000003</v>
      </c>
      <c r="Z919">
        <v>0.93720000000000003</v>
      </c>
      <c r="AA919">
        <v>0.93579999999999997</v>
      </c>
      <c r="AB919">
        <v>13.747400000000001</v>
      </c>
      <c r="AC919">
        <v>13.747400000000001</v>
      </c>
      <c r="AD919">
        <v>12.5481</v>
      </c>
      <c r="AE919">
        <v>12.5481</v>
      </c>
      <c r="AF919" t="s">
        <v>183</v>
      </c>
      <c r="AG919" t="s">
        <v>183</v>
      </c>
      <c r="AH919" t="s">
        <v>3894</v>
      </c>
      <c r="AI919" t="s">
        <v>3894</v>
      </c>
      <c r="AJ919" t="s">
        <v>3895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3896</v>
      </c>
      <c r="AT919" t="s">
        <v>3890</v>
      </c>
      <c r="AU919" t="s">
        <v>3897</v>
      </c>
      <c r="AV919" t="s">
        <v>3898</v>
      </c>
      <c r="AW919">
        <v>2</v>
      </c>
      <c r="AX919">
        <v>0</v>
      </c>
    </row>
    <row r="920" spans="1:50" x14ac:dyDescent="0.25">
      <c r="A920" t="s">
        <v>4937</v>
      </c>
      <c r="B920" t="s">
        <v>4355</v>
      </c>
      <c r="C920" t="s">
        <v>3890</v>
      </c>
      <c r="D920">
        <v>27.68</v>
      </c>
      <c r="E920">
        <v>27.664999999999999</v>
      </c>
      <c r="F920" s="2">
        <v>1E-3</v>
      </c>
      <c r="G920" t="s">
        <v>3215</v>
      </c>
      <c r="H920" t="s">
        <v>2070</v>
      </c>
      <c r="I920">
        <v>440595.27510000003</v>
      </c>
      <c r="J920">
        <v>1827375.1736000001</v>
      </c>
      <c r="K920">
        <v>440610.42830000003</v>
      </c>
      <c r="L920">
        <v>1827375.1736000001</v>
      </c>
      <c r="M920" t="s">
        <v>56</v>
      </c>
      <c r="N920" t="s">
        <v>57</v>
      </c>
      <c r="O920">
        <v>900</v>
      </c>
      <c r="P920" t="s">
        <v>3918</v>
      </c>
      <c r="Q920" t="s">
        <v>3930</v>
      </c>
      <c r="R920" t="s">
        <v>3089</v>
      </c>
      <c r="S920" s="1" t="s">
        <v>4071</v>
      </c>
      <c r="T920" s="1" t="s">
        <v>4938</v>
      </c>
      <c r="U920">
        <v>0</v>
      </c>
      <c r="V920">
        <v>0</v>
      </c>
      <c r="W920" t="s">
        <v>52</v>
      </c>
      <c r="X920">
        <v>1.4674</v>
      </c>
      <c r="Y920">
        <v>1.5293000000000001</v>
      </c>
      <c r="Z920">
        <v>1.4674</v>
      </c>
      <c r="AA920">
        <v>1.5011000000000001</v>
      </c>
      <c r="AB920">
        <v>15.3347</v>
      </c>
      <c r="AC920">
        <v>15.3347</v>
      </c>
      <c r="AD920">
        <v>14.7348</v>
      </c>
      <c r="AE920">
        <v>14.7348</v>
      </c>
      <c r="AF920" t="s">
        <v>183</v>
      </c>
      <c r="AG920" t="s">
        <v>183</v>
      </c>
      <c r="AH920" t="s">
        <v>3894</v>
      </c>
      <c r="AI920" t="s">
        <v>3894</v>
      </c>
      <c r="AJ920" t="s">
        <v>3895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3896</v>
      </c>
      <c r="AT920" t="s">
        <v>3890</v>
      </c>
      <c r="AU920" t="s">
        <v>4357</v>
      </c>
      <c r="AV920" t="s">
        <v>3898</v>
      </c>
      <c r="AW920">
        <v>3</v>
      </c>
      <c r="AX920">
        <v>0</v>
      </c>
    </row>
    <row r="921" spans="1:50" x14ac:dyDescent="0.25">
      <c r="A921" t="s">
        <v>4939</v>
      </c>
      <c r="B921" t="s">
        <v>3889</v>
      </c>
      <c r="C921" t="s">
        <v>3890</v>
      </c>
      <c r="D921">
        <v>29.335000000000001</v>
      </c>
      <c r="E921">
        <v>29.315000000000001</v>
      </c>
      <c r="F921" s="2">
        <v>1E-3</v>
      </c>
      <c r="G921" t="s">
        <v>3825</v>
      </c>
      <c r="H921" t="s">
        <v>3829</v>
      </c>
      <c r="I921">
        <v>440398.47509999998</v>
      </c>
      <c r="J921">
        <v>1827829.6232</v>
      </c>
      <c r="K921">
        <v>440398.47509999998</v>
      </c>
      <c r="L921">
        <v>1827809.7609000001</v>
      </c>
      <c r="M921" t="s">
        <v>56</v>
      </c>
      <c r="N921" t="s">
        <v>57</v>
      </c>
      <c r="O921">
        <v>450</v>
      </c>
      <c r="P921" t="s">
        <v>3891</v>
      </c>
      <c r="Q921" t="s">
        <v>3892</v>
      </c>
      <c r="R921" t="s">
        <v>107</v>
      </c>
      <c r="S921" t="s">
        <v>3827</v>
      </c>
      <c r="T921" t="s">
        <v>440</v>
      </c>
      <c r="U921">
        <v>-2.0000000000000001E-4</v>
      </c>
      <c r="V921">
        <v>-2.0000000000000001E-4</v>
      </c>
      <c r="W921" t="s">
        <v>52</v>
      </c>
      <c r="X921">
        <v>1.4754</v>
      </c>
      <c r="Y921">
        <v>1.5288999999999999</v>
      </c>
      <c r="Z921">
        <v>1.4754</v>
      </c>
      <c r="AA921">
        <v>1.5262</v>
      </c>
      <c r="AB921">
        <v>19.862300000000001</v>
      </c>
      <c r="AC921">
        <v>19.862300000000001</v>
      </c>
      <c r="AD921">
        <v>18.663</v>
      </c>
      <c r="AE921">
        <v>18.663</v>
      </c>
      <c r="AF921" t="s">
        <v>2233</v>
      </c>
      <c r="AG921" t="s">
        <v>2233</v>
      </c>
      <c r="AH921" t="s">
        <v>3894</v>
      </c>
      <c r="AI921" t="s">
        <v>3894</v>
      </c>
      <c r="AJ921" t="s">
        <v>3895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3896</v>
      </c>
      <c r="AT921" t="s">
        <v>3890</v>
      </c>
      <c r="AU921" t="s">
        <v>3897</v>
      </c>
      <c r="AV921" t="s">
        <v>3898</v>
      </c>
      <c r="AW921">
        <v>2</v>
      </c>
      <c r="AX921">
        <v>0</v>
      </c>
    </row>
    <row r="922" spans="1:50" x14ac:dyDescent="0.25">
      <c r="A922" t="s">
        <v>4940</v>
      </c>
      <c r="B922" t="s">
        <v>3933</v>
      </c>
      <c r="C922" t="s">
        <v>3890</v>
      </c>
      <c r="D922">
        <v>29.259</v>
      </c>
      <c r="E922">
        <v>29.24</v>
      </c>
      <c r="F922" s="2">
        <v>1E-3</v>
      </c>
      <c r="G922" t="s">
        <v>1099</v>
      </c>
      <c r="H922" t="s">
        <v>1103</v>
      </c>
      <c r="I922">
        <v>440248.67489999998</v>
      </c>
      <c r="J922">
        <v>1827703.6144999999</v>
      </c>
      <c r="K922">
        <v>440230.4252</v>
      </c>
      <c r="L922">
        <v>1827703.6144999999</v>
      </c>
      <c r="M922" t="s">
        <v>56</v>
      </c>
      <c r="N922" t="s">
        <v>57</v>
      </c>
      <c r="O922">
        <v>750</v>
      </c>
      <c r="P922" t="s">
        <v>58</v>
      </c>
      <c r="Q922" t="s">
        <v>3919</v>
      </c>
      <c r="R922" t="s">
        <v>1056</v>
      </c>
      <c r="S922" t="s">
        <v>1101</v>
      </c>
      <c r="T922" t="s">
        <v>853</v>
      </c>
      <c r="U922">
        <v>-0.1</v>
      </c>
      <c r="V922">
        <v>-0.1</v>
      </c>
      <c r="W922" t="s">
        <v>52</v>
      </c>
      <c r="X922">
        <v>1.3069999999999999</v>
      </c>
      <c r="Y922">
        <v>1.6546000000000001</v>
      </c>
      <c r="Z922">
        <v>1.3169999999999999</v>
      </c>
      <c r="AA922">
        <v>1.6546000000000001</v>
      </c>
      <c r="AB922">
        <v>18.249700000000001</v>
      </c>
      <c r="AC922">
        <v>18.249700000000001</v>
      </c>
      <c r="AD922">
        <v>17.050799999999999</v>
      </c>
      <c r="AE922">
        <v>17.050799999999999</v>
      </c>
      <c r="AF922" t="s">
        <v>4630</v>
      </c>
      <c r="AG922" t="s">
        <v>4630</v>
      </c>
      <c r="AH922" t="s">
        <v>3894</v>
      </c>
      <c r="AI922" t="s">
        <v>3894</v>
      </c>
      <c r="AJ922" t="s">
        <v>3895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3896</v>
      </c>
      <c r="AT922" t="s">
        <v>3890</v>
      </c>
      <c r="AU922" t="s">
        <v>3935</v>
      </c>
      <c r="AV922" t="s">
        <v>3898</v>
      </c>
      <c r="AW922">
        <v>2</v>
      </c>
      <c r="AX922">
        <v>0</v>
      </c>
    </row>
    <row r="923" spans="1:50" x14ac:dyDescent="0.25">
      <c r="A923" t="s">
        <v>4941</v>
      </c>
      <c r="B923" t="s">
        <v>4355</v>
      </c>
      <c r="C923" t="s">
        <v>3890</v>
      </c>
      <c r="D923">
        <v>29.446999999999999</v>
      </c>
      <c r="E923">
        <v>29.437000000000001</v>
      </c>
      <c r="F923" s="2">
        <v>1.1000000000000001E-3</v>
      </c>
      <c r="G923" t="s">
        <v>144</v>
      </c>
      <c r="H923" t="s">
        <v>2075</v>
      </c>
      <c r="I923">
        <v>440198.9498</v>
      </c>
      <c r="J923">
        <v>1827588.4203999999</v>
      </c>
      <c r="K923">
        <v>440198.94750000001</v>
      </c>
      <c r="L923">
        <v>1827579.1458000001</v>
      </c>
      <c r="M923" t="s">
        <v>56</v>
      </c>
      <c r="N923" t="s">
        <v>57</v>
      </c>
      <c r="O923">
        <v>900</v>
      </c>
      <c r="P923" t="s">
        <v>3918</v>
      </c>
      <c r="Q923" t="s">
        <v>3930</v>
      </c>
      <c r="R923" t="s">
        <v>146</v>
      </c>
      <c r="S923" t="s">
        <v>147</v>
      </c>
      <c r="T923" t="s">
        <v>4942</v>
      </c>
      <c r="U923">
        <v>-0.05</v>
      </c>
      <c r="V923">
        <v>-4.7699999999999999E-2</v>
      </c>
      <c r="W923" t="s">
        <v>52</v>
      </c>
      <c r="X923">
        <v>0.90190000000000003</v>
      </c>
      <c r="Y923">
        <v>0.93140000000000001</v>
      </c>
      <c r="Z923">
        <v>0.90190000000000003</v>
      </c>
      <c r="AA923">
        <v>0.93140000000000001</v>
      </c>
      <c r="AB923">
        <v>9.2393000000000001</v>
      </c>
      <c r="AC923">
        <v>9.2393000000000001</v>
      </c>
      <c r="AD923">
        <v>7.9919000000000002</v>
      </c>
      <c r="AE923">
        <v>7.9919000000000002</v>
      </c>
      <c r="AF923" t="s">
        <v>4943</v>
      </c>
      <c r="AG923" t="s">
        <v>4943</v>
      </c>
      <c r="AH923" t="s">
        <v>3894</v>
      </c>
      <c r="AI923" t="s">
        <v>3894</v>
      </c>
      <c r="AJ923" t="s">
        <v>3895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3896</v>
      </c>
      <c r="AT923" t="s">
        <v>3890</v>
      </c>
      <c r="AU923" t="s">
        <v>4357</v>
      </c>
      <c r="AV923" t="s">
        <v>3898</v>
      </c>
      <c r="AW923">
        <v>2</v>
      </c>
      <c r="AX923">
        <v>0</v>
      </c>
    </row>
    <row r="924" spans="1:50" x14ac:dyDescent="0.25">
      <c r="A924" t="s">
        <v>4944</v>
      </c>
      <c r="B924" t="s">
        <v>4010</v>
      </c>
      <c r="C924" t="s">
        <v>3890</v>
      </c>
      <c r="D924">
        <v>29.411999999999999</v>
      </c>
      <c r="E924">
        <v>29.393000000000001</v>
      </c>
      <c r="F924" s="2">
        <v>1E-3</v>
      </c>
      <c r="G924" t="s">
        <v>2415</v>
      </c>
      <c r="H924" t="s">
        <v>2419</v>
      </c>
      <c r="I924">
        <v>440520.22509999998</v>
      </c>
      <c r="J924">
        <v>1827925.7609000001</v>
      </c>
      <c r="K924">
        <v>440539.21629999997</v>
      </c>
      <c r="L924">
        <v>1827925.7609000001</v>
      </c>
      <c r="M924" t="s">
        <v>56</v>
      </c>
      <c r="N924" t="s">
        <v>57</v>
      </c>
      <c r="O924">
        <v>900</v>
      </c>
      <c r="P924" t="s">
        <v>109</v>
      </c>
      <c r="Q924" t="s">
        <v>3919</v>
      </c>
      <c r="R924" t="s">
        <v>2395</v>
      </c>
      <c r="S924" t="s">
        <v>2417</v>
      </c>
      <c r="T924" t="s">
        <v>2421</v>
      </c>
      <c r="U924">
        <v>4.36E-2</v>
      </c>
      <c r="V924">
        <v>3.56E-2</v>
      </c>
      <c r="W924" t="s">
        <v>52</v>
      </c>
      <c r="X924">
        <v>0.94159999999999999</v>
      </c>
      <c r="Y924">
        <v>0.96679999999999999</v>
      </c>
      <c r="Z924">
        <v>0.96679999999999999</v>
      </c>
      <c r="AA924">
        <v>0.94159999999999999</v>
      </c>
      <c r="AB924">
        <v>18.991199999999999</v>
      </c>
      <c r="AC924">
        <v>18.991199999999999</v>
      </c>
      <c r="AD924">
        <v>17.792400000000001</v>
      </c>
      <c r="AE924">
        <v>17.792400000000001</v>
      </c>
      <c r="AF924" t="s">
        <v>183</v>
      </c>
      <c r="AG924" t="s">
        <v>183</v>
      </c>
      <c r="AH924" t="s">
        <v>3894</v>
      </c>
      <c r="AI924" t="s">
        <v>3894</v>
      </c>
      <c r="AJ924" t="s">
        <v>3895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3896</v>
      </c>
      <c r="AT924" t="s">
        <v>3890</v>
      </c>
      <c r="AU924" t="s">
        <v>4012</v>
      </c>
      <c r="AV924" t="s">
        <v>3898</v>
      </c>
      <c r="AW924">
        <v>2</v>
      </c>
      <c r="AX924">
        <v>0</v>
      </c>
    </row>
    <row r="925" spans="1:50" x14ac:dyDescent="0.25">
      <c r="A925" t="s">
        <v>4945</v>
      </c>
      <c r="B925" t="s">
        <v>4004</v>
      </c>
      <c r="C925" t="s">
        <v>3890</v>
      </c>
      <c r="D925">
        <v>28.611000000000001</v>
      </c>
      <c r="E925">
        <v>28.596</v>
      </c>
      <c r="F925" s="2">
        <v>8.9999999999999998E-4</v>
      </c>
      <c r="G925" t="s">
        <v>2714</v>
      </c>
      <c r="H925" t="s">
        <v>2718</v>
      </c>
      <c r="I925">
        <v>440454.45010000002</v>
      </c>
      <c r="J925">
        <v>1827769.0507</v>
      </c>
      <c r="K925">
        <v>440470.42509999999</v>
      </c>
      <c r="L925">
        <v>1827769.0507</v>
      </c>
      <c r="M925" t="s">
        <v>56</v>
      </c>
      <c r="N925" t="s">
        <v>57</v>
      </c>
      <c r="O925">
        <v>600</v>
      </c>
      <c r="P925" t="s">
        <v>58</v>
      </c>
      <c r="Q925" t="s">
        <v>3892</v>
      </c>
      <c r="R925" t="s">
        <v>205</v>
      </c>
      <c r="S925" t="s">
        <v>2716</v>
      </c>
      <c r="T925" t="s">
        <v>432</v>
      </c>
      <c r="U925">
        <v>0</v>
      </c>
      <c r="V925">
        <v>0</v>
      </c>
      <c r="W925" t="s">
        <v>52</v>
      </c>
      <c r="X925">
        <v>0.89759999999999995</v>
      </c>
      <c r="Y925">
        <v>1.0524</v>
      </c>
      <c r="Z925">
        <v>1.0524</v>
      </c>
      <c r="AA925">
        <v>0.89759999999999995</v>
      </c>
      <c r="AB925">
        <v>15.975</v>
      </c>
      <c r="AC925">
        <v>15.975</v>
      </c>
      <c r="AD925">
        <v>14.7758</v>
      </c>
      <c r="AE925">
        <v>14.7758</v>
      </c>
      <c r="AF925" t="s">
        <v>183</v>
      </c>
      <c r="AG925" t="s">
        <v>183</v>
      </c>
      <c r="AH925" t="s">
        <v>3894</v>
      </c>
      <c r="AI925" t="s">
        <v>3894</v>
      </c>
      <c r="AJ925" t="s">
        <v>3895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3896</v>
      </c>
      <c r="AT925" t="s">
        <v>3890</v>
      </c>
      <c r="AU925" t="s">
        <v>4006</v>
      </c>
      <c r="AV925" t="s">
        <v>3898</v>
      </c>
      <c r="AW925">
        <v>2</v>
      </c>
      <c r="AX925">
        <v>0</v>
      </c>
    </row>
    <row r="926" spans="1:50" x14ac:dyDescent="0.25">
      <c r="A926" t="s">
        <v>4946</v>
      </c>
      <c r="B926" t="s">
        <v>3933</v>
      </c>
      <c r="C926" t="s">
        <v>3890</v>
      </c>
      <c r="D926">
        <v>31.632000000000001</v>
      </c>
      <c r="E926">
        <v>31.617999999999999</v>
      </c>
      <c r="F926" s="2">
        <v>1E-3</v>
      </c>
      <c r="G926" t="s">
        <v>1755</v>
      </c>
      <c r="H926" t="s">
        <v>1759</v>
      </c>
      <c r="I926">
        <v>440053.7745</v>
      </c>
      <c r="J926">
        <v>1828091.8088</v>
      </c>
      <c r="K926">
        <v>440068.22489999997</v>
      </c>
      <c r="L926">
        <v>1828091.8088</v>
      </c>
      <c r="M926" t="s">
        <v>56</v>
      </c>
      <c r="N926" t="s">
        <v>57</v>
      </c>
      <c r="O926">
        <v>750</v>
      </c>
      <c r="P926" t="s">
        <v>58</v>
      </c>
      <c r="Q926" t="s">
        <v>3919</v>
      </c>
      <c r="R926" t="s">
        <v>1234</v>
      </c>
      <c r="S926" t="s">
        <v>4800</v>
      </c>
      <c r="T926" t="s">
        <v>428</v>
      </c>
      <c r="U926">
        <v>0.17499999999999999</v>
      </c>
      <c r="V926">
        <v>0.17499999999999999</v>
      </c>
      <c r="W926" t="s">
        <v>52</v>
      </c>
      <c r="X926">
        <v>2.2092999999999998</v>
      </c>
      <c r="Y926">
        <v>2.3855</v>
      </c>
      <c r="Z926">
        <v>2.2311999999999999</v>
      </c>
      <c r="AA926">
        <v>2.3445999999999998</v>
      </c>
      <c r="AB926">
        <v>14.710900000000001</v>
      </c>
      <c r="AC926">
        <v>14.710900000000001</v>
      </c>
      <c r="AD926">
        <v>13.511900000000001</v>
      </c>
      <c r="AE926">
        <v>13.511900000000001</v>
      </c>
      <c r="AF926" t="s">
        <v>183</v>
      </c>
      <c r="AG926" t="s">
        <v>183</v>
      </c>
      <c r="AH926" t="s">
        <v>3894</v>
      </c>
      <c r="AI926" t="s">
        <v>3894</v>
      </c>
      <c r="AJ926" t="s">
        <v>3895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3896</v>
      </c>
      <c r="AT926" t="s">
        <v>3890</v>
      </c>
      <c r="AU926" t="s">
        <v>3935</v>
      </c>
      <c r="AV926" t="s">
        <v>3898</v>
      </c>
      <c r="AW926">
        <v>2</v>
      </c>
      <c r="AX926">
        <v>0</v>
      </c>
    </row>
    <row r="927" spans="1:50" x14ac:dyDescent="0.25">
      <c r="A927" t="s">
        <v>4947</v>
      </c>
      <c r="B927" t="s">
        <v>4004</v>
      </c>
      <c r="C927" t="s">
        <v>3890</v>
      </c>
      <c r="D927">
        <v>32.762999999999998</v>
      </c>
      <c r="E927">
        <v>32.749000000000002</v>
      </c>
      <c r="F927" s="2">
        <v>1E-3</v>
      </c>
      <c r="G927" t="s">
        <v>1811</v>
      </c>
      <c r="H927" t="s">
        <v>1815</v>
      </c>
      <c r="I927">
        <v>440053.48830000003</v>
      </c>
      <c r="J927">
        <v>1828102.6588000001</v>
      </c>
      <c r="K927">
        <v>440068.22489999997</v>
      </c>
      <c r="L927">
        <v>1828102.6588000001</v>
      </c>
      <c r="M927" t="s">
        <v>56</v>
      </c>
      <c r="N927" t="s">
        <v>57</v>
      </c>
      <c r="O927">
        <v>600</v>
      </c>
      <c r="P927" t="s">
        <v>58</v>
      </c>
      <c r="Q927" t="s">
        <v>3892</v>
      </c>
      <c r="R927" t="s">
        <v>1220</v>
      </c>
      <c r="S927" t="s">
        <v>1813</v>
      </c>
      <c r="T927" t="s">
        <v>428</v>
      </c>
      <c r="U927">
        <v>-7.4999999999999997E-2</v>
      </c>
      <c r="V927">
        <v>-7.4999999999999997E-2</v>
      </c>
      <c r="W927" t="s">
        <v>52</v>
      </c>
      <c r="X927">
        <v>1.1041000000000001</v>
      </c>
      <c r="Y927">
        <v>1.2816000000000001</v>
      </c>
      <c r="Z927">
        <v>1.1288</v>
      </c>
      <c r="AA927">
        <v>1.2405999999999999</v>
      </c>
      <c r="AB927">
        <v>14.7369</v>
      </c>
      <c r="AC927">
        <v>14.7369</v>
      </c>
      <c r="AD927">
        <v>13.5374</v>
      </c>
      <c r="AE927">
        <v>13.5374</v>
      </c>
      <c r="AF927" t="s">
        <v>183</v>
      </c>
      <c r="AG927" t="s">
        <v>183</v>
      </c>
      <c r="AH927" t="s">
        <v>3894</v>
      </c>
      <c r="AI927" t="s">
        <v>3894</v>
      </c>
      <c r="AJ927" t="s">
        <v>3895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3896</v>
      </c>
      <c r="AT927" t="s">
        <v>3890</v>
      </c>
      <c r="AU927" t="s">
        <v>4006</v>
      </c>
      <c r="AV927" t="s">
        <v>3898</v>
      </c>
      <c r="AW927">
        <v>2</v>
      </c>
      <c r="AX927">
        <v>0</v>
      </c>
    </row>
    <row r="928" spans="1:50" x14ac:dyDescent="0.25">
      <c r="A928" t="s">
        <v>811</v>
      </c>
      <c r="B928" t="s">
        <v>3889</v>
      </c>
      <c r="C928" t="s">
        <v>3890</v>
      </c>
      <c r="D928">
        <v>29.081</v>
      </c>
      <c r="E928">
        <v>29.038</v>
      </c>
      <c r="F928" s="2">
        <v>3.0000000000000001E-3</v>
      </c>
      <c r="G928" t="s">
        <v>810</v>
      </c>
      <c r="H928" t="s">
        <v>3716</v>
      </c>
      <c r="I928">
        <v>440398.47509999998</v>
      </c>
      <c r="J928">
        <v>1827555.7757999999</v>
      </c>
      <c r="K928">
        <v>440398.47509999998</v>
      </c>
      <c r="L928">
        <v>1827570.1333999999</v>
      </c>
      <c r="M928" t="s">
        <v>56</v>
      </c>
      <c r="N928" t="s">
        <v>57</v>
      </c>
      <c r="O928">
        <v>450</v>
      </c>
      <c r="P928" t="s">
        <v>3891</v>
      </c>
      <c r="Q928" t="s">
        <v>3892</v>
      </c>
      <c r="R928" t="s">
        <v>107</v>
      </c>
      <c r="S928" t="s">
        <v>812</v>
      </c>
      <c r="T928" t="s">
        <v>3718</v>
      </c>
      <c r="U928">
        <v>-2.0000000000000001E-4</v>
      </c>
      <c r="V928">
        <v>-2.0000000000000001E-4</v>
      </c>
      <c r="W928" t="s">
        <v>52</v>
      </c>
      <c r="X928">
        <v>0.87390000000000001</v>
      </c>
      <c r="Y928">
        <v>0.88949999999999996</v>
      </c>
      <c r="Z928">
        <v>0.87390000000000001</v>
      </c>
      <c r="AA928">
        <v>0.88239999999999996</v>
      </c>
      <c r="AB928">
        <v>14.357699999999999</v>
      </c>
      <c r="AC928">
        <v>14.357699999999999</v>
      </c>
      <c r="AD928">
        <v>13.159700000000001</v>
      </c>
      <c r="AE928">
        <v>13.159800000000001</v>
      </c>
      <c r="AF928" t="s">
        <v>67</v>
      </c>
      <c r="AG928" t="s">
        <v>67</v>
      </c>
      <c r="AH928" t="s">
        <v>3894</v>
      </c>
      <c r="AI928" t="s">
        <v>3894</v>
      </c>
      <c r="AJ928" t="s">
        <v>3895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3896</v>
      </c>
      <c r="AT928" t="s">
        <v>3890</v>
      </c>
      <c r="AU928" t="s">
        <v>3897</v>
      </c>
      <c r="AV928" t="s">
        <v>3898</v>
      </c>
      <c r="AW928">
        <v>2</v>
      </c>
      <c r="AX928">
        <v>0</v>
      </c>
    </row>
    <row r="929" spans="1:50" x14ac:dyDescent="0.25">
      <c r="A929" t="s">
        <v>4948</v>
      </c>
      <c r="B929" t="s">
        <v>3996</v>
      </c>
      <c r="C929" t="s">
        <v>3890</v>
      </c>
      <c r="D929">
        <v>26.803000000000001</v>
      </c>
      <c r="E929">
        <v>26.783999999999999</v>
      </c>
      <c r="F929" s="2">
        <v>1E-3</v>
      </c>
      <c r="G929" t="s">
        <v>3784</v>
      </c>
      <c r="H929" t="s">
        <v>3787</v>
      </c>
      <c r="I929">
        <v>440530.30209999997</v>
      </c>
      <c r="J929">
        <v>1827549.9771</v>
      </c>
      <c r="K929">
        <v>440549.49670000002</v>
      </c>
      <c r="L929">
        <v>1827549.98</v>
      </c>
      <c r="M929" t="s">
        <v>56</v>
      </c>
      <c r="N929" t="s">
        <v>57</v>
      </c>
      <c r="O929">
        <v>1350</v>
      </c>
      <c r="P929" t="s">
        <v>3997</v>
      </c>
      <c r="Q929" t="s">
        <v>3998</v>
      </c>
      <c r="R929" t="s">
        <v>180</v>
      </c>
      <c r="S929" t="s">
        <v>3001</v>
      </c>
      <c r="T929" t="s">
        <v>3789</v>
      </c>
      <c r="U929">
        <v>-0.55669999999999997</v>
      </c>
      <c r="V929">
        <v>-0.55379999999999996</v>
      </c>
      <c r="W929" t="s">
        <v>52</v>
      </c>
      <c r="X929">
        <v>0.97370000000000001</v>
      </c>
      <c r="Y929">
        <v>1.1544000000000001</v>
      </c>
      <c r="Z929">
        <v>1.1544000000000001</v>
      </c>
      <c r="AA929">
        <v>0.97370000000000001</v>
      </c>
      <c r="AB929">
        <v>19.194600000000001</v>
      </c>
      <c r="AC929">
        <v>19.194600000000001</v>
      </c>
      <c r="AD929">
        <v>17.996400000000001</v>
      </c>
      <c r="AE929">
        <v>17.996400000000001</v>
      </c>
      <c r="AF929" t="s">
        <v>4949</v>
      </c>
      <c r="AG929" t="s">
        <v>4949</v>
      </c>
      <c r="AH929" t="s">
        <v>3894</v>
      </c>
      <c r="AI929" t="s">
        <v>3894</v>
      </c>
      <c r="AJ929" t="s">
        <v>3895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3896</v>
      </c>
      <c r="AT929" t="s">
        <v>3890</v>
      </c>
      <c r="AU929" t="s">
        <v>4000</v>
      </c>
      <c r="AV929" t="s">
        <v>3898</v>
      </c>
      <c r="AW929">
        <v>2</v>
      </c>
      <c r="AX929">
        <v>0</v>
      </c>
    </row>
    <row r="930" spans="1:50" x14ac:dyDescent="0.25">
      <c r="A930" t="s">
        <v>4950</v>
      </c>
      <c r="B930" t="s">
        <v>4004</v>
      </c>
      <c r="C930" t="s">
        <v>3890</v>
      </c>
      <c r="D930">
        <v>28.408999999999999</v>
      </c>
      <c r="E930">
        <v>28.388000000000002</v>
      </c>
      <c r="F930" s="2">
        <v>1E-3</v>
      </c>
      <c r="G930" t="s">
        <v>2730</v>
      </c>
      <c r="H930" t="s">
        <v>221</v>
      </c>
      <c r="I930">
        <v>440550.42509999999</v>
      </c>
      <c r="J930">
        <v>1827769.0507</v>
      </c>
      <c r="K930">
        <v>440571.11200000002</v>
      </c>
      <c r="L930">
        <v>1827769.0507</v>
      </c>
      <c r="M930" t="s">
        <v>56</v>
      </c>
      <c r="N930" t="s">
        <v>57</v>
      </c>
      <c r="O930">
        <v>600</v>
      </c>
      <c r="P930" t="s">
        <v>58</v>
      </c>
      <c r="Q930" t="s">
        <v>3892</v>
      </c>
      <c r="R930" t="s">
        <v>205</v>
      </c>
      <c r="S930" t="s">
        <v>448</v>
      </c>
      <c r="T930" t="s">
        <v>223</v>
      </c>
      <c r="U930">
        <v>0</v>
      </c>
      <c r="V930">
        <v>0</v>
      </c>
      <c r="W930" t="s">
        <v>52</v>
      </c>
      <c r="X930">
        <v>1.0006999999999999</v>
      </c>
      <c r="Y930">
        <v>1.0649999999999999</v>
      </c>
      <c r="Z930">
        <v>1.0006999999999999</v>
      </c>
      <c r="AA930">
        <v>1.0649999999999999</v>
      </c>
      <c r="AB930">
        <v>20.686900000000001</v>
      </c>
      <c r="AC930">
        <v>20.686900000000001</v>
      </c>
      <c r="AD930">
        <v>19.4877</v>
      </c>
      <c r="AE930">
        <v>19.4878</v>
      </c>
      <c r="AF930" t="s">
        <v>183</v>
      </c>
      <c r="AG930" t="s">
        <v>183</v>
      </c>
      <c r="AH930" t="s">
        <v>3894</v>
      </c>
      <c r="AI930" t="s">
        <v>3894</v>
      </c>
      <c r="AJ930" t="s">
        <v>3895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3896</v>
      </c>
      <c r="AT930" t="s">
        <v>3890</v>
      </c>
      <c r="AU930" t="s">
        <v>4006</v>
      </c>
      <c r="AV930" t="s">
        <v>3898</v>
      </c>
      <c r="AW930">
        <v>2</v>
      </c>
      <c r="AX930">
        <v>0</v>
      </c>
    </row>
    <row r="931" spans="1:50" x14ac:dyDescent="0.25">
      <c r="A931" t="s">
        <v>4951</v>
      </c>
      <c r="B931" t="s">
        <v>4004</v>
      </c>
      <c r="C931" t="s">
        <v>3890</v>
      </c>
      <c r="D931">
        <v>28.023</v>
      </c>
      <c r="E931">
        <v>27.962</v>
      </c>
      <c r="F931" s="2">
        <v>3.7000000000000002E-3</v>
      </c>
      <c r="G931" t="s">
        <v>2947</v>
      </c>
      <c r="H931" t="s">
        <v>2951</v>
      </c>
      <c r="I931">
        <v>440568.12719999999</v>
      </c>
      <c r="J931">
        <v>1827692.7645</v>
      </c>
      <c r="K931">
        <v>440584.72240000003</v>
      </c>
      <c r="L931">
        <v>1827692.7645</v>
      </c>
      <c r="M931" t="s">
        <v>56</v>
      </c>
      <c r="N931" t="s">
        <v>57</v>
      </c>
      <c r="O931">
        <v>600</v>
      </c>
      <c r="P931" t="s">
        <v>58</v>
      </c>
      <c r="Q931" t="s">
        <v>3892</v>
      </c>
      <c r="R931" t="s">
        <v>1112</v>
      </c>
      <c r="S931" t="s">
        <v>2949</v>
      </c>
      <c r="T931" t="s">
        <v>2953</v>
      </c>
      <c r="U931">
        <v>-1.32E-2</v>
      </c>
      <c r="V931">
        <v>-9.1000000000000004E-3</v>
      </c>
      <c r="W931" t="s">
        <v>52</v>
      </c>
      <c r="X931">
        <v>0.86229999999999996</v>
      </c>
      <c r="Y931">
        <v>1.0511999999999999</v>
      </c>
      <c r="Z931">
        <v>1.0339</v>
      </c>
      <c r="AA931">
        <v>0.86950000000000005</v>
      </c>
      <c r="AB931">
        <v>16.595199999999998</v>
      </c>
      <c r="AC931">
        <v>16.595300000000002</v>
      </c>
      <c r="AD931">
        <v>15.398300000000001</v>
      </c>
      <c r="AE931">
        <v>15.398400000000001</v>
      </c>
      <c r="AF931" t="s">
        <v>183</v>
      </c>
      <c r="AG931" t="s">
        <v>183</v>
      </c>
      <c r="AH931" t="s">
        <v>3894</v>
      </c>
      <c r="AI931" t="s">
        <v>3894</v>
      </c>
      <c r="AJ931" t="s">
        <v>3895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3896</v>
      </c>
      <c r="AT931" t="s">
        <v>3890</v>
      </c>
      <c r="AU931" t="s">
        <v>4006</v>
      </c>
      <c r="AV931" t="s">
        <v>3898</v>
      </c>
      <c r="AW931">
        <v>2</v>
      </c>
      <c r="AX931">
        <v>0</v>
      </c>
    </row>
    <row r="932" spans="1:50" x14ac:dyDescent="0.25">
      <c r="A932" t="s">
        <v>4952</v>
      </c>
      <c r="B932" t="s">
        <v>4010</v>
      </c>
      <c r="C932" t="s">
        <v>3890</v>
      </c>
      <c r="D932">
        <v>27.995000000000001</v>
      </c>
      <c r="E932">
        <v>27.975999999999999</v>
      </c>
      <c r="F932" s="2">
        <v>1E-3</v>
      </c>
      <c r="G932" t="s">
        <v>3200</v>
      </c>
      <c r="H932" t="s">
        <v>3203</v>
      </c>
      <c r="I932">
        <v>440529.67509999999</v>
      </c>
      <c r="J932">
        <v>1827375.1486</v>
      </c>
      <c r="K932">
        <v>440548.08069999999</v>
      </c>
      <c r="L932">
        <v>1827375.1486</v>
      </c>
      <c r="M932" t="s">
        <v>56</v>
      </c>
      <c r="N932" t="s">
        <v>57</v>
      </c>
      <c r="O932">
        <v>900</v>
      </c>
      <c r="P932" t="s">
        <v>109</v>
      </c>
      <c r="Q932" t="s">
        <v>3919</v>
      </c>
      <c r="R932" t="s">
        <v>3089</v>
      </c>
      <c r="S932" t="s">
        <v>2455</v>
      </c>
      <c r="T932" t="s">
        <v>3205</v>
      </c>
      <c r="U932">
        <v>-2.5000000000000001E-2</v>
      </c>
      <c r="V932">
        <v>-2.5000000000000001E-2</v>
      </c>
      <c r="W932" t="s">
        <v>52</v>
      </c>
      <c r="X932">
        <v>1.4736</v>
      </c>
      <c r="Y932">
        <v>1.6355999999999999</v>
      </c>
      <c r="Z932">
        <v>1.498</v>
      </c>
      <c r="AA932">
        <v>1.5738000000000001</v>
      </c>
      <c r="AB932">
        <v>18.4056</v>
      </c>
      <c r="AC932">
        <v>18.4056</v>
      </c>
      <c r="AD932">
        <v>17.206800000000001</v>
      </c>
      <c r="AE932">
        <v>17.206800000000001</v>
      </c>
      <c r="AF932" t="s">
        <v>183</v>
      </c>
      <c r="AG932" t="s">
        <v>183</v>
      </c>
      <c r="AH932" t="s">
        <v>3894</v>
      </c>
      <c r="AI932" t="s">
        <v>3894</v>
      </c>
      <c r="AJ932" t="s">
        <v>3895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3896</v>
      </c>
      <c r="AT932" t="s">
        <v>3890</v>
      </c>
      <c r="AU932" t="s">
        <v>4012</v>
      </c>
      <c r="AV932" t="s">
        <v>3898</v>
      </c>
      <c r="AW932">
        <v>2</v>
      </c>
      <c r="AX932">
        <v>0</v>
      </c>
    </row>
    <row r="933" spans="1:50" x14ac:dyDescent="0.25">
      <c r="A933" t="s">
        <v>4953</v>
      </c>
      <c r="B933" t="s">
        <v>3996</v>
      </c>
      <c r="C933" t="s">
        <v>3890</v>
      </c>
      <c r="D933">
        <v>27.187999999999999</v>
      </c>
      <c r="E933">
        <v>27.166</v>
      </c>
      <c r="F933" s="2">
        <v>1E-3</v>
      </c>
      <c r="G933" t="s">
        <v>3735</v>
      </c>
      <c r="H933" t="s">
        <v>3739</v>
      </c>
      <c r="I933">
        <v>440384.09499999997</v>
      </c>
      <c r="J933">
        <v>1827549.9823</v>
      </c>
      <c r="K933">
        <v>440405.98790000001</v>
      </c>
      <c r="L933">
        <v>1827549.9790000001</v>
      </c>
      <c r="M933" t="s">
        <v>56</v>
      </c>
      <c r="N933" t="s">
        <v>57</v>
      </c>
      <c r="O933">
        <v>1350</v>
      </c>
      <c r="P933" t="s">
        <v>3997</v>
      </c>
      <c r="Q933" t="s">
        <v>3998</v>
      </c>
      <c r="R933" t="s">
        <v>180</v>
      </c>
      <c r="S933" t="s">
        <v>3737</v>
      </c>
      <c r="T933" t="s">
        <v>3741</v>
      </c>
      <c r="U933">
        <v>-0.55149999999999999</v>
      </c>
      <c r="V933">
        <v>-0.55479999999999996</v>
      </c>
      <c r="W933" t="s">
        <v>52</v>
      </c>
      <c r="X933">
        <v>1.4446000000000001</v>
      </c>
      <c r="Y933">
        <v>1.6939</v>
      </c>
      <c r="Z933">
        <v>1.6939</v>
      </c>
      <c r="AA933">
        <v>1.5306</v>
      </c>
      <c r="AB933">
        <v>21.892800000000001</v>
      </c>
      <c r="AC933">
        <v>21.892800000000001</v>
      </c>
      <c r="AD933">
        <v>20.694600000000001</v>
      </c>
      <c r="AE933">
        <v>20.694700000000001</v>
      </c>
      <c r="AF933" t="s">
        <v>4954</v>
      </c>
      <c r="AG933" t="s">
        <v>4954</v>
      </c>
      <c r="AH933" t="s">
        <v>3894</v>
      </c>
      <c r="AI933" t="s">
        <v>3894</v>
      </c>
      <c r="AJ933" t="s">
        <v>3895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3896</v>
      </c>
      <c r="AT933" t="s">
        <v>3890</v>
      </c>
      <c r="AU933" t="s">
        <v>4000</v>
      </c>
      <c r="AV933" t="s">
        <v>3898</v>
      </c>
      <c r="AW933">
        <v>2</v>
      </c>
      <c r="AX933">
        <v>0</v>
      </c>
    </row>
    <row r="934" spans="1:50" x14ac:dyDescent="0.25">
      <c r="A934" t="s">
        <v>4955</v>
      </c>
      <c r="B934" t="s">
        <v>3963</v>
      </c>
      <c r="C934" t="s">
        <v>3890</v>
      </c>
      <c r="D934">
        <v>31.893000000000001</v>
      </c>
      <c r="E934">
        <v>31.873000000000001</v>
      </c>
      <c r="F934" s="2">
        <v>1E-3</v>
      </c>
      <c r="G934" t="s">
        <v>1643</v>
      </c>
      <c r="H934" t="s">
        <v>1647</v>
      </c>
      <c r="I934">
        <v>440044.1495</v>
      </c>
      <c r="J934">
        <v>1827739.3221</v>
      </c>
      <c r="K934">
        <v>440044.1495</v>
      </c>
      <c r="L934">
        <v>1827719.1455000001</v>
      </c>
      <c r="M934" t="s">
        <v>56</v>
      </c>
      <c r="N934" t="s">
        <v>57</v>
      </c>
      <c r="O934">
        <v>600</v>
      </c>
      <c r="P934" t="s">
        <v>3891</v>
      </c>
      <c r="Q934" t="s">
        <v>3892</v>
      </c>
      <c r="R934" t="s">
        <v>390</v>
      </c>
      <c r="S934" t="s">
        <v>1645</v>
      </c>
      <c r="T934" t="s">
        <v>1649</v>
      </c>
      <c r="U934">
        <v>7.4999999999999997E-2</v>
      </c>
      <c r="V934">
        <v>7.4999999999999997E-2</v>
      </c>
      <c r="W934" t="s">
        <v>52</v>
      </c>
      <c r="X934">
        <v>0.98270000000000002</v>
      </c>
      <c r="Y934">
        <v>1.0281</v>
      </c>
      <c r="Z934">
        <v>1.0281</v>
      </c>
      <c r="AA934">
        <v>0.98270000000000002</v>
      </c>
      <c r="AB934">
        <v>20.176600000000001</v>
      </c>
      <c r="AC934">
        <v>20.176600000000001</v>
      </c>
      <c r="AD934">
        <v>18.977399999999999</v>
      </c>
      <c r="AE934">
        <v>18.977399999999999</v>
      </c>
      <c r="AF934" t="s">
        <v>2233</v>
      </c>
      <c r="AG934" t="s">
        <v>2233</v>
      </c>
      <c r="AH934" t="s">
        <v>3894</v>
      </c>
      <c r="AI934" t="s">
        <v>3894</v>
      </c>
      <c r="AJ934" t="s">
        <v>3895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3896</v>
      </c>
      <c r="AT934" t="s">
        <v>3890</v>
      </c>
      <c r="AU934" t="s">
        <v>3964</v>
      </c>
      <c r="AV934" t="s">
        <v>3898</v>
      </c>
      <c r="AW934">
        <v>2</v>
      </c>
      <c r="AX934">
        <v>0</v>
      </c>
    </row>
    <row r="935" spans="1:50" x14ac:dyDescent="0.25">
      <c r="A935" t="s">
        <v>4956</v>
      </c>
      <c r="B935" t="s">
        <v>3963</v>
      </c>
      <c r="C935" t="s">
        <v>3890</v>
      </c>
      <c r="D935">
        <v>28.64</v>
      </c>
      <c r="E935">
        <v>28.62</v>
      </c>
      <c r="F935" s="2">
        <v>1E-3</v>
      </c>
      <c r="G935" t="s">
        <v>402</v>
      </c>
      <c r="H935" t="s">
        <v>2143</v>
      </c>
      <c r="I935">
        <v>440314.34989999997</v>
      </c>
      <c r="J935">
        <v>1827655.9909000001</v>
      </c>
      <c r="K935">
        <v>440314.34989999997</v>
      </c>
      <c r="L935">
        <v>1827635.9125000001</v>
      </c>
      <c r="M935" t="s">
        <v>56</v>
      </c>
      <c r="N935" t="s">
        <v>57</v>
      </c>
      <c r="O935">
        <v>600</v>
      </c>
      <c r="P935" t="s">
        <v>3891</v>
      </c>
      <c r="Q935" t="s">
        <v>3892</v>
      </c>
      <c r="R935" t="s">
        <v>156</v>
      </c>
      <c r="S935" t="s">
        <v>404</v>
      </c>
      <c r="T935" t="s">
        <v>2145</v>
      </c>
      <c r="U935">
        <v>-4.8000000000000001E-2</v>
      </c>
      <c r="V935">
        <v>-4.8000000000000001E-2</v>
      </c>
      <c r="W935" t="s">
        <v>52</v>
      </c>
      <c r="X935">
        <v>1.6865000000000001</v>
      </c>
      <c r="Y935">
        <v>1.7855000000000001</v>
      </c>
      <c r="Z935">
        <v>1.6865000000000001</v>
      </c>
      <c r="AA935">
        <v>1.7855000000000001</v>
      </c>
      <c r="AB935">
        <v>20.078399999999998</v>
      </c>
      <c r="AC935">
        <v>20.078399999999998</v>
      </c>
      <c r="AD935">
        <v>18.879300000000001</v>
      </c>
      <c r="AE935">
        <v>18.879300000000001</v>
      </c>
      <c r="AF935" t="s">
        <v>2233</v>
      </c>
      <c r="AG935" t="s">
        <v>2233</v>
      </c>
      <c r="AH935" t="s">
        <v>3894</v>
      </c>
      <c r="AI935" t="s">
        <v>3894</v>
      </c>
      <c r="AJ935" t="s">
        <v>3895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3896</v>
      </c>
      <c r="AT935" t="s">
        <v>3890</v>
      </c>
      <c r="AU935" t="s">
        <v>3964</v>
      </c>
      <c r="AV935" t="s">
        <v>3898</v>
      </c>
      <c r="AW935">
        <v>2</v>
      </c>
      <c r="AX935">
        <v>0</v>
      </c>
    </row>
    <row r="936" spans="1:50" x14ac:dyDescent="0.25">
      <c r="A936" t="s">
        <v>4957</v>
      </c>
      <c r="B936" t="s">
        <v>3933</v>
      </c>
      <c r="C936" t="s">
        <v>3890</v>
      </c>
      <c r="D936">
        <v>31.469000000000001</v>
      </c>
      <c r="E936">
        <v>31.449000000000002</v>
      </c>
      <c r="F936" s="2">
        <v>1E-3</v>
      </c>
      <c r="G936" t="s">
        <v>977</v>
      </c>
      <c r="H936" t="s">
        <v>254</v>
      </c>
      <c r="I936">
        <v>440217.59980000003</v>
      </c>
      <c r="J936">
        <v>1828081.8171000001</v>
      </c>
      <c r="K936">
        <v>440217.59980000003</v>
      </c>
      <c r="L936">
        <v>1828061.8285000001</v>
      </c>
      <c r="M936" t="s">
        <v>56</v>
      </c>
      <c r="N936" t="s">
        <v>57</v>
      </c>
      <c r="O936">
        <v>750</v>
      </c>
      <c r="P936" t="s">
        <v>58</v>
      </c>
      <c r="Q936" t="s">
        <v>3919</v>
      </c>
      <c r="R936" t="s">
        <v>151</v>
      </c>
      <c r="S936" t="s">
        <v>979</v>
      </c>
      <c r="T936" t="s">
        <v>256</v>
      </c>
      <c r="U936">
        <v>0.17380000000000001</v>
      </c>
      <c r="V936">
        <v>0.16289999999999999</v>
      </c>
      <c r="W936" t="s">
        <v>52</v>
      </c>
      <c r="X936">
        <v>1.286</v>
      </c>
      <c r="Y936">
        <v>1.3625</v>
      </c>
      <c r="Z936">
        <v>1.3625</v>
      </c>
      <c r="AA936">
        <v>1.286</v>
      </c>
      <c r="AB936">
        <v>19.988600000000002</v>
      </c>
      <c r="AC936">
        <v>19.988600000000002</v>
      </c>
      <c r="AD936">
        <v>18.7897</v>
      </c>
      <c r="AE936">
        <v>18.7897</v>
      </c>
      <c r="AF936" t="s">
        <v>2233</v>
      </c>
      <c r="AG936" t="s">
        <v>2233</v>
      </c>
      <c r="AH936" t="s">
        <v>3894</v>
      </c>
      <c r="AI936" t="s">
        <v>3894</v>
      </c>
      <c r="AJ936" t="s">
        <v>3895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3896</v>
      </c>
      <c r="AT936" t="s">
        <v>3890</v>
      </c>
      <c r="AU936" t="s">
        <v>3935</v>
      </c>
      <c r="AV936" t="s">
        <v>3898</v>
      </c>
      <c r="AW936">
        <v>2</v>
      </c>
      <c r="AX936">
        <v>0</v>
      </c>
    </row>
    <row r="937" spans="1:50" x14ac:dyDescent="0.25">
      <c r="A937" t="s">
        <v>4958</v>
      </c>
      <c r="B937" t="s">
        <v>4004</v>
      </c>
      <c r="C937" t="s">
        <v>3890</v>
      </c>
      <c r="D937">
        <v>28.367999999999999</v>
      </c>
      <c r="E937">
        <v>28.347000000000001</v>
      </c>
      <c r="F937" s="2">
        <v>6.9999999999999999E-4</v>
      </c>
      <c r="G937" t="s">
        <v>2733</v>
      </c>
      <c r="H937" t="s">
        <v>2070</v>
      </c>
      <c r="I937">
        <v>440591.74530000001</v>
      </c>
      <c r="J937">
        <v>1827769.0507</v>
      </c>
      <c r="K937">
        <v>440620.6985</v>
      </c>
      <c r="L937">
        <v>1827769.0507</v>
      </c>
      <c r="M937" t="s">
        <v>56</v>
      </c>
      <c r="N937" t="s">
        <v>57</v>
      </c>
      <c r="O937">
        <v>600</v>
      </c>
      <c r="P937" t="s">
        <v>58</v>
      </c>
      <c r="Q937" t="s">
        <v>3892</v>
      </c>
      <c r="R937" t="s">
        <v>205</v>
      </c>
      <c r="S937" s="1" t="s">
        <v>4959</v>
      </c>
      <c r="T937" s="1" t="s">
        <v>4960</v>
      </c>
      <c r="U937">
        <v>0</v>
      </c>
      <c r="V937">
        <v>0</v>
      </c>
      <c r="W937" t="s">
        <v>52</v>
      </c>
      <c r="X937">
        <v>0.92490000000000006</v>
      </c>
      <c r="Y937">
        <v>1.1938</v>
      </c>
      <c r="Z937">
        <v>1.1331</v>
      </c>
      <c r="AA937">
        <v>0.92490000000000006</v>
      </c>
      <c r="AB937">
        <v>28.953299999999999</v>
      </c>
      <c r="AC937">
        <v>28.953299999999999</v>
      </c>
      <c r="AD937">
        <v>28.3535</v>
      </c>
      <c r="AE937">
        <v>28.3535</v>
      </c>
      <c r="AF937" t="s">
        <v>183</v>
      </c>
      <c r="AG937" t="s">
        <v>183</v>
      </c>
      <c r="AH937" t="s">
        <v>3894</v>
      </c>
      <c r="AI937" t="s">
        <v>3894</v>
      </c>
      <c r="AJ937" t="s">
        <v>3895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3896</v>
      </c>
      <c r="AT937" t="s">
        <v>3890</v>
      </c>
      <c r="AU937" t="s">
        <v>4006</v>
      </c>
      <c r="AV937" t="s">
        <v>3898</v>
      </c>
      <c r="AW937">
        <v>3</v>
      </c>
      <c r="AX937">
        <v>0</v>
      </c>
    </row>
    <row r="938" spans="1:50" x14ac:dyDescent="0.25">
      <c r="A938" t="s">
        <v>4961</v>
      </c>
      <c r="B938" t="s">
        <v>3963</v>
      </c>
      <c r="C938" t="s">
        <v>3890</v>
      </c>
      <c r="D938">
        <v>28.741</v>
      </c>
      <c r="E938">
        <v>28.73</v>
      </c>
      <c r="F938" s="2">
        <v>1E-3</v>
      </c>
      <c r="G938" t="s">
        <v>2999</v>
      </c>
      <c r="H938" t="s">
        <v>3848</v>
      </c>
      <c r="I938">
        <v>440387.45010000002</v>
      </c>
      <c r="J938">
        <v>1827703.7145</v>
      </c>
      <c r="K938">
        <v>440398.13890000002</v>
      </c>
      <c r="L938">
        <v>1827703.7145</v>
      </c>
      <c r="M938" t="s">
        <v>56</v>
      </c>
      <c r="N938" t="s">
        <v>57</v>
      </c>
      <c r="O938">
        <v>600</v>
      </c>
      <c r="P938" t="s">
        <v>3891</v>
      </c>
      <c r="Q938" t="s">
        <v>3892</v>
      </c>
      <c r="R938" t="s">
        <v>1056</v>
      </c>
      <c r="S938" t="s">
        <v>3001</v>
      </c>
      <c r="T938" t="s">
        <v>3850</v>
      </c>
      <c r="U938">
        <v>0</v>
      </c>
      <c r="V938">
        <v>0</v>
      </c>
      <c r="W938" t="s">
        <v>52</v>
      </c>
      <c r="X938">
        <v>0.8841</v>
      </c>
      <c r="Y938">
        <v>0.99360000000000004</v>
      </c>
      <c r="Z938">
        <v>0.8841</v>
      </c>
      <c r="AA938">
        <v>0.89959999999999996</v>
      </c>
      <c r="AB938">
        <v>10.6891</v>
      </c>
      <c r="AC938">
        <v>10.6891</v>
      </c>
      <c r="AD938">
        <v>9.4896999999999991</v>
      </c>
      <c r="AE938">
        <v>9.4896999999999991</v>
      </c>
      <c r="AF938" t="s">
        <v>183</v>
      </c>
      <c r="AG938" t="s">
        <v>183</v>
      </c>
      <c r="AH938" t="s">
        <v>3894</v>
      </c>
      <c r="AI938" t="s">
        <v>3894</v>
      </c>
      <c r="AJ938" t="s">
        <v>3895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3896</v>
      </c>
      <c r="AT938" t="s">
        <v>3890</v>
      </c>
      <c r="AU938" t="s">
        <v>3964</v>
      </c>
      <c r="AV938" t="s">
        <v>3898</v>
      </c>
      <c r="AW938">
        <v>2</v>
      </c>
      <c r="AX938">
        <v>0</v>
      </c>
    </row>
    <row r="939" spans="1:50" x14ac:dyDescent="0.25">
      <c r="A939" t="s">
        <v>4962</v>
      </c>
      <c r="B939" t="s">
        <v>3963</v>
      </c>
      <c r="C939" t="s">
        <v>3890</v>
      </c>
      <c r="D939">
        <v>28.613</v>
      </c>
      <c r="E939">
        <v>28.600999999999999</v>
      </c>
      <c r="F939" s="2">
        <v>1E-3</v>
      </c>
      <c r="G939" t="s">
        <v>2904</v>
      </c>
      <c r="H939" t="s">
        <v>2908</v>
      </c>
      <c r="I939">
        <v>440398.40010000003</v>
      </c>
      <c r="J939">
        <v>1827692.7645</v>
      </c>
      <c r="K939">
        <v>440410.4252</v>
      </c>
      <c r="L939">
        <v>1827692.7645</v>
      </c>
      <c r="M939" t="s">
        <v>56</v>
      </c>
      <c r="N939" t="s">
        <v>57</v>
      </c>
      <c r="O939">
        <v>600</v>
      </c>
      <c r="P939" t="s">
        <v>3891</v>
      </c>
      <c r="Q939" t="s">
        <v>3892</v>
      </c>
      <c r="R939" t="s">
        <v>1112</v>
      </c>
      <c r="S939" t="s">
        <v>4751</v>
      </c>
      <c r="T939" t="s">
        <v>2910</v>
      </c>
      <c r="U939">
        <v>-5.5199999999999999E-2</v>
      </c>
      <c r="V939">
        <v>-5.2200000000000003E-2</v>
      </c>
      <c r="W939" t="s">
        <v>52</v>
      </c>
      <c r="X939">
        <v>0.87660000000000005</v>
      </c>
      <c r="Y939">
        <v>1.087</v>
      </c>
      <c r="Z939">
        <v>0.89929999999999999</v>
      </c>
      <c r="AA939">
        <v>1.0359</v>
      </c>
      <c r="AB939">
        <v>12.2202</v>
      </c>
      <c r="AC939">
        <v>12.2202</v>
      </c>
      <c r="AD939">
        <v>11.021100000000001</v>
      </c>
      <c r="AE939">
        <v>11.021100000000001</v>
      </c>
      <c r="AF939" t="s">
        <v>183</v>
      </c>
      <c r="AG939" t="s">
        <v>183</v>
      </c>
      <c r="AH939" t="s">
        <v>3894</v>
      </c>
      <c r="AI939" t="s">
        <v>3894</v>
      </c>
      <c r="AJ939" t="s">
        <v>3895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3896</v>
      </c>
      <c r="AT939" t="s">
        <v>3890</v>
      </c>
      <c r="AU939" t="s">
        <v>3964</v>
      </c>
      <c r="AV939" t="s">
        <v>3898</v>
      </c>
      <c r="AW939">
        <v>2</v>
      </c>
      <c r="AX939">
        <v>0</v>
      </c>
    </row>
    <row r="940" spans="1:50" x14ac:dyDescent="0.25">
      <c r="A940" t="s">
        <v>4963</v>
      </c>
      <c r="B940" t="s">
        <v>3933</v>
      </c>
      <c r="C940" t="s">
        <v>3890</v>
      </c>
      <c r="D940">
        <v>29.722000000000001</v>
      </c>
      <c r="E940">
        <v>29.702000000000002</v>
      </c>
      <c r="F940" s="2">
        <v>1E-3</v>
      </c>
      <c r="G940" t="s">
        <v>2314</v>
      </c>
      <c r="H940" t="s">
        <v>239</v>
      </c>
      <c r="I940">
        <v>440464.07510000002</v>
      </c>
      <c r="J940">
        <v>1827935.0359</v>
      </c>
      <c r="K940">
        <v>440483.9387</v>
      </c>
      <c r="L940">
        <v>1827935.0359</v>
      </c>
      <c r="M940" t="s">
        <v>56</v>
      </c>
      <c r="N940" t="s">
        <v>57</v>
      </c>
      <c r="O940">
        <v>750</v>
      </c>
      <c r="P940" t="s">
        <v>58</v>
      </c>
      <c r="Q940" t="s">
        <v>3919</v>
      </c>
      <c r="R940" t="s">
        <v>241</v>
      </c>
      <c r="S940" t="s">
        <v>2316</v>
      </c>
      <c r="T940" t="s">
        <v>242</v>
      </c>
      <c r="U940">
        <v>7.4999999999999997E-2</v>
      </c>
      <c r="V940">
        <v>7.4999999999999997E-2</v>
      </c>
      <c r="W940" t="s">
        <v>52</v>
      </c>
      <c r="X940">
        <v>0.82520000000000004</v>
      </c>
      <c r="Y940">
        <v>0.98599999999999999</v>
      </c>
      <c r="Z940">
        <v>0.85140000000000005</v>
      </c>
      <c r="AA940">
        <v>0.91279999999999994</v>
      </c>
      <c r="AB940">
        <v>19.863600000000002</v>
      </c>
      <c r="AC940">
        <v>19.863600000000002</v>
      </c>
      <c r="AD940">
        <v>18.6646</v>
      </c>
      <c r="AE940">
        <v>18.6646</v>
      </c>
      <c r="AF940" t="s">
        <v>183</v>
      </c>
      <c r="AG940" t="s">
        <v>183</v>
      </c>
      <c r="AH940" t="s">
        <v>3894</v>
      </c>
      <c r="AI940" t="s">
        <v>3894</v>
      </c>
      <c r="AJ940" t="s">
        <v>3895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3896</v>
      </c>
      <c r="AT940" t="s">
        <v>3890</v>
      </c>
      <c r="AU940" t="s">
        <v>3935</v>
      </c>
      <c r="AV940" t="s">
        <v>3898</v>
      </c>
      <c r="AW940">
        <v>2</v>
      </c>
      <c r="AX940">
        <v>0</v>
      </c>
    </row>
    <row r="941" spans="1:50" x14ac:dyDescent="0.25">
      <c r="A941" t="s">
        <v>4964</v>
      </c>
      <c r="B941" t="s">
        <v>3933</v>
      </c>
      <c r="C941" t="s">
        <v>3890</v>
      </c>
      <c r="D941">
        <v>31.449000000000002</v>
      </c>
      <c r="E941">
        <v>31.428999999999998</v>
      </c>
      <c r="F941" s="2">
        <v>8.9999999999999998E-4</v>
      </c>
      <c r="G941" t="s">
        <v>254</v>
      </c>
      <c r="H941" t="s">
        <v>981</v>
      </c>
      <c r="I941">
        <v>440217.59980000003</v>
      </c>
      <c r="J941">
        <v>1828061.8285000001</v>
      </c>
      <c r="K941">
        <v>440217.59980000003</v>
      </c>
      <c r="L941">
        <v>1828039.898</v>
      </c>
      <c r="M941" t="s">
        <v>56</v>
      </c>
      <c r="N941" t="s">
        <v>57</v>
      </c>
      <c r="O941">
        <v>750</v>
      </c>
      <c r="P941" t="s">
        <v>58</v>
      </c>
      <c r="Q941" t="s">
        <v>3919</v>
      </c>
      <c r="R941" t="s">
        <v>151</v>
      </c>
      <c r="S941" t="s">
        <v>256</v>
      </c>
      <c r="T941" t="s">
        <v>4827</v>
      </c>
      <c r="U941">
        <v>0.16289999999999999</v>
      </c>
      <c r="V941">
        <v>0.151</v>
      </c>
      <c r="W941" t="s">
        <v>52</v>
      </c>
      <c r="X941">
        <v>1.1113999999999999</v>
      </c>
      <c r="Y941">
        <v>1.3328</v>
      </c>
      <c r="Z941">
        <v>1.286</v>
      </c>
      <c r="AA941">
        <v>1.1148</v>
      </c>
      <c r="AB941">
        <v>21.8047</v>
      </c>
      <c r="AC941">
        <v>21.8047</v>
      </c>
      <c r="AD941">
        <v>20.605599999999999</v>
      </c>
      <c r="AE941">
        <v>20.605599999999999</v>
      </c>
      <c r="AF941" t="s">
        <v>2233</v>
      </c>
      <c r="AG941" t="s">
        <v>2233</v>
      </c>
      <c r="AH941" t="s">
        <v>3894</v>
      </c>
      <c r="AI941" t="s">
        <v>3894</v>
      </c>
      <c r="AJ941" t="s">
        <v>3895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3896</v>
      </c>
      <c r="AT941" t="s">
        <v>3890</v>
      </c>
      <c r="AU941" t="s">
        <v>3935</v>
      </c>
      <c r="AV941" t="s">
        <v>3898</v>
      </c>
      <c r="AW941">
        <v>2</v>
      </c>
      <c r="AX941">
        <v>0</v>
      </c>
    </row>
    <row r="942" spans="1:50" x14ac:dyDescent="0.25">
      <c r="A942" t="s">
        <v>4965</v>
      </c>
      <c r="B942" t="s">
        <v>3963</v>
      </c>
      <c r="C942" t="s">
        <v>3890</v>
      </c>
      <c r="D942">
        <v>31.873000000000001</v>
      </c>
      <c r="E942">
        <v>31.853000000000002</v>
      </c>
      <c r="F942" s="2">
        <v>1E-3</v>
      </c>
      <c r="G942" t="s">
        <v>1647</v>
      </c>
      <c r="H942" t="s">
        <v>1651</v>
      </c>
      <c r="I942">
        <v>440044.1495</v>
      </c>
      <c r="J942">
        <v>1827719.1455000001</v>
      </c>
      <c r="K942">
        <v>440044.1495</v>
      </c>
      <c r="L942">
        <v>1827699.5734000001</v>
      </c>
      <c r="M942" t="s">
        <v>56</v>
      </c>
      <c r="N942" t="s">
        <v>57</v>
      </c>
      <c r="O942">
        <v>600</v>
      </c>
      <c r="P942" t="s">
        <v>3891</v>
      </c>
      <c r="Q942" t="s">
        <v>3892</v>
      </c>
      <c r="R942" t="s">
        <v>390</v>
      </c>
      <c r="S942" t="s">
        <v>1649</v>
      </c>
      <c r="T942" t="s">
        <v>1653</v>
      </c>
      <c r="U942">
        <v>7.4999999999999997E-2</v>
      </c>
      <c r="V942">
        <v>7.4999999999999997E-2</v>
      </c>
      <c r="W942" t="s">
        <v>52</v>
      </c>
      <c r="X942">
        <v>0.91710000000000003</v>
      </c>
      <c r="Y942">
        <v>0.98270000000000002</v>
      </c>
      <c r="Z942">
        <v>0.98270000000000002</v>
      </c>
      <c r="AA942">
        <v>0.91710000000000003</v>
      </c>
      <c r="AB942">
        <v>19.572199999999999</v>
      </c>
      <c r="AC942">
        <v>19.572199999999999</v>
      </c>
      <c r="AD942">
        <v>18.373000000000001</v>
      </c>
      <c r="AE942">
        <v>18.373000000000001</v>
      </c>
      <c r="AF942" t="s">
        <v>2233</v>
      </c>
      <c r="AG942" t="s">
        <v>2233</v>
      </c>
      <c r="AH942" t="s">
        <v>3894</v>
      </c>
      <c r="AI942" t="s">
        <v>3894</v>
      </c>
      <c r="AJ942" t="s">
        <v>3895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3896</v>
      </c>
      <c r="AT942" t="s">
        <v>3890</v>
      </c>
      <c r="AU942" t="s">
        <v>3964</v>
      </c>
      <c r="AV942" t="s">
        <v>3898</v>
      </c>
      <c r="AW942">
        <v>2</v>
      </c>
      <c r="AX942">
        <v>0</v>
      </c>
    </row>
    <row r="943" spans="1:50" x14ac:dyDescent="0.25">
      <c r="A943" t="s">
        <v>4966</v>
      </c>
      <c r="B943" t="s">
        <v>3963</v>
      </c>
      <c r="C943" t="s">
        <v>3890</v>
      </c>
      <c r="D943">
        <v>30.42</v>
      </c>
      <c r="E943">
        <v>30.4</v>
      </c>
      <c r="F943" s="2">
        <v>1E-3</v>
      </c>
      <c r="G943" t="s">
        <v>883</v>
      </c>
      <c r="H943" t="s">
        <v>887</v>
      </c>
      <c r="I943">
        <v>440248.7499</v>
      </c>
      <c r="J943">
        <v>1827459.2461000001</v>
      </c>
      <c r="K943">
        <v>440248.7499</v>
      </c>
      <c r="L943">
        <v>1827479.4838</v>
      </c>
      <c r="M943" t="s">
        <v>56</v>
      </c>
      <c r="N943" t="s">
        <v>57</v>
      </c>
      <c r="O943">
        <v>600</v>
      </c>
      <c r="P943" t="s">
        <v>3891</v>
      </c>
      <c r="Q943" t="s">
        <v>3892</v>
      </c>
      <c r="R943" t="s">
        <v>881</v>
      </c>
      <c r="S943" t="s">
        <v>885</v>
      </c>
      <c r="T943" t="s">
        <v>448</v>
      </c>
      <c r="U943">
        <v>7.4999999999999997E-2</v>
      </c>
      <c r="V943">
        <v>7.4999999999999997E-2</v>
      </c>
      <c r="W943" t="s">
        <v>52</v>
      </c>
      <c r="X943">
        <v>0.89529999999999998</v>
      </c>
      <c r="Y943">
        <v>0.94689999999999996</v>
      </c>
      <c r="Z943">
        <v>0.94689999999999996</v>
      </c>
      <c r="AA943">
        <v>0.89529999999999998</v>
      </c>
      <c r="AB943">
        <v>20.2377</v>
      </c>
      <c r="AC943">
        <v>20.2377</v>
      </c>
      <c r="AD943">
        <v>19.038499999999999</v>
      </c>
      <c r="AE943">
        <v>19.038499999999999</v>
      </c>
      <c r="AF943" t="s">
        <v>67</v>
      </c>
      <c r="AG943" t="s">
        <v>67</v>
      </c>
      <c r="AH943" t="s">
        <v>3894</v>
      </c>
      <c r="AI943" t="s">
        <v>3894</v>
      </c>
      <c r="AJ943" t="s">
        <v>3895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3896</v>
      </c>
      <c r="AT943" t="s">
        <v>3890</v>
      </c>
      <c r="AU943" t="s">
        <v>3964</v>
      </c>
      <c r="AV943" t="s">
        <v>3898</v>
      </c>
      <c r="AW943">
        <v>2</v>
      </c>
      <c r="AX943">
        <v>0</v>
      </c>
    </row>
    <row r="944" spans="1:50" x14ac:dyDescent="0.25">
      <c r="A944" t="s">
        <v>4967</v>
      </c>
      <c r="B944" t="s">
        <v>3889</v>
      </c>
      <c r="C944" t="s">
        <v>3890</v>
      </c>
      <c r="D944">
        <v>29.135999999999999</v>
      </c>
      <c r="E944">
        <v>29.123000000000001</v>
      </c>
      <c r="F944" s="2">
        <v>1E-3</v>
      </c>
      <c r="G944" t="s">
        <v>2221</v>
      </c>
      <c r="H944" t="s">
        <v>159</v>
      </c>
      <c r="I944">
        <v>440323.97489999997</v>
      </c>
      <c r="J944">
        <v>1827575.5748000001</v>
      </c>
      <c r="K944">
        <v>440323.97489999997</v>
      </c>
      <c r="L944">
        <v>1827562.9498000001</v>
      </c>
      <c r="M944" t="s">
        <v>56</v>
      </c>
      <c r="N944" t="s">
        <v>57</v>
      </c>
      <c r="O944">
        <v>450</v>
      </c>
      <c r="P944" t="s">
        <v>3891</v>
      </c>
      <c r="Q944" t="s">
        <v>3892</v>
      </c>
      <c r="R944" t="s">
        <v>161</v>
      </c>
      <c r="S944" t="s">
        <v>2223</v>
      </c>
      <c r="T944" t="s">
        <v>162</v>
      </c>
      <c r="U944">
        <v>0</v>
      </c>
      <c r="V944">
        <v>0</v>
      </c>
      <c r="W944" t="s">
        <v>52</v>
      </c>
      <c r="X944">
        <v>1.6213</v>
      </c>
      <c r="Y944">
        <v>1.7082999999999999</v>
      </c>
      <c r="Z944">
        <v>1.6213</v>
      </c>
      <c r="AA944">
        <v>1.7082999999999999</v>
      </c>
      <c r="AB944">
        <v>12.625</v>
      </c>
      <c r="AC944">
        <v>12.625</v>
      </c>
      <c r="AD944">
        <v>11.425700000000001</v>
      </c>
      <c r="AE944">
        <v>11.425700000000001</v>
      </c>
      <c r="AF944" t="s">
        <v>2233</v>
      </c>
      <c r="AG944" t="s">
        <v>2233</v>
      </c>
      <c r="AH944" t="s">
        <v>3894</v>
      </c>
      <c r="AI944" t="s">
        <v>3894</v>
      </c>
      <c r="AJ944" t="s">
        <v>3895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3896</v>
      </c>
      <c r="AT944" t="s">
        <v>3890</v>
      </c>
      <c r="AU944" t="s">
        <v>3897</v>
      </c>
      <c r="AV944" t="s">
        <v>3898</v>
      </c>
      <c r="AW944">
        <v>2</v>
      </c>
      <c r="AX944">
        <v>0</v>
      </c>
    </row>
    <row r="945" spans="1:50" x14ac:dyDescent="0.25">
      <c r="A945" t="s">
        <v>4968</v>
      </c>
      <c r="B945" t="s">
        <v>3963</v>
      </c>
      <c r="C945" t="s">
        <v>3890</v>
      </c>
      <c r="D945">
        <v>29.939</v>
      </c>
      <c r="E945">
        <v>29.92</v>
      </c>
      <c r="F945" s="2">
        <v>1E-3</v>
      </c>
      <c r="G945" t="s">
        <v>1134</v>
      </c>
      <c r="H945" t="s">
        <v>1138</v>
      </c>
      <c r="I945">
        <v>440258.29989999998</v>
      </c>
      <c r="J945">
        <v>1827653.7949000001</v>
      </c>
      <c r="K945">
        <v>440258.29989999998</v>
      </c>
      <c r="L945">
        <v>1827672.9</v>
      </c>
      <c r="M945" t="s">
        <v>56</v>
      </c>
      <c r="N945" t="s">
        <v>57</v>
      </c>
      <c r="O945">
        <v>600</v>
      </c>
      <c r="P945" t="s">
        <v>3891</v>
      </c>
      <c r="Q945" t="s">
        <v>3892</v>
      </c>
      <c r="R945" t="s">
        <v>275</v>
      </c>
      <c r="S945" t="s">
        <v>1136</v>
      </c>
      <c r="T945" t="s">
        <v>1140</v>
      </c>
      <c r="U945">
        <v>9.6500000000000002E-2</v>
      </c>
      <c r="V945">
        <v>9.6500000000000002E-2</v>
      </c>
      <c r="W945" t="s">
        <v>52</v>
      </c>
      <c r="X945">
        <v>0.88470000000000004</v>
      </c>
      <c r="Y945">
        <v>0.89710000000000001</v>
      </c>
      <c r="Z945">
        <v>0.88490000000000002</v>
      </c>
      <c r="AA945">
        <v>0.89710000000000001</v>
      </c>
      <c r="AB945">
        <v>19.105</v>
      </c>
      <c r="AC945">
        <v>19.105</v>
      </c>
      <c r="AD945">
        <v>17.905899999999999</v>
      </c>
      <c r="AE945">
        <v>17.905899999999999</v>
      </c>
      <c r="AF945" t="s">
        <v>67</v>
      </c>
      <c r="AG945" t="s">
        <v>67</v>
      </c>
      <c r="AH945" t="s">
        <v>3894</v>
      </c>
      <c r="AI945" t="s">
        <v>3894</v>
      </c>
      <c r="AJ945" t="s">
        <v>3895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3896</v>
      </c>
      <c r="AT945" t="s">
        <v>3890</v>
      </c>
      <c r="AU945" t="s">
        <v>3964</v>
      </c>
      <c r="AV945" t="s">
        <v>3898</v>
      </c>
      <c r="AW945">
        <v>2</v>
      </c>
      <c r="AX945">
        <v>0</v>
      </c>
    </row>
    <row r="946" spans="1:50" x14ac:dyDescent="0.25">
      <c r="A946" t="s">
        <v>4969</v>
      </c>
      <c r="B946" t="s">
        <v>4004</v>
      </c>
      <c r="C946" t="s">
        <v>3890</v>
      </c>
      <c r="D946">
        <v>27.952999999999999</v>
      </c>
      <c r="E946">
        <v>27.937999999999999</v>
      </c>
      <c r="F946" s="2">
        <v>4.0000000000000002E-4</v>
      </c>
      <c r="G946" t="s">
        <v>2951</v>
      </c>
      <c r="H946" t="s">
        <v>2070</v>
      </c>
      <c r="I946">
        <v>440584.72240000003</v>
      </c>
      <c r="J946">
        <v>1827692.7645</v>
      </c>
      <c r="K946">
        <v>440619.12410000002</v>
      </c>
      <c r="L946">
        <v>1827692.7645</v>
      </c>
      <c r="M946" t="s">
        <v>56</v>
      </c>
      <c r="N946" t="s">
        <v>57</v>
      </c>
      <c r="O946">
        <v>600</v>
      </c>
      <c r="P946" t="s">
        <v>58</v>
      </c>
      <c r="Q946" t="s">
        <v>3892</v>
      </c>
      <c r="R946" t="s">
        <v>1112</v>
      </c>
      <c r="S946" t="s">
        <v>2953</v>
      </c>
      <c r="T946" s="1" t="s">
        <v>4970</v>
      </c>
      <c r="U946">
        <v>-9.1000000000000004E-3</v>
      </c>
      <c r="V946">
        <v>-5.9999999999999995E-4</v>
      </c>
      <c r="W946" t="s">
        <v>52</v>
      </c>
      <c r="X946">
        <v>0.83020000000000005</v>
      </c>
      <c r="Y946">
        <v>1.0994999999999999</v>
      </c>
      <c r="Z946">
        <v>0.87849999999999995</v>
      </c>
      <c r="AA946">
        <v>1.0994999999999999</v>
      </c>
      <c r="AB946">
        <v>34.402000000000001</v>
      </c>
      <c r="AC946">
        <v>34.402000000000001</v>
      </c>
      <c r="AD946">
        <v>33.801900000000003</v>
      </c>
      <c r="AE946">
        <v>33.801900000000003</v>
      </c>
      <c r="AF946" t="s">
        <v>183</v>
      </c>
      <c r="AG946" t="s">
        <v>183</v>
      </c>
      <c r="AH946" t="s">
        <v>3894</v>
      </c>
      <c r="AI946" t="s">
        <v>3894</v>
      </c>
      <c r="AJ946" t="s">
        <v>3895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3896</v>
      </c>
      <c r="AT946" t="s">
        <v>3890</v>
      </c>
      <c r="AU946" t="s">
        <v>4006</v>
      </c>
      <c r="AV946" t="s">
        <v>3898</v>
      </c>
      <c r="AW946">
        <v>3</v>
      </c>
      <c r="AX946">
        <v>0</v>
      </c>
    </row>
    <row r="947" spans="1:50" x14ac:dyDescent="0.25">
      <c r="A947" t="s">
        <v>4971</v>
      </c>
      <c r="B947" t="s">
        <v>4813</v>
      </c>
      <c r="C947" t="s">
        <v>3890</v>
      </c>
      <c r="D947">
        <v>27.274999999999999</v>
      </c>
      <c r="E947">
        <v>27.263000000000002</v>
      </c>
      <c r="F947" s="2">
        <v>8.0000000000000004E-4</v>
      </c>
      <c r="G947" t="s">
        <v>2103</v>
      </c>
      <c r="H947" t="s">
        <v>2156</v>
      </c>
      <c r="I947">
        <v>440300.25550000003</v>
      </c>
      <c r="J947">
        <v>1827550.1838</v>
      </c>
      <c r="K947">
        <v>440314.42489999998</v>
      </c>
      <c r="L947">
        <v>1827550.1838</v>
      </c>
      <c r="M947" t="s">
        <v>56</v>
      </c>
      <c r="N947" t="s">
        <v>57</v>
      </c>
      <c r="O947">
        <v>1050</v>
      </c>
      <c r="P947" t="s">
        <v>3997</v>
      </c>
      <c r="Q947" t="s">
        <v>3930</v>
      </c>
      <c r="R947" t="s">
        <v>180</v>
      </c>
      <c r="S947" t="s">
        <v>902</v>
      </c>
      <c r="T947" t="s">
        <v>2158</v>
      </c>
      <c r="U947">
        <v>-0.35</v>
      </c>
      <c r="V947">
        <v>-0.35</v>
      </c>
      <c r="W947" t="s">
        <v>52</v>
      </c>
      <c r="X947">
        <v>1.9953000000000001</v>
      </c>
      <c r="Y947">
        <v>2.0617999999999999</v>
      </c>
      <c r="Z947">
        <v>2.0617999999999999</v>
      </c>
      <c r="AA947">
        <v>1.9953000000000001</v>
      </c>
      <c r="AB947">
        <v>14.1694</v>
      </c>
      <c r="AC947">
        <v>14.1694</v>
      </c>
      <c r="AD947">
        <v>12.970599999999999</v>
      </c>
      <c r="AE947">
        <v>12.970599999999999</v>
      </c>
      <c r="AF947" t="s">
        <v>183</v>
      </c>
      <c r="AG947" t="s">
        <v>183</v>
      </c>
      <c r="AH947" t="s">
        <v>3894</v>
      </c>
      <c r="AI947" t="s">
        <v>3894</v>
      </c>
      <c r="AJ947" t="s">
        <v>3895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3896</v>
      </c>
      <c r="AT947" t="s">
        <v>3890</v>
      </c>
      <c r="AU947" t="s">
        <v>4815</v>
      </c>
      <c r="AV947" t="s">
        <v>3898</v>
      </c>
      <c r="AW947">
        <v>2</v>
      </c>
      <c r="AX947">
        <v>0</v>
      </c>
    </row>
    <row r="948" spans="1:50" x14ac:dyDescent="0.25">
      <c r="A948" t="s">
        <v>4972</v>
      </c>
      <c r="B948" t="s">
        <v>4004</v>
      </c>
      <c r="C948" t="s">
        <v>3890</v>
      </c>
      <c r="D948">
        <v>28.475999999999999</v>
      </c>
      <c r="E948">
        <v>28.454999999999998</v>
      </c>
      <c r="F948" s="2">
        <v>1E-3</v>
      </c>
      <c r="G948" t="s">
        <v>2624</v>
      </c>
      <c r="H948" t="s">
        <v>2627</v>
      </c>
      <c r="I948">
        <v>440529.67509999999</v>
      </c>
      <c r="J948">
        <v>1827885.0608999999</v>
      </c>
      <c r="K948">
        <v>440550.42509999999</v>
      </c>
      <c r="L948">
        <v>1827884.9859</v>
      </c>
      <c r="M948" t="s">
        <v>56</v>
      </c>
      <c r="N948" t="s">
        <v>57</v>
      </c>
      <c r="O948">
        <v>600</v>
      </c>
      <c r="P948" t="s">
        <v>58</v>
      </c>
      <c r="Q948" t="s">
        <v>3892</v>
      </c>
      <c r="R948" t="s">
        <v>844</v>
      </c>
      <c r="S948" t="s">
        <v>2455</v>
      </c>
      <c r="T948" t="s">
        <v>448</v>
      </c>
      <c r="U948">
        <v>7.4999999999999997E-2</v>
      </c>
      <c r="V948">
        <v>0</v>
      </c>
      <c r="W948" t="s">
        <v>52</v>
      </c>
      <c r="X948">
        <v>1.585</v>
      </c>
      <c r="Y948">
        <v>1.7408999999999999</v>
      </c>
      <c r="Z948">
        <v>1.6162000000000001</v>
      </c>
      <c r="AA948">
        <v>1.5854999999999999</v>
      </c>
      <c r="AB948">
        <v>20.75</v>
      </c>
      <c r="AC948">
        <v>20.75</v>
      </c>
      <c r="AD948">
        <v>19.550999999999998</v>
      </c>
      <c r="AE948">
        <v>19.550999999999998</v>
      </c>
      <c r="AF948" t="s">
        <v>4973</v>
      </c>
      <c r="AG948" t="s">
        <v>4973</v>
      </c>
      <c r="AH948" t="s">
        <v>3894</v>
      </c>
      <c r="AI948" t="s">
        <v>3894</v>
      </c>
      <c r="AJ948" t="s">
        <v>3895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3896</v>
      </c>
      <c r="AT948" t="s">
        <v>3890</v>
      </c>
      <c r="AU948" t="s">
        <v>4006</v>
      </c>
      <c r="AV948" t="s">
        <v>3898</v>
      </c>
      <c r="AW948">
        <v>2</v>
      </c>
      <c r="AX948">
        <v>0</v>
      </c>
    </row>
    <row r="949" spans="1:50" x14ac:dyDescent="0.25">
      <c r="A949" t="s">
        <v>4974</v>
      </c>
      <c r="B949" t="s">
        <v>4004</v>
      </c>
      <c r="C949" t="s">
        <v>3890</v>
      </c>
      <c r="D949">
        <v>28.41</v>
      </c>
      <c r="E949">
        <v>28.35</v>
      </c>
      <c r="F949" s="2">
        <v>1.8E-3</v>
      </c>
      <c r="G949" t="s">
        <v>2654</v>
      </c>
      <c r="H949" t="s">
        <v>2070</v>
      </c>
      <c r="I949">
        <v>440585.68099999998</v>
      </c>
      <c r="J949">
        <v>1827884.9859</v>
      </c>
      <c r="K949">
        <v>440619.58480000001</v>
      </c>
      <c r="L949">
        <v>1827884.9859</v>
      </c>
      <c r="M949" t="s">
        <v>56</v>
      </c>
      <c r="N949" t="s">
        <v>57</v>
      </c>
      <c r="O949">
        <v>600</v>
      </c>
      <c r="P949" t="s">
        <v>58</v>
      </c>
      <c r="Q949" t="s">
        <v>3892</v>
      </c>
      <c r="R949" t="s">
        <v>844</v>
      </c>
      <c r="S949" t="s">
        <v>4519</v>
      </c>
      <c r="T949" s="1" t="s">
        <v>4585</v>
      </c>
      <c r="U949">
        <v>0</v>
      </c>
      <c r="V949">
        <v>0</v>
      </c>
      <c r="W949" t="s">
        <v>52</v>
      </c>
      <c r="X949">
        <v>0.96199999999999997</v>
      </c>
      <c r="Y949">
        <v>1.3187</v>
      </c>
      <c r="Z949">
        <v>0.96199999999999997</v>
      </c>
      <c r="AA949">
        <v>-0.42499999999999999</v>
      </c>
      <c r="AB949">
        <v>33.738599999999998</v>
      </c>
      <c r="AC949">
        <v>33.738700000000001</v>
      </c>
      <c r="AD949">
        <v>33.139299999999999</v>
      </c>
      <c r="AE949">
        <v>33.139400000000002</v>
      </c>
      <c r="AF949" t="s">
        <v>2299</v>
      </c>
      <c r="AG949" t="s">
        <v>2299</v>
      </c>
      <c r="AH949" t="s">
        <v>3894</v>
      </c>
      <c r="AI949" t="s">
        <v>3894</v>
      </c>
      <c r="AJ949" t="s">
        <v>3895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3896</v>
      </c>
      <c r="AT949" t="s">
        <v>3890</v>
      </c>
      <c r="AU949" t="s">
        <v>4006</v>
      </c>
      <c r="AV949" t="s">
        <v>3898</v>
      </c>
      <c r="AW949">
        <v>3</v>
      </c>
      <c r="AX949">
        <v>0</v>
      </c>
    </row>
    <row r="950" spans="1:50" x14ac:dyDescent="0.25">
      <c r="A950" t="s">
        <v>4975</v>
      </c>
      <c r="B950" t="s">
        <v>3889</v>
      </c>
      <c r="C950" t="s">
        <v>3890</v>
      </c>
      <c r="D950">
        <v>29.295000000000002</v>
      </c>
      <c r="E950">
        <v>29.274000000000001</v>
      </c>
      <c r="F950" s="2">
        <v>1E-3</v>
      </c>
      <c r="G950" t="s">
        <v>3832</v>
      </c>
      <c r="H950" t="s">
        <v>3835</v>
      </c>
      <c r="I950">
        <v>440398.47509999998</v>
      </c>
      <c r="J950">
        <v>1827789.7609000001</v>
      </c>
      <c r="K950">
        <v>440398.47509999998</v>
      </c>
      <c r="L950">
        <v>1827769.3256999999</v>
      </c>
      <c r="M950" t="s">
        <v>56</v>
      </c>
      <c r="N950" t="s">
        <v>57</v>
      </c>
      <c r="O950">
        <v>450</v>
      </c>
      <c r="P950" t="s">
        <v>3891</v>
      </c>
      <c r="Q950" t="s">
        <v>3892</v>
      </c>
      <c r="R950" t="s">
        <v>107</v>
      </c>
      <c r="S950" t="s">
        <v>597</v>
      </c>
      <c r="T950" t="s">
        <v>3837</v>
      </c>
      <c r="U950">
        <v>-2.0000000000000001E-4</v>
      </c>
      <c r="V950">
        <v>-2.0000000000000001E-4</v>
      </c>
      <c r="W950" t="s">
        <v>52</v>
      </c>
      <c r="X950">
        <v>0.96419999999999995</v>
      </c>
      <c r="Y950">
        <v>1.4141999999999999</v>
      </c>
      <c r="Z950">
        <v>1.4141999999999999</v>
      </c>
      <c r="AA950">
        <v>0.98950000000000005</v>
      </c>
      <c r="AB950">
        <v>20.435199999999998</v>
      </c>
      <c r="AC950">
        <v>20.435199999999998</v>
      </c>
      <c r="AD950">
        <v>19.236000000000001</v>
      </c>
      <c r="AE950">
        <v>19.236000000000001</v>
      </c>
      <c r="AF950" t="s">
        <v>2233</v>
      </c>
      <c r="AG950" t="s">
        <v>2233</v>
      </c>
      <c r="AH950" t="s">
        <v>3894</v>
      </c>
      <c r="AI950" t="s">
        <v>3894</v>
      </c>
      <c r="AJ950" t="s">
        <v>3895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3896</v>
      </c>
      <c r="AT950" t="s">
        <v>3890</v>
      </c>
      <c r="AU950" t="s">
        <v>3897</v>
      </c>
      <c r="AV950" t="s">
        <v>3898</v>
      </c>
      <c r="AW950">
        <v>2</v>
      </c>
      <c r="AX950">
        <v>0</v>
      </c>
    </row>
    <row r="951" spans="1:50" x14ac:dyDescent="0.25">
      <c r="A951" t="s">
        <v>4976</v>
      </c>
      <c r="B951" t="s">
        <v>3889</v>
      </c>
      <c r="C951" t="s">
        <v>3890</v>
      </c>
      <c r="D951">
        <v>30.027000000000001</v>
      </c>
      <c r="E951">
        <v>30.009</v>
      </c>
      <c r="F951" s="2">
        <v>1E-3</v>
      </c>
      <c r="G951" t="s">
        <v>937</v>
      </c>
      <c r="H951" t="s">
        <v>941</v>
      </c>
      <c r="I951">
        <v>440314.27490000002</v>
      </c>
      <c r="J951">
        <v>1827425.1986</v>
      </c>
      <c r="K951">
        <v>440314.27490000002</v>
      </c>
      <c r="L951">
        <v>1827443.5379999999</v>
      </c>
      <c r="M951" t="s">
        <v>56</v>
      </c>
      <c r="N951" t="s">
        <v>57</v>
      </c>
      <c r="O951">
        <v>450</v>
      </c>
      <c r="P951" t="s">
        <v>3891</v>
      </c>
      <c r="Q951" t="s">
        <v>3892</v>
      </c>
      <c r="R951" t="s">
        <v>288</v>
      </c>
      <c r="S951" t="s">
        <v>4057</v>
      </c>
      <c r="T951" t="s">
        <v>943</v>
      </c>
      <c r="U951">
        <v>0.124</v>
      </c>
      <c r="V951">
        <v>0.124</v>
      </c>
      <c r="W951" t="s">
        <v>52</v>
      </c>
      <c r="X951">
        <v>0.84450000000000003</v>
      </c>
      <c r="Y951">
        <v>1.0138</v>
      </c>
      <c r="Z951">
        <v>0.86550000000000005</v>
      </c>
      <c r="AA951">
        <v>0.96740000000000004</v>
      </c>
      <c r="AB951">
        <v>18.339400000000001</v>
      </c>
      <c r="AC951">
        <v>18.339400000000001</v>
      </c>
      <c r="AD951">
        <v>17.1401</v>
      </c>
      <c r="AE951">
        <v>17.1401</v>
      </c>
      <c r="AF951" t="s">
        <v>67</v>
      </c>
      <c r="AG951" t="s">
        <v>67</v>
      </c>
      <c r="AH951" t="s">
        <v>3894</v>
      </c>
      <c r="AI951" t="s">
        <v>3894</v>
      </c>
      <c r="AJ951" t="s">
        <v>3895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3896</v>
      </c>
      <c r="AT951" t="s">
        <v>3890</v>
      </c>
      <c r="AU951" t="s">
        <v>3897</v>
      </c>
      <c r="AV951" t="s">
        <v>3898</v>
      </c>
      <c r="AW951">
        <v>2</v>
      </c>
      <c r="AX951">
        <v>0</v>
      </c>
    </row>
    <row r="952" spans="1:50" x14ac:dyDescent="0.25">
      <c r="A952" t="s">
        <v>4977</v>
      </c>
      <c r="B952" t="s">
        <v>3928</v>
      </c>
      <c r="C952" t="s">
        <v>3890</v>
      </c>
      <c r="D952">
        <v>29.355</v>
      </c>
      <c r="E952">
        <v>29.344999999999999</v>
      </c>
      <c r="F952" s="2">
        <v>8.9999999999999998E-4</v>
      </c>
      <c r="G952" t="s">
        <v>2555</v>
      </c>
      <c r="H952" t="s">
        <v>2559</v>
      </c>
      <c r="I952">
        <v>440584.46799999999</v>
      </c>
      <c r="J952">
        <v>1828047.2723000001</v>
      </c>
      <c r="K952">
        <v>440595.0001</v>
      </c>
      <c r="L952">
        <v>1828047.2723000001</v>
      </c>
      <c r="M952" t="s">
        <v>56</v>
      </c>
      <c r="N952" t="s">
        <v>57</v>
      </c>
      <c r="O952">
        <v>900</v>
      </c>
      <c r="P952" t="s">
        <v>3929</v>
      </c>
      <c r="Q952" t="s">
        <v>3930</v>
      </c>
      <c r="R952" t="s">
        <v>2502</v>
      </c>
      <c r="S952" t="s">
        <v>2557</v>
      </c>
      <c r="T952" s="1" t="s">
        <v>4978</v>
      </c>
      <c r="U952">
        <v>-0.125</v>
      </c>
      <c r="V952">
        <v>-0.125</v>
      </c>
      <c r="W952" t="s">
        <v>52</v>
      </c>
      <c r="X952">
        <v>1.2898000000000001</v>
      </c>
      <c r="Y952">
        <v>1.3583000000000001</v>
      </c>
      <c r="Z952">
        <v>1.2925</v>
      </c>
      <c r="AA952">
        <v>1.3583000000000001</v>
      </c>
      <c r="AB952">
        <v>10.5321</v>
      </c>
      <c r="AC952">
        <v>10.5321</v>
      </c>
      <c r="AD952">
        <v>9.3332999999999995</v>
      </c>
      <c r="AE952">
        <v>9.3332999999999995</v>
      </c>
      <c r="AF952" t="s">
        <v>183</v>
      </c>
      <c r="AG952" t="s">
        <v>183</v>
      </c>
      <c r="AH952" t="s">
        <v>3894</v>
      </c>
      <c r="AI952" t="s">
        <v>3894</v>
      </c>
      <c r="AJ952" t="s">
        <v>3895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3896</v>
      </c>
      <c r="AT952" t="s">
        <v>3890</v>
      </c>
      <c r="AU952" t="s">
        <v>3931</v>
      </c>
      <c r="AV952" t="s">
        <v>3898</v>
      </c>
      <c r="AW952">
        <v>2</v>
      </c>
      <c r="AX952">
        <v>0</v>
      </c>
    </row>
    <row r="953" spans="1:50" x14ac:dyDescent="0.25">
      <c r="A953" t="s">
        <v>4979</v>
      </c>
      <c r="B953" t="s">
        <v>3963</v>
      </c>
      <c r="C953" t="s">
        <v>3890</v>
      </c>
      <c r="D953">
        <v>28.581</v>
      </c>
      <c r="E953">
        <v>28.567</v>
      </c>
      <c r="F953" s="2">
        <v>1E-3</v>
      </c>
      <c r="G953" t="s">
        <v>2912</v>
      </c>
      <c r="H953" t="s">
        <v>2916</v>
      </c>
      <c r="I953">
        <v>440430.4252</v>
      </c>
      <c r="J953">
        <v>1827692.7645</v>
      </c>
      <c r="K953">
        <v>440444.15010000003</v>
      </c>
      <c r="L953">
        <v>1827692.7645</v>
      </c>
      <c r="M953" t="s">
        <v>56</v>
      </c>
      <c r="N953" t="s">
        <v>57</v>
      </c>
      <c r="O953">
        <v>600</v>
      </c>
      <c r="P953" t="s">
        <v>3891</v>
      </c>
      <c r="Q953" t="s">
        <v>3892</v>
      </c>
      <c r="R953" t="s">
        <v>1112</v>
      </c>
      <c r="S953" t="s">
        <v>2914</v>
      </c>
      <c r="T953" t="s">
        <v>2918</v>
      </c>
      <c r="U953">
        <v>-4.7199999999999999E-2</v>
      </c>
      <c r="V953">
        <v>-4.3799999999999999E-2</v>
      </c>
      <c r="W953" t="s">
        <v>52</v>
      </c>
      <c r="X953">
        <v>0.91479999999999995</v>
      </c>
      <c r="Y953">
        <v>0.95660000000000001</v>
      </c>
      <c r="Z953">
        <v>0.95660000000000001</v>
      </c>
      <c r="AA953">
        <v>0.91479999999999995</v>
      </c>
      <c r="AB953">
        <v>13.725</v>
      </c>
      <c r="AC953">
        <v>13.725</v>
      </c>
      <c r="AD953">
        <v>12.5258</v>
      </c>
      <c r="AE953">
        <v>12.5258</v>
      </c>
      <c r="AF953" t="s">
        <v>183</v>
      </c>
      <c r="AG953" t="s">
        <v>183</v>
      </c>
      <c r="AH953" t="s">
        <v>3894</v>
      </c>
      <c r="AI953" t="s">
        <v>3894</v>
      </c>
      <c r="AJ953" t="s">
        <v>3895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3896</v>
      </c>
      <c r="AT953" t="s">
        <v>3890</v>
      </c>
      <c r="AU953" t="s">
        <v>3964</v>
      </c>
      <c r="AV953" t="s">
        <v>3898</v>
      </c>
      <c r="AW953">
        <v>2</v>
      </c>
      <c r="AX953">
        <v>0</v>
      </c>
    </row>
    <row r="954" spans="1:50" x14ac:dyDescent="0.25">
      <c r="A954" t="s">
        <v>4980</v>
      </c>
      <c r="B954" t="s">
        <v>4355</v>
      </c>
      <c r="C954" t="s">
        <v>3890</v>
      </c>
      <c r="D954">
        <v>30.954999999999998</v>
      </c>
      <c r="E954">
        <v>30.943999999999999</v>
      </c>
      <c r="F954" s="2">
        <v>1E-3</v>
      </c>
      <c r="G954" t="s">
        <v>1919</v>
      </c>
      <c r="H954" t="s">
        <v>1923</v>
      </c>
      <c r="I954">
        <v>440121.94949999999</v>
      </c>
      <c r="J954">
        <v>1827853.6935000001</v>
      </c>
      <c r="K954">
        <v>440121.94949999999</v>
      </c>
      <c r="L954">
        <v>1827842.8171999999</v>
      </c>
      <c r="M954" t="s">
        <v>56</v>
      </c>
      <c r="N954" t="s">
        <v>57</v>
      </c>
      <c r="O954">
        <v>900</v>
      </c>
      <c r="P954" t="s">
        <v>3918</v>
      </c>
      <c r="Q954" t="s">
        <v>3930</v>
      </c>
      <c r="R954" t="s">
        <v>395</v>
      </c>
      <c r="S954" t="s">
        <v>4378</v>
      </c>
      <c r="T954" t="s">
        <v>853</v>
      </c>
      <c r="U954">
        <v>-0.1971</v>
      </c>
      <c r="V954">
        <v>-0.1971</v>
      </c>
      <c r="W954" t="s">
        <v>52</v>
      </c>
      <c r="X954">
        <v>0.79520000000000002</v>
      </c>
      <c r="Y954">
        <v>0.98709999999999998</v>
      </c>
      <c r="Z954">
        <v>0.82</v>
      </c>
      <c r="AA954">
        <v>0.98199999999999998</v>
      </c>
      <c r="AB954">
        <v>10.876300000000001</v>
      </c>
      <c r="AC954">
        <v>10.876300000000001</v>
      </c>
      <c r="AD954">
        <v>9.6775000000000002</v>
      </c>
      <c r="AE954">
        <v>9.6775000000000002</v>
      </c>
      <c r="AF954" t="s">
        <v>3905</v>
      </c>
      <c r="AG954" t="s">
        <v>3905</v>
      </c>
      <c r="AH954" t="s">
        <v>3894</v>
      </c>
      <c r="AI954" t="s">
        <v>3894</v>
      </c>
      <c r="AJ954" t="s">
        <v>3895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3896</v>
      </c>
      <c r="AT954" t="s">
        <v>3890</v>
      </c>
      <c r="AU954" t="s">
        <v>4357</v>
      </c>
      <c r="AV954" t="s">
        <v>3898</v>
      </c>
      <c r="AW954">
        <v>2</v>
      </c>
      <c r="AX954">
        <v>0</v>
      </c>
    </row>
    <row r="955" spans="1:50" x14ac:dyDescent="0.25">
      <c r="A955" t="s">
        <v>4981</v>
      </c>
      <c r="B955" t="s">
        <v>4813</v>
      </c>
      <c r="C955" t="s">
        <v>3890</v>
      </c>
      <c r="D955">
        <v>27.372</v>
      </c>
      <c r="E955">
        <v>27.352</v>
      </c>
      <c r="F955" s="2">
        <v>1E-3</v>
      </c>
      <c r="G955" t="s">
        <v>2080</v>
      </c>
      <c r="H955" t="s">
        <v>2085</v>
      </c>
      <c r="I955">
        <v>440217.45750000002</v>
      </c>
      <c r="J955">
        <v>1827579.0844000001</v>
      </c>
      <c r="K955">
        <v>440231.79220000003</v>
      </c>
      <c r="L955">
        <v>1827564.7497</v>
      </c>
      <c r="M955" t="s">
        <v>56</v>
      </c>
      <c r="N955" t="s">
        <v>57</v>
      </c>
      <c r="O955">
        <v>1050</v>
      </c>
      <c r="P955" t="s">
        <v>3997</v>
      </c>
      <c r="Q955" t="s">
        <v>3930</v>
      </c>
      <c r="R955" t="s">
        <v>2072</v>
      </c>
      <c r="S955" t="s">
        <v>4829</v>
      </c>
      <c r="T955" t="s">
        <v>4832</v>
      </c>
      <c r="U955">
        <v>28.822900000000001</v>
      </c>
      <c r="V955">
        <v>14.465400000000001</v>
      </c>
      <c r="W955" t="s">
        <v>52</v>
      </c>
      <c r="X955">
        <v>2.3956</v>
      </c>
      <c r="Y955">
        <v>2.5476999999999999</v>
      </c>
      <c r="Z955">
        <v>2.3956</v>
      </c>
      <c r="AA955">
        <v>2.5421</v>
      </c>
      <c r="AB955">
        <v>20.272300000000001</v>
      </c>
      <c r="AC955">
        <v>20.272300000000001</v>
      </c>
      <c r="AD955">
        <v>19.073599999999999</v>
      </c>
      <c r="AE955">
        <v>19.073699999999999</v>
      </c>
      <c r="AF955" t="s">
        <v>4982</v>
      </c>
      <c r="AG955" t="s">
        <v>4982</v>
      </c>
      <c r="AH955" t="s">
        <v>3894</v>
      </c>
      <c r="AI955" t="s">
        <v>3894</v>
      </c>
      <c r="AJ955" t="s">
        <v>3895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3896</v>
      </c>
      <c r="AT955" t="s">
        <v>3890</v>
      </c>
      <c r="AU955" t="s">
        <v>4815</v>
      </c>
      <c r="AV955" t="s">
        <v>3898</v>
      </c>
      <c r="AW955">
        <v>2</v>
      </c>
      <c r="AX955">
        <v>0</v>
      </c>
    </row>
    <row r="956" spans="1:50" x14ac:dyDescent="0.25">
      <c r="A956" t="s">
        <v>3457</v>
      </c>
      <c r="B956" t="s">
        <v>3889</v>
      </c>
      <c r="C956" t="s">
        <v>3890</v>
      </c>
      <c r="D956">
        <v>29.553999999999998</v>
      </c>
      <c r="E956">
        <v>29.54</v>
      </c>
      <c r="F956" s="2">
        <v>6.9999999999999999E-4</v>
      </c>
      <c r="G956" t="s">
        <v>3456</v>
      </c>
      <c r="H956" t="s">
        <v>104</v>
      </c>
      <c r="I956">
        <v>440398.47509999998</v>
      </c>
      <c r="J956">
        <v>1827415.7542999999</v>
      </c>
      <c r="K956">
        <v>440398.47509999998</v>
      </c>
      <c r="L956">
        <v>1827434.4476999999</v>
      </c>
      <c r="M956" t="s">
        <v>56</v>
      </c>
      <c r="N956" t="s">
        <v>57</v>
      </c>
      <c r="O956">
        <v>450</v>
      </c>
      <c r="P956" t="s">
        <v>3891</v>
      </c>
      <c r="Q956" t="s">
        <v>3892</v>
      </c>
      <c r="R956" t="s">
        <v>107</v>
      </c>
      <c r="S956" t="s">
        <v>3458</v>
      </c>
      <c r="T956" t="s">
        <v>108</v>
      </c>
      <c r="U956">
        <v>-2.0000000000000001E-4</v>
      </c>
      <c r="V956">
        <v>-2.0000000000000001E-4</v>
      </c>
      <c r="W956" t="s">
        <v>52</v>
      </c>
      <c r="X956">
        <v>0.85329999999999995</v>
      </c>
      <c r="Y956">
        <v>1.0415000000000001</v>
      </c>
      <c r="Z956">
        <v>0.94120000000000004</v>
      </c>
      <c r="AA956">
        <v>1.0307999999999999</v>
      </c>
      <c r="AB956">
        <v>18.693300000000001</v>
      </c>
      <c r="AC956">
        <v>18.693300000000001</v>
      </c>
      <c r="AD956">
        <v>17.4939</v>
      </c>
      <c r="AE956">
        <v>17.4939</v>
      </c>
      <c r="AF956" t="s">
        <v>67</v>
      </c>
      <c r="AG956" t="s">
        <v>67</v>
      </c>
      <c r="AH956" t="s">
        <v>3894</v>
      </c>
      <c r="AI956" t="s">
        <v>3894</v>
      </c>
      <c r="AJ956" t="s">
        <v>3895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3896</v>
      </c>
      <c r="AT956" t="s">
        <v>3890</v>
      </c>
      <c r="AU956" t="s">
        <v>3897</v>
      </c>
      <c r="AV956" t="s">
        <v>3898</v>
      </c>
      <c r="AW956">
        <v>2</v>
      </c>
      <c r="AX956">
        <v>0</v>
      </c>
    </row>
    <row r="957" spans="1:50" x14ac:dyDescent="0.25">
      <c r="A957" t="s">
        <v>4983</v>
      </c>
      <c r="B957" t="s">
        <v>3889</v>
      </c>
      <c r="C957" t="s">
        <v>3890</v>
      </c>
      <c r="D957">
        <v>31.975000000000001</v>
      </c>
      <c r="E957">
        <v>31.957000000000001</v>
      </c>
      <c r="F957" s="2">
        <v>1E-3</v>
      </c>
      <c r="G957" t="s">
        <v>1362</v>
      </c>
      <c r="H957" t="s">
        <v>384</v>
      </c>
      <c r="I957">
        <v>440053.7745</v>
      </c>
      <c r="J957">
        <v>1827799.3092</v>
      </c>
      <c r="K957">
        <v>440053.7745</v>
      </c>
      <c r="L957">
        <v>1827780.6348000001</v>
      </c>
      <c r="M957" t="s">
        <v>56</v>
      </c>
      <c r="N957" t="s">
        <v>57</v>
      </c>
      <c r="O957">
        <v>450</v>
      </c>
      <c r="P957" t="s">
        <v>3891</v>
      </c>
      <c r="Q957" t="s">
        <v>3892</v>
      </c>
      <c r="R957" t="s">
        <v>381</v>
      </c>
      <c r="S957" t="s">
        <v>1364</v>
      </c>
      <c r="T957" t="s">
        <v>386</v>
      </c>
      <c r="U957">
        <v>-1.1000000000000001E-3</v>
      </c>
      <c r="V957">
        <v>-6.6E-3</v>
      </c>
      <c r="W957" t="s">
        <v>52</v>
      </c>
      <c r="X957">
        <v>1.0048999999999999</v>
      </c>
      <c r="Y957">
        <v>1.0270999999999999</v>
      </c>
      <c r="Z957">
        <v>1.0048999999999999</v>
      </c>
      <c r="AA957">
        <v>1.0270999999999999</v>
      </c>
      <c r="AB957">
        <v>18.674399999999999</v>
      </c>
      <c r="AC957">
        <v>18.674399999999999</v>
      </c>
      <c r="AD957">
        <v>17.475000000000001</v>
      </c>
      <c r="AE957">
        <v>17.475000000000001</v>
      </c>
      <c r="AF957" t="s">
        <v>2233</v>
      </c>
      <c r="AG957" t="s">
        <v>2233</v>
      </c>
      <c r="AH957" t="s">
        <v>3894</v>
      </c>
      <c r="AI957" t="s">
        <v>3894</v>
      </c>
      <c r="AJ957" t="s">
        <v>3895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3896</v>
      </c>
      <c r="AT957" t="s">
        <v>3890</v>
      </c>
      <c r="AU957" t="s">
        <v>3897</v>
      </c>
      <c r="AV957" t="s">
        <v>3898</v>
      </c>
      <c r="AW957">
        <v>2</v>
      </c>
      <c r="AX957">
        <v>0</v>
      </c>
    </row>
    <row r="958" spans="1:50" x14ac:dyDescent="0.25">
      <c r="A958" t="s">
        <v>4984</v>
      </c>
      <c r="B958" t="s">
        <v>4004</v>
      </c>
      <c r="C958" t="s">
        <v>3890</v>
      </c>
      <c r="D958">
        <v>28.193000000000001</v>
      </c>
      <c r="E958">
        <v>28.175999999999998</v>
      </c>
      <c r="F958" s="2">
        <v>6.9999999999999999E-4</v>
      </c>
      <c r="G958" t="s">
        <v>2809</v>
      </c>
      <c r="H958" t="s">
        <v>2070</v>
      </c>
      <c r="I958">
        <v>440595.19549999997</v>
      </c>
      <c r="J958">
        <v>1827778.6007000001</v>
      </c>
      <c r="K958">
        <v>440620.6985</v>
      </c>
      <c r="L958">
        <v>1827778.6007000001</v>
      </c>
      <c r="M958" t="s">
        <v>56</v>
      </c>
      <c r="N958" t="s">
        <v>57</v>
      </c>
      <c r="O958">
        <v>600</v>
      </c>
      <c r="P958" t="s">
        <v>58</v>
      </c>
      <c r="Q958" t="s">
        <v>3892</v>
      </c>
      <c r="R958" t="s">
        <v>200</v>
      </c>
      <c r="S958" s="1" t="s">
        <v>4896</v>
      </c>
      <c r="T958" s="1" t="s">
        <v>4960</v>
      </c>
      <c r="U958">
        <v>1.1900000000000001E-2</v>
      </c>
      <c r="V958">
        <v>3.3E-3</v>
      </c>
      <c r="W958" t="s">
        <v>52</v>
      </c>
      <c r="X958">
        <v>1.0758000000000001</v>
      </c>
      <c r="Y958">
        <v>1.3664000000000001</v>
      </c>
      <c r="Z958">
        <v>1.2689999999999999</v>
      </c>
      <c r="AA958">
        <v>1.0758000000000001</v>
      </c>
      <c r="AB958">
        <v>25.5031</v>
      </c>
      <c r="AC958">
        <v>25.5031</v>
      </c>
      <c r="AD958">
        <v>24.903300000000002</v>
      </c>
      <c r="AE958">
        <v>24.903300000000002</v>
      </c>
      <c r="AF958" t="s">
        <v>183</v>
      </c>
      <c r="AG958" t="s">
        <v>183</v>
      </c>
      <c r="AH958" t="s">
        <v>3894</v>
      </c>
      <c r="AI958" t="s">
        <v>3894</v>
      </c>
      <c r="AJ958" t="s">
        <v>3895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3896</v>
      </c>
      <c r="AT958" t="s">
        <v>3890</v>
      </c>
      <c r="AU958" t="s">
        <v>4006</v>
      </c>
      <c r="AV958" t="s">
        <v>3898</v>
      </c>
      <c r="AW958">
        <v>3</v>
      </c>
      <c r="AX958">
        <v>0</v>
      </c>
    </row>
    <row r="959" spans="1:50" x14ac:dyDescent="0.25">
      <c r="A959" t="s">
        <v>4985</v>
      </c>
      <c r="B959" t="s">
        <v>4004</v>
      </c>
      <c r="C959" t="s">
        <v>3890</v>
      </c>
      <c r="D959">
        <v>28.388000000000002</v>
      </c>
      <c r="E959">
        <v>28.367999999999999</v>
      </c>
      <c r="F959" s="2">
        <v>1E-3</v>
      </c>
      <c r="G959" t="s">
        <v>221</v>
      </c>
      <c r="H959" t="s">
        <v>2733</v>
      </c>
      <c r="I959">
        <v>440571.11200000002</v>
      </c>
      <c r="J959">
        <v>1827769.0507</v>
      </c>
      <c r="K959">
        <v>440591.74530000001</v>
      </c>
      <c r="L959">
        <v>1827769.0507</v>
      </c>
      <c r="M959" t="s">
        <v>56</v>
      </c>
      <c r="N959" t="s">
        <v>57</v>
      </c>
      <c r="O959">
        <v>600</v>
      </c>
      <c r="P959" t="s">
        <v>58</v>
      </c>
      <c r="Q959" t="s">
        <v>3892</v>
      </c>
      <c r="R959" t="s">
        <v>205</v>
      </c>
      <c r="S959" t="s">
        <v>223</v>
      </c>
      <c r="T959" s="1" t="s">
        <v>4959</v>
      </c>
      <c r="U959">
        <v>0</v>
      </c>
      <c r="V959">
        <v>0</v>
      </c>
      <c r="W959" t="s">
        <v>52</v>
      </c>
      <c r="X959">
        <v>1.0649999999999999</v>
      </c>
      <c r="Y959">
        <v>1.1331</v>
      </c>
      <c r="Z959">
        <v>1.0649999999999999</v>
      </c>
      <c r="AA959">
        <v>1.1331</v>
      </c>
      <c r="AB959">
        <v>20.633299999999998</v>
      </c>
      <c r="AC959">
        <v>20.633299999999998</v>
      </c>
      <c r="AD959">
        <v>19.434200000000001</v>
      </c>
      <c r="AE959">
        <v>19.434200000000001</v>
      </c>
      <c r="AF959" t="s">
        <v>183</v>
      </c>
      <c r="AG959" t="s">
        <v>183</v>
      </c>
      <c r="AH959" t="s">
        <v>3894</v>
      </c>
      <c r="AI959" t="s">
        <v>3894</v>
      </c>
      <c r="AJ959" t="s">
        <v>3895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3896</v>
      </c>
      <c r="AT959" t="s">
        <v>3890</v>
      </c>
      <c r="AU959" t="s">
        <v>4006</v>
      </c>
      <c r="AV959" t="s">
        <v>3898</v>
      </c>
      <c r="AW959">
        <v>2</v>
      </c>
      <c r="AX959">
        <v>0</v>
      </c>
    </row>
    <row r="960" spans="1:50" x14ac:dyDescent="0.25">
      <c r="A960" t="s">
        <v>4986</v>
      </c>
      <c r="B960" t="s">
        <v>3889</v>
      </c>
      <c r="C960" t="s">
        <v>3890</v>
      </c>
      <c r="D960">
        <v>30.009</v>
      </c>
      <c r="E960">
        <v>29.99</v>
      </c>
      <c r="F960" s="2">
        <v>1E-3</v>
      </c>
      <c r="G960" t="s">
        <v>941</v>
      </c>
      <c r="H960" t="s">
        <v>286</v>
      </c>
      <c r="I960">
        <v>440314.27490000002</v>
      </c>
      <c r="J960">
        <v>1827443.5379999999</v>
      </c>
      <c r="K960">
        <v>440314.27490000002</v>
      </c>
      <c r="L960">
        <v>1827462.58</v>
      </c>
      <c r="M960" t="s">
        <v>56</v>
      </c>
      <c r="N960" t="s">
        <v>57</v>
      </c>
      <c r="O960">
        <v>450</v>
      </c>
      <c r="P960" t="s">
        <v>3891</v>
      </c>
      <c r="Q960" t="s">
        <v>3892</v>
      </c>
      <c r="R960" t="s">
        <v>288</v>
      </c>
      <c r="S960" t="s">
        <v>943</v>
      </c>
      <c r="T960" t="s">
        <v>289</v>
      </c>
      <c r="U960">
        <v>0.124</v>
      </c>
      <c r="V960">
        <v>0.124</v>
      </c>
      <c r="W960" t="s">
        <v>52</v>
      </c>
      <c r="X960">
        <v>0.89480000000000004</v>
      </c>
      <c r="Y960">
        <v>0.96740000000000004</v>
      </c>
      <c r="Z960">
        <v>0.96740000000000004</v>
      </c>
      <c r="AA960">
        <v>0.89480000000000004</v>
      </c>
      <c r="AB960">
        <v>19.041899999999998</v>
      </c>
      <c r="AC960">
        <v>19.041899999999998</v>
      </c>
      <c r="AD960">
        <v>17.842600000000001</v>
      </c>
      <c r="AE960">
        <v>17.842600000000001</v>
      </c>
      <c r="AF960" t="s">
        <v>67</v>
      </c>
      <c r="AG960" t="s">
        <v>67</v>
      </c>
      <c r="AH960" t="s">
        <v>3894</v>
      </c>
      <c r="AI960" t="s">
        <v>3894</v>
      </c>
      <c r="AJ960" t="s">
        <v>3895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3896</v>
      </c>
      <c r="AT960" t="s">
        <v>3890</v>
      </c>
      <c r="AU960" t="s">
        <v>3897</v>
      </c>
      <c r="AV960" t="s">
        <v>3898</v>
      </c>
      <c r="AW960">
        <v>2</v>
      </c>
      <c r="AX960">
        <v>0</v>
      </c>
    </row>
    <row r="961" spans="1:50" x14ac:dyDescent="0.25">
      <c r="A961" t="s">
        <v>4987</v>
      </c>
      <c r="B961" t="s">
        <v>4004</v>
      </c>
      <c r="C961" t="s">
        <v>3890</v>
      </c>
      <c r="D961">
        <v>28.454999999999998</v>
      </c>
      <c r="E961">
        <v>28.437000000000001</v>
      </c>
      <c r="F961" s="2">
        <v>1E-3</v>
      </c>
      <c r="G961" t="s">
        <v>2627</v>
      </c>
      <c r="H961" t="s">
        <v>2630</v>
      </c>
      <c r="I961">
        <v>440550.42509999999</v>
      </c>
      <c r="J961">
        <v>1827884.9859</v>
      </c>
      <c r="K961">
        <v>440568.5673</v>
      </c>
      <c r="L961">
        <v>1827884.9859</v>
      </c>
      <c r="M961" t="s">
        <v>56</v>
      </c>
      <c r="N961" t="s">
        <v>57</v>
      </c>
      <c r="O961">
        <v>600</v>
      </c>
      <c r="P961" t="s">
        <v>58</v>
      </c>
      <c r="Q961" t="s">
        <v>3892</v>
      </c>
      <c r="R961" t="s">
        <v>844</v>
      </c>
      <c r="S961" t="s">
        <v>448</v>
      </c>
      <c r="T961" t="s">
        <v>2632</v>
      </c>
      <c r="U961">
        <v>0</v>
      </c>
      <c r="V961">
        <v>0</v>
      </c>
      <c r="W961" t="s">
        <v>52</v>
      </c>
      <c r="X961">
        <v>1.3989</v>
      </c>
      <c r="Y961">
        <v>1.5854999999999999</v>
      </c>
      <c r="Z961">
        <v>1.5854999999999999</v>
      </c>
      <c r="AA961">
        <v>1.3989</v>
      </c>
      <c r="AB961">
        <v>18.142199999999999</v>
      </c>
      <c r="AC961">
        <v>18.142199999999999</v>
      </c>
      <c r="AD961">
        <v>16.943000000000001</v>
      </c>
      <c r="AE961">
        <v>16.943000000000001</v>
      </c>
      <c r="AF961" t="s">
        <v>3899</v>
      </c>
      <c r="AG961" t="s">
        <v>3899</v>
      </c>
      <c r="AH961" t="s">
        <v>3894</v>
      </c>
      <c r="AI961" t="s">
        <v>3894</v>
      </c>
      <c r="AJ961" t="s">
        <v>3895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3896</v>
      </c>
      <c r="AT961" t="s">
        <v>3890</v>
      </c>
      <c r="AU961" t="s">
        <v>4006</v>
      </c>
      <c r="AV961" t="s">
        <v>3898</v>
      </c>
      <c r="AW961">
        <v>2</v>
      </c>
      <c r="AX961">
        <v>0</v>
      </c>
    </row>
    <row r="962" spans="1:50" x14ac:dyDescent="0.25">
      <c r="A962" t="s">
        <v>4988</v>
      </c>
      <c r="B962" t="s">
        <v>3889</v>
      </c>
      <c r="C962" t="s">
        <v>3890</v>
      </c>
      <c r="D962">
        <v>29.01</v>
      </c>
      <c r="E962">
        <v>28.951000000000001</v>
      </c>
      <c r="F962" s="2">
        <v>3.0000000000000001E-3</v>
      </c>
      <c r="G962" t="s">
        <v>3842</v>
      </c>
      <c r="H962" t="s">
        <v>3845</v>
      </c>
      <c r="I962">
        <v>440398.47509999998</v>
      </c>
      <c r="J962">
        <v>1827729.7609000001</v>
      </c>
      <c r="K962">
        <v>440398.47509999998</v>
      </c>
      <c r="L962">
        <v>1827709.7609000001</v>
      </c>
      <c r="M962" t="s">
        <v>56</v>
      </c>
      <c r="N962" t="s">
        <v>57</v>
      </c>
      <c r="O962">
        <v>450</v>
      </c>
      <c r="P962" t="s">
        <v>3891</v>
      </c>
      <c r="Q962" t="s">
        <v>3892</v>
      </c>
      <c r="R962" t="s">
        <v>107</v>
      </c>
      <c r="S962" t="s">
        <v>424</v>
      </c>
      <c r="T962" t="s">
        <v>420</v>
      </c>
      <c r="U962">
        <v>-2.0000000000000001E-4</v>
      </c>
      <c r="V962">
        <v>-2.0000000000000001E-4</v>
      </c>
      <c r="W962" t="s">
        <v>52</v>
      </c>
      <c r="X962">
        <v>0.88139999999999996</v>
      </c>
      <c r="Y962">
        <v>1.0537000000000001</v>
      </c>
      <c r="Z962">
        <v>1.0537000000000001</v>
      </c>
      <c r="AA962">
        <v>0.88139999999999996</v>
      </c>
      <c r="AB962">
        <v>20</v>
      </c>
      <c r="AC962">
        <v>20.0001</v>
      </c>
      <c r="AD962">
        <v>18.802099999999999</v>
      </c>
      <c r="AE962">
        <v>18.802099999999999</v>
      </c>
      <c r="AF962" t="s">
        <v>2233</v>
      </c>
      <c r="AG962" t="s">
        <v>2233</v>
      </c>
      <c r="AH962" t="s">
        <v>3894</v>
      </c>
      <c r="AI962" t="s">
        <v>3894</v>
      </c>
      <c r="AJ962" t="s">
        <v>3895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3896</v>
      </c>
      <c r="AT962" t="s">
        <v>3890</v>
      </c>
      <c r="AU962" t="s">
        <v>3897</v>
      </c>
      <c r="AV962" t="s">
        <v>3898</v>
      </c>
      <c r="AW962">
        <v>2</v>
      </c>
      <c r="AX962">
        <v>0</v>
      </c>
    </row>
    <row r="963" spans="1:50" x14ac:dyDescent="0.25">
      <c r="A963" t="s">
        <v>4989</v>
      </c>
      <c r="B963" t="s">
        <v>4010</v>
      </c>
      <c r="C963" t="s">
        <v>3890</v>
      </c>
      <c r="D963">
        <v>31.405000000000001</v>
      </c>
      <c r="E963">
        <v>31.385000000000002</v>
      </c>
      <c r="F963" s="2">
        <v>1E-3</v>
      </c>
      <c r="G963" t="s">
        <v>1831</v>
      </c>
      <c r="H963" t="s">
        <v>1834</v>
      </c>
      <c r="I963">
        <v>440121.92450000002</v>
      </c>
      <c r="J963">
        <v>1828082.8171999999</v>
      </c>
      <c r="K963">
        <v>440121.92450000002</v>
      </c>
      <c r="L963">
        <v>1828062.8171999999</v>
      </c>
      <c r="M963" t="s">
        <v>56</v>
      </c>
      <c r="N963" t="s">
        <v>57</v>
      </c>
      <c r="O963">
        <v>900</v>
      </c>
      <c r="P963" t="s">
        <v>109</v>
      </c>
      <c r="Q963" t="s">
        <v>3919</v>
      </c>
      <c r="R963" t="s">
        <v>395</v>
      </c>
      <c r="S963" t="s">
        <v>432</v>
      </c>
      <c r="T963" t="s">
        <v>428</v>
      </c>
      <c r="U963">
        <v>-0.1721</v>
      </c>
      <c r="V963">
        <v>-0.1721</v>
      </c>
      <c r="W963" t="s">
        <v>52</v>
      </c>
      <c r="X963">
        <v>1.8149</v>
      </c>
      <c r="Y963">
        <v>1.9164000000000001</v>
      </c>
      <c r="Z963">
        <v>1.9164000000000001</v>
      </c>
      <c r="AA963">
        <v>1.8149</v>
      </c>
      <c r="AB963">
        <v>20</v>
      </c>
      <c r="AC963">
        <v>20</v>
      </c>
      <c r="AD963">
        <v>18.801200000000001</v>
      </c>
      <c r="AE963">
        <v>18.801200000000001</v>
      </c>
      <c r="AF963" t="s">
        <v>2233</v>
      </c>
      <c r="AG963" t="s">
        <v>2233</v>
      </c>
      <c r="AH963" t="s">
        <v>3894</v>
      </c>
      <c r="AI963" t="s">
        <v>3894</v>
      </c>
      <c r="AJ963" t="s">
        <v>3895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3896</v>
      </c>
      <c r="AT963" t="s">
        <v>3890</v>
      </c>
      <c r="AU963" t="s">
        <v>4012</v>
      </c>
      <c r="AV963" t="s">
        <v>3898</v>
      </c>
      <c r="AW963">
        <v>2</v>
      </c>
      <c r="AX963">
        <v>0</v>
      </c>
    </row>
    <row r="964" spans="1:50" x14ac:dyDescent="0.25">
      <c r="A964" t="s">
        <v>4990</v>
      </c>
      <c r="B964" t="s">
        <v>4355</v>
      </c>
      <c r="C964" t="s">
        <v>3890</v>
      </c>
      <c r="D964">
        <v>28.076000000000001</v>
      </c>
      <c r="E964">
        <v>28.056000000000001</v>
      </c>
      <c r="F964" s="2">
        <v>1E-3</v>
      </c>
      <c r="G964" t="s">
        <v>1174</v>
      </c>
      <c r="H964" t="s">
        <v>1178</v>
      </c>
      <c r="I964">
        <v>440217.49979999999</v>
      </c>
      <c r="J964">
        <v>1827681.8171000001</v>
      </c>
      <c r="K964">
        <v>440217.49979999999</v>
      </c>
      <c r="L964">
        <v>1827661.8171000001</v>
      </c>
      <c r="M964" t="s">
        <v>56</v>
      </c>
      <c r="N964" t="s">
        <v>57</v>
      </c>
      <c r="O964">
        <v>900</v>
      </c>
      <c r="P964" t="s">
        <v>3918</v>
      </c>
      <c r="Q964" t="s">
        <v>3930</v>
      </c>
      <c r="R964" t="s">
        <v>151</v>
      </c>
      <c r="S964" t="s">
        <v>1176</v>
      </c>
      <c r="T964" t="s">
        <v>1180</v>
      </c>
      <c r="U964">
        <v>5.6300000000000003E-2</v>
      </c>
      <c r="V964">
        <v>4.5400000000000003E-2</v>
      </c>
      <c r="W964" t="s">
        <v>52</v>
      </c>
      <c r="X964">
        <v>2.4201000000000001</v>
      </c>
      <c r="Y964">
        <v>2.4967000000000001</v>
      </c>
      <c r="Z964">
        <v>2.4967000000000001</v>
      </c>
      <c r="AA964">
        <v>2.4201000000000001</v>
      </c>
      <c r="AB964">
        <v>20</v>
      </c>
      <c r="AC964">
        <v>20</v>
      </c>
      <c r="AD964">
        <v>18.801200000000001</v>
      </c>
      <c r="AE964">
        <v>18.801300000000001</v>
      </c>
      <c r="AF964" t="s">
        <v>2233</v>
      </c>
      <c r="AG964" t="s">
        <v>2233</v>
      </c>
      <c r="AH964" t="s">
        <v>3894</v>
      </c>
      <c r="AI964" t="s">
        <v>3894</v>
      </c>
      <c r="AJ964" t="s">
        <v>3895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3896</v>
      </c>
      <c r="AT964" t="s">
        <v>3890</v>
      </c>
      <c r="AU964" t="s">
        <v>4357</v>
      </c>
      <c r="AV964" t="s">
        <v>3898</v>
      </c>
      <c r="AW964">
        <v>2</v>
      </c>
      <c r="AX964">
        <v>0</v>
      </c>
    </row>
    <row r="965" spans="1:50" x14ac:dyDescent="0.25">
      <c r="A965" t="s">
        <v>4991</v>
      </c>
      <c r="B965" t="s">
        <v>3933</v>
      </c>
      <c r="C965" t="s">
        <v>3890</v>
      </c>
      <c r="D965">
        <v>31.408999999999999</v>
      </c>
      <c r="E965">
        <v>31.388999999999999</v>
      </c>
      <c r="F965" s="2">
        <v>1E-3</v>
      </c>
      <c r="G965" t="s">
        <v>985</v>
      </c>
      <c r="H965" t="s">
        <v>989</v>
      </c>
      <c r="I965">
        <v>440217.59980000003</v>
      </c>
      <c r="J965">
        <v>1828021.8171000001</v>
      </c>
      <c r="K965">
        <v>440217.59980000003</v>
      </c>
      <c r="L965">
        <v>1828001.8171000001</v>
      </c>
      <c r="M965" t="s">
        <v>56</v>
      </c>
      <c r="N965" t="s">
        <v>57</v>
      </c>
      <c r="O965">
        <v>750</v>
      </c>
      <c r="P965" t="s">
        <v>58</v>
      </c>
      <c r="Q965" t="s">
        <v>3919</v>
      </c>
      <c r="R965" t="s">
        <v>151</v>
      </c>
      <c r="S965" t="s">
        <v>987</v>
      </c>
      <c r="T965" t="s">
        <v>991</v>
      </c>
      <c r="U965">
        <v>0.1411</v>
      </c>
      <c r="V965">
        <v>0.1303</v>
      </c>
      <c r="W965" t="s">
        <v>52</v>
      </c>
      <c r="X965">
        <v>1.0561</v>
      </c>
      <c r="Y965">
        <v>1.1327</v>
      </c>
      <c r="Z965">
        <v>1.1327</v>
      </c>
      <c r="AA965">
        <v>1.0561</v>
      </c>
      <c r="AB965">
        <v>20</v>
      </c>
      <c r="AC965">
        <v>20</v>
      </c>
      <c r="AD965">
        <v>18.800999999999998</v>
      </c>
      <c r="AE965">
        <v>18.801100000000002</v>
      </c>
      <c r="AF965" t="s">
        <v>2233</v>
      </c>
      <c r="AG965" t="s">
        <v>2233</v>
      </c>
      <c r="AH965" t="s">
        <v>3894</v>
      </c>
      <c r="AI965" t="s">
        <v>3894</v>
      </c>
      <c r="AJ965" t="s">
        <v>3895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3896</v>
      </c>
      <c r="AT965" t="s">
        <v>3890</v>
      </c>
      <c r="AU965" t="s">
        <v>3935</v>
      </c>
      <c r="AV965" t="s">
        <v>3898</v>
      </c>
      <c r="AW965">
        <v>2</v>
      </c>
      <c r="AX965">
        <v>0</v>
      </c>
    </row>
    <row r="966" spans="1:50" x14ac:dyDescent="0.25">
      <c r="A966" t="s">
        <v>4992</v>
      </c>
      <c r="B966" t="s">
        <v>4010</v>
      </c>
      <c r="C966" t="s">
        <v>3890</v>
      </c>
      <c r="D966">
        <v>31.364999999999998</v>
      </c>
      <c r="E966">
        <v>31.344999999999999</v>
      </c>
      <c r="F966" s="2">
        <v>1E-3</v>
      </c>
      <c r="G966" t="s">
        <v>1837</v>
      </c>
      <c r="H966" t="s">
        <v>1840</v>
      </c>
      <c r="I966">
        <v>440121.92450000002</v>
      </c>
      <c r="J966">
        <v>1828042.8171999999</v>
      </c>
      <c r="K966">
        <v>440121.92450000002</v>
      </c>
      <c r="L966">
        <v>1828022.8171999999</v>
      </c>
      <c r="M966" t="s">
        <v>56</v>
      </c>
      <c r="N966" t="s">
        <v>57</v>
      </c>
      <c r="O966">
        <v>900</v>
      </c>
      <c r="P966" t="s">
        <v>109</v>
      </c>
      <c r="Q966" t="s">
        <v>3919</v>
      </c>
      <c r="R966" t="s">
        <v>395</v>
      </c>
      <c r="S966" t="s">
        <v>424</v>
      </c>
      <c r="T966" t="s">
        <v>420</v>
      </c>
      <c r="U966">
        <v>-0.1721</v>
      </c>
      <c r="V966">
        <v>-0.1721</v>
      </c>
      <c r="W966" t="s">
        <v>52</v>
      </c>
      <c r="X966">
        <v>1.6119000000000001</v>
      </c>
      <c r="Y966">
        <v>1.7134</v>
      </c>
      <c r="Z966">
        <v>1.7134</v>
      </c>
      <c r="AA966">
        <v>1.6119000000000001</v>
      </c>
      <c r="AB966">
        <v>20</v>
      </c>
      <c r="AC966">
        <v>20</v>
      </c>
      <c r="AD966">
        <v>18.801200000000001</v>
      </c>
      <c r="AE966">
        <v>18.801200000000001</v>
      </c>
      <c r="AF966" t="s">
        <v>2233</v>
      </c>
      <c r="AG966" t="s">
        <v>2233</v>
      </c>
      <c r="AH966" t="s">
        <v>3894</v>
      </c>
      <c r="AI966" t="s">
        <v>3894</v>
      </c>
      <c r="AJ966" t="s">
        <v>3895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3896</v>
      </c>
      <c r="AT966" t="s">
        <v>3890</v>
      </c>
      <c r="AU966" t="s">
        <v>4012</v>
      </c>
      <c r="AV966" t="s">
        <v>3898</v>
      </c>
      <c r="AW966">
        <v>2</v>
      </c>
      <c r="AX966">
        <v>0</v>
      </c>
    </row>
    <row r="967" spans="1:50" x14ac:dyDescent="0.25">
      <c r="A967" t="s">
        <v>4993</v>
      </c>
      <c r="B967" t="s">
        <v>3889</v>
      </c>
      <c r="C967" t="s">
        <v>3890</v>
      </c>
      <c r="D967">
        <v>28.126000000000001</v>
      </c>
      <c r="E967">
        <v>28.065999999999999</v>
      </c>
      <c r="F967" s="2">
        <v>3.0000000000000001E-3</v>
      </c>
      <c r="G967" t="s">
        <v>2818</v>
      </c>
      <c r="H967" t="s">
        <v>2815</v>
      </c>
      <c r="I967">
        <v>440595.27510000003</v>
      </c>
      <c r="J967">
        <v>1827678.2394999999</v>
      </c>
      <c r="K967">
        <v>440595.27510000003</v>
      </c>
      <c r="L967">
        <v>1827658.2394999999</v>
      </c>
      <c r="M967" t="s">
        <v>56</v>
      </c>
      <c r="N967" t="s">
        <v>57</v>
      </c>
      <c r="O967">
        <v>450</v>
      </c>
      <c r="P967" t="s">
        <v>3891</v>
      </c>
      <c r="Q967" t="s">
        <v>3892</v>
      </c>
      <c r="R967" t="s">
        <v>797</v>
      </c>
      <c r="S967" t="s">
        <v>452</v>
      </c>
      <c r="T967" t="s">
        <v>448</v>
      </c>
      <c r="U967">
        <v>3.3099999999999997E-2</v>
      </c>
      <c r="V967">
        <v>3.3099999999999997E-2</v>
      </c>
      <c r="W967" t="s">
        <v>52</v>
      </c>
      <c r="X967">
        <v>0.88190000000000002</v>
      </c>
      <c r="Y967">
        <v>0.90129999999999999</v>
      </c>
      <c r="Z967">
        <v>0.90129999999999999</v>
      </c>
      <c r="AA967">
        <v>0.88200000000000001</v>
      </c>
      <c r="AB967">
        <v>20</v>
      </c>
      <c r="AC967">
        <v>20.0001</v>
      </c>
      <c r="AD967">
        <v>18.802099999999999</v>
      </c>
      <c r="AE967">
        <v>18.802199999999999</v>
      </c>
      <c r="AF967" t="s">
        <v>3905</v>
      </c>
      <c r="AG967" t="s">
        <v>3905</v>
      </c>
      <c r="AH967" t="s">
        <v>3894</v>
      </c>
      <c r="AI967" t="s">
        <v>3894</v>
      </c>
      <c r="AJ967" t="s">
        <v>3895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3896</v>
      </c>
      <c r="AT967" t="s">
        <v>3890</v>
      </c>
      <c r="AU967" t="s">
        <v>3897</v>
      </c>
      <c r="AV967" t="s">
        <v>3898</v>
      </c>
      <c r="AW967">
        <v>2</v>
      </c>
      <c r="AX967">
        <v>0</v>
      </c>
    </row>
    <row r="968" spans="1:50" x14ac:dyDescent="0.25">
      <c r="A968" t="s">
        <v>4994</v>
      </c>
      <c r="B968" t="s">
        <v>3889</v>
      </c>
      <c r="C968" t="s">
        <v>3890</v>
      </c>
      <c r="D968">
        <v>28.065999999999999</v>
      </c>
      <c r="E968">
        <v>28.015000000000001</v>
      </c>
      <c r="F968" s="2">
        <v>2.5000000000000001E-3</v>
      </c>
      <c r="G968" t="s">
        <v>2815</v>
      </c>
      <c r="H968" t="s">
        <v>2812</v>
      </c>
      <c r="I968">
        <v>440595.27510000003</v>
      </c>
      <c r="J968">
        <v>1827658.2394999999</v>
      </c>
      <c r="K968">
        <v>440595.27510000003</v>
      </c>
      <c r="L968">
        <v>1827638.2394999999</v>
      </c>
      <c r="M968" t="s">
        <v>56</v>
      </c>
      <c r="N968" t="s">
        <v>57</v>
      </c>
      <c r="O968">
        <v>450</v>
      </c>
      <c r="P968" t="s">
        <v>3891</v>
      </c>
      <c r="Q968" t="s">
        <v>3892</v>
      </c>
      <c r="R968" t="s">
        <v>797</v>
      </c>
      <c r="S968" t="s">
        <v>448</v>
      </c>
      <c r="T968" t="s">
        <v>444</v>
      </c>
      <c r="U968">
        <v>3.3099999999999997E-2</v>
      </c>
      <c r="V968">
        <v>3.3099999999999997E-2</v>
      </c>
      <c r="W968" t="s">
        <v>52</v>
      </c>
      <c r="X968">
        <v>0.88139999999999996</v>
      </c>
      <c r="Y968">
        <v>0.88229999999999997</v>
      </c>
      <c r="Z968">
        <v>0.88200000000000001</v>
      </c>
      <c r="AA968">
        <v>0.88229999999999997</v>
      </c>
      <c r="AB968">
        <v>20</v>
      </c>
      <c r="AC968">
        <v>20.0001</v>
      </c>
      <c r="AD968">
        <v>18.8018</v>
      </c>
      <c r="AE968">
        <v>18.8018</v>
      </c>
      <c r="AF968" t="s">
        <v>3905</v>
      </c>
      <c r="AG968" t="s">
        <v>3905</v>
      </c>
      <c r="AH968" t="s">
        <v>3894</v>
      </c>
      <c r="AI968" t="s">
        <v>3894</v>
      </c>
      <c r="AJ968" t="s">
        <v>3895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3896</v>
      </c>
      <c r="AT968" t="s">
        <v>3890</v>
      </c>
      <c r="AU968" t="s">
        <v>3897</v>
      </c>
      <c r="AV968" t="s">
        <v>3898</v>
      </c>
      <c r="AW968">
        <v>2</v>
      </c>
      <c r="AX968">
        <v>0</v>
      </c>
    </row>
    <row r="969" spans="1:50" x14ac:dyDescent="0.25">
      <c r="A969" t="s">
        <v>4995</v>
      </c>
      <c r="B969" t="s">
        <v>3889</v>
      </c>
      <c r="C969" t="s">
        <v>3890</v>
      </c>
      <c r="D969">
        <v>29.335000000000001</v>
      </c>
      <c r="E969">
        <v>29.315000000000001</v>
      </c>
      <c r="F969" s="2">
        <v>1E-3</v>
      </c>
      <c r="G969" t="s">
        <v>2974</v>
      </c>
      <c r="H969" t="s">
        <v>2977</v>
      </c>
      <c r="I969">
        <v>440387.3751</v>
      </c>
      <c r="J969">
        <v>1827849.7609000001</v>
      </c>
      <c r="K969">
        <v>440387.3751</v>
      </c>
      <c r="L969">
        <v>1827829.7609000001</v>
      </c>
      <c r="M969" t="s">
        <v>56</v>
      </c>
      <c r="N969" t="s">
        <v>57</v>
      </c>
      <c r="O969">
        <v>450</v>
      </c>
      <c r="P969" t="s">
        <v>3891</v>
      </c>
      <c r="Q969" t="s">
        <v>3892</v>
      </c>
      <c r="R969" t="s">
        <v>117</v>
      </c>
      <c r="S969" t="s">
        <v>448</v>
      </c>
      <c r="T969" t="s">
        <v>444</v>
      </c>
      <c r="U969">
        <v>3.6400000000000002E-2</v>
      </c>
      <c r="V969">
        <v>3.6400000000000002E-2</v>
      </c>
      <c r="W969" t="s">
        <v>52</v>
      </c>
      <c r="X969">
        <v>1.3008999999999999</v>
      </c>
      <c r="Y969">
        <v>1.4946999999999999</v>
      </c>
      <c r="Z969">
        <v>1.3008999999999999</v>
      </c>
      <c r="AA969">
        <v>1.4946999999999999</v>
      </c>
      <c r="AB969">
        <v>20</v>
      </c>
      <c r="AC969">
        <v>20</v>
      </c>
      <c r="AD969">
        <v>18.800699999999999</v>
      </c>
      <c r="AE969">
        <v>18.800699999999999</v>
      </c>
      <c r="AF969" t="s">
        <v>2233</v>
      </c>
      <c r="AG969" t="s">
        <v>2233</v>
      </c>
      <c r="AH969" t="s">
        <v>3894</v>
      </c>
      <c r="AI969" t="s">
        <v>3894</v>
      </c>
      <c r="AJ969" t="s">
        <v>3895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3896</v>
      </c>
      <c r="AT969" t="s">
        <v>3890</v>
      </c>
      <c r="AU969" t="s">
        <v>3897</v>
      </c>
      <c r="AV969" t="s">
        <v>3898</v>
      </c>
      <c r="AW969">
        <v>2</v>
      </c>
      <c r="AX969">
        <v>0</v>
      </c>
    </row>
    <row r="970" spans="1:50" x14ac:dyDescent="0.25">
      <c r="A970" t="s">
        <v>4996</v>
      </c>
      <c r="B970" t="s">
        <v>3963</v>
      </c>
      <c r="C970" t="s">
        <v>3890</v>
      </c>
      <c r="D970">
        <v>29.254999999999999</v>
      </c>
      <c r="E970">
        <v>29.234999999999999</v>
      </c>
      <c r="F970" s="2">
        <v>1E-3</v>
      </c>
      <c r="G970" t="s">
        <v>2986</v>
      </c>
      <c r="H970" t="s">
        <v>2989</v>
      </c>
      <c r="I970">
        <v>440387.45010000002</v>
      </c>
      <c r="J970">
        <v>1827769.7609000001</v>
      </c>
      <c r="K970">
        <v>440387.45010000002</v>
      </c>
      <c r="L970">
        <v>1827749.7609000001</v>
      </c>
      <c r="M970" t="s">
        <v>56</v>
      </c>
      <c r="N970" t="s">
        <v>57</v>
      </c>
      <c r="O970">
        <v>600</v>
      </c>
      <c r="P970" t="s">
        <v>3891</v>
      </c>
      <c r="Q970" t="s">
        <v>3892</v>
      </c>
      <c r="R970" t="s">
        <v>117</v>
      </c>
      <c r="S970" t="s">
        <v>432</v>
      </c>
      <c r="T970" t="s">
        <v>428</v>
      </c>
      <c r="U970">
        <v>-3.8600000000000002E-2</v>
      </c>
      <c r="V970">
        <v>-3.8600000000000002E-2</v>
      </c>
      <c r="W970" t="s">
        <v>52</v>
      </c>
      <c r="X970">
        <v>1.0424</v>
      </c>
      <c r="Y970">
        <v>1.2375</v>
      </c>
      <c r="Z970">
        <v>1.2375</v>
      </c>
      <c r="AA970">
        <v>1.0424</v>
      </c>
      <c r="AB970">
        <v>20</v>
      </c>
      <c r="AC970">
        <v>20</v>
      </c>
      <c r="AD970">
        <v>18.800799999999999</v>
      </c>
      <c r="AE970">
        <v>18.800899999999999</v>
      </c>
      <c r="AF970" t="s">
        <v>2233</v>
      </c>
      <c r="AG970" t="s">
        <v>2233</v>
      </c>
      <c r="AH970" t="s">
        <v>3894</v>
      </c>
      <c r="AI970" t="s">
        <v>3894</v>
      </c>
      <c r="AJ970" t="s">
        <v>3895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3896</v>
      </c>
      <c r="AT970" t="s">
        <v>3890</v>
      </c>
      <c r="AU970" t="s">
        <v>3964</v>
      </c>
      <c r="AV970" t="s">
        <v>3898</v>
      </c>
      <c r="AW970">
        <v>2</v>
      </c>
      <c r="AX970">
        <v>0</v>
      </c>
    </row>
    <row r="971" spans="1:50" x14ac:dyDescent="0.25">
      <c r="A971" t="s">
        <v>4997</v>
      </c>
      <c r="B971" t="s">
        <v>3963</v>
      </c>
      <c r="C971" t="s">
        <v>3890</v>
      </c>
      <c r="D971">
        <v>29.274999999999999</v>
      </c>
      <c r="E971">
        <v>29.254999999999999</v>
      </c>
      <c r="F971" s="2">
        <v>1E-3</v>
      </c>
      <c r="G971" t="s">
        <v>2983</v>
      </c>
      <c r="H971" t="s">
        <v>2986</v>
      </c>
      <c r="I971">
        <v>440387.45010000002</v>
      </c>
      <c r="J971">
        <v>1827789.7609000001</v>
      </c>
      <c r="K971">
        <v>440387.45010000002</v>
      </c>
      <c r="L971">
        <v>1827769.7609000001</v>
      </c>
      <c r="M971" t="s">
        <v>56</v>
      </c>
      <c r="N971" t="s">
        <v>57</v>
      </c>
      <c r="O971">
        <v>600</v>
      </c>
      <c r="P971" t="s">
        <v>3891</v>
      </c>
      <c r="Q971" t="s">
        <v>3892</v>
      </c>
      <c r="R971" t="s">
        <v>117</v>
      </c>
      <c r="S971" t="s">
        <v>597</v>
      </c>
      <c r="T971" t="s">
        <v>432</v>
      </c>
      <c r="U971">
        <v>-3.8600000000000002E-2</v>
      </c>
      <c r="V971">
        <v>-3.8600000000000002E-2</v>
      </c>
      <c r="W971" t="s">
        <v>52</v>
      </c>
      <c r="X971">
        <v>1.2375</v>
      </c>
      <c r="Y971">
        <v>1.4327000000000001</v>
      </c>
      <c r="Z971">
        <v>1.4327000000000001</v>
      </c>
      <c r="AA971">
        <v>1.2375</v>
      </c>
      <c r="AB971">
        <v>20</v>
      </c>
      <c r="AC971">
        <v>20</v>
      </c>
      <c r="AD971">
        <v>18.800799999999999</v>
      </c>
      <c r="AE971">
        <v>18.800899999999999</v>
      </c>
      <c r="AF971" t="s">
        <v>2233</v>
      </c>
      <c r="AG971" t="s">
        <v>2233</v>
      </c>
      <c r="AH971" t="s">
        <v>3894</v>
      </c>
      <c r="AI971" t="s">
        <v>3894</v>
      </c>
      <c r="AJ971" t="s">
        <v>3895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3896</v>
      </c>
      <c r="AT971" t="s">
        <v>3890</v>
      </c>
      <c r="AU971" t="s">
        <v>3964</v>
      </c>
      <c r="AV971" t="s">
        <v>3898</v>
      </c>
      <c r="AW971">
        <v>2</v>
      </c>
      <c r="AX971">
        <v>0</v>
      </c>
    </row>
    <row r="972" spans="1:50" x14ac:dyDescent="0.25">
      <c r="A972" t="s">
        <v>4998</v>
      </c>
      <c r="B972" t="s">
        <v>3963</v>
      </c>
      <c r="C972" t="s">
        <v>3890</v>
      </c>
      <c r="D972">
        <v>31.872</v>
      </c>
      <c r="E972">
        <v>31.852</v>
      </c>
      <c r="F972" s="2">
        <v>1E-3</v>
      </c>
      <c r="G972" t="s">
        <v>1740</v>
      </c>
      <c r="H972" t="s">
        <v>1743</v>
      </c>
      <c r="I972">
        <v>440053.69949999999</v>
      </c>
      <c r="J972">
        <v>1828002.8171000001</v>
      </c>
      <c r="K972">
        <v>440053.69949999999</v>
      </c>
      <c r="L972">
        <v>1828022.8171000001</v>
      </c>
      <c r="M972" t="s">
        <v>56</v>
      </c>
      <c r="N972" t="s">
        <v>57</v>
      </c>
      <c r="O972">
        <v>600</v>
      </c>
      <c r="P972" t="s">
        <v>3891</v>
      </c>
      <c r="Q972" t="s">
        <v>3892</v>
      </c>
      <c r="R972" t="s">
        <v>502</v>
      </c>
      <c r="S972" t="s">
        <v>416</v>
      </c>
      <c r="T972" t="s">
        <v>420</v>
      </c>
      <c r="U972">
        <v>8.6499999999999994E-2</v>
      </c>
      <c r="V972">
        <v>8.6499999999999994E-2</v>
      </c>
      <c r="W972" t="s">
        <v>52</v>
      </c>
      <c r="X972">
        <v>1.6867000000000001</v>
      </c>
      <c r="Y972">
        <v>1.9467000000000001</v>
      </c>
      <c r="Z972">
        <v>1.6867000000000001</v>
      </c>
      <c r="AA972">
        <v>1.9467000000000001</v>
      </c>
      <c r="AB972">
        <v>20</v>
      </c>
      <c r="AC972">
        <v>20</v>
      </c>
      <c r="AD972">
        <v>18.800799999999999</v>
      </c>
      <c r="AE972">
        <v>18.800899999999999</v>
      </c>
      <c r="AF972" t="s">
        <v>67</v>
      </c>
      <c r="AG972" t="s">
        <v>67</v>
      </c>
      <c r="AH972" t="s">
        <v>3894</v>
      </c>
      <c r="AI972" t="s">
        <v>3894</v>
      </c>
      <c r="AJ972" t="s">
        <v>3895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3896</v>
      </c>
      <c r="AT972" t="s">
        <v>3890</v>
      </c>
      <c r="AU972" t="s">
        <v>3964</v>
      </c>
      <c r="AV972" t="s">
        <v>3898</v>
      </c>
      <c r="AW972">
        <v>2</v>
      </c>
      <c r="AX972">
        <v>0</v>
      </c>
    </row>
    <row r="973" spans="1:50" x14ac:dyDescent="0.25">
      <c r="A973" t="s">
        <v>4999</v>
      </c>
      <c r="B973" t="s">
        <v>3963</v>
      </c>
      <c r="C973" t="s">
        <v>3890</v>
      </c>
      <c r="D973">
        <v>31.891999999999999</v>
      </c>
      <c r="E973">
        <v>31.872</v>
      </c>
      <c r="F973" s="2">
        <v>1E-3</v>
      </c>
      <c r="G973" t="s">
        <v>1737</v>
      </c>
      <c r="H973" t="s">
        <v>1740</v>
      </c>
      <c r="I973">
        <v>440053.69949999999</v>
      </c>
      <c r="J973">
        <v>1827982.8171000001</v>
      </c>
      <c r="K973">
        <v>440053.69949999999</v>
      </c>
      <c r="L973">
        <v>1828002.8171000001</v>
      </c>
      <c r="M973" t="s">
        <v>56</v>
      </c>
      <c r="N973" t="s">
        <v>57</v>
      </c>
      <c r="O973">
        <v>600</v>
      </c>
      <c r="P973" t="s">
        <v>3891</v>
      </c>
      <c r="Q973" t="s">
        <v>3892</v>
      </c>
      <c r="R973" t="s">
        <v>502</v>
      </c>
      <c r="S973" t="s">
        <v>529</v>
      </c>
      <c r="T973" t="s">
        <v>416</v>
      </c>
      <c r="U973">
        <v>8.6499999999999994E-2</v>
      </c>
      <c r="V973">
        <v>8.6499999999999994E-2</v>
      </c>
      <c r="W973" t="s">
        <v>52</v>
      </c>
      <c r="X973">
        <v>1.4267000000000001</v>
      </c>
      <c r="Y973">
        <v>1.6867000000000001</v>
      </c>
      <c r="Z973">
        <v>1.4267000000000001</v>
      </c>
      <c r="AA973">
        <v>1.6867000000000001</v>
      </c>
      <c r="AB973">
        <v>20</v>
      </c>
      <c r="AC973">
        <v>20</v>
      </c>
      <c r="AD973">
        <v>18.800799999999999</v>
      </c>
      <c r="AE973">
        <v>18.800899999999999</v>
      </c>
      <c r="AF973" t="s">
        <v>67</v>
      </c>
      <c r="AG973" t="s">
        <v>67</v>
      </c>
      <c r="AH973" t="s">
        <v>3894</v>
      </c>
      <c r="AI973" t="s">
        <v>3894</v>
      </c>
      <c r="AJ973" t="s">
        <v>3895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3896</v>
      </c>
      <c r="AT973" t="s">
        <v>3890</v>
      </c>
      <c r="AU973" t="s">
        <v>3964</v>
      </c>
      <c r="AV973" t="s">
        <v>3898</v>
      </c>
      <c r="AW973">
        <v>2</v>
      </c>
      <c r="AX973">
        <v>0</v>
      </c>
    </row>
    <row r="974" spans="1:50" x14ac:dyDescent="0.25">
      <c r="A974" t="s">
        <v>5000</v>
      </c>
      <c r="B974" t="s">
        <v>3889</v>
      </c>
      <c r="C974" t="s">
        <v>3890</v>
      </c>
      <c r="D974">
        <v>31.885000000000002</v>
      </c>
      <c r="E974">
        <v>31.864999999999998</v>
      </c>
      <c r="F974" s="2">
        <v>1E-3</v>
      </c>
      <c r="G974" t="s">
        <v>1712</v>
      </c>
      <c r="H974" t="s">
        <v>1715</v>
      </c>
      <c r="I974">
        <v>440044.07449999999</v>
      </c>
      <c r="J974">
        <v>1828002.8171000001</v>
      </c>
      <c r="K974">
        <v>440044.07449999999</v>
      </c>
      <c r="L974">
        <v>1828022.8171000001</v>
      </c>
      <c r="M974" t="s">
        <v>56</v>
      </c>
      <c r="N974" t="s">
        <v>57</v>
      </c>
      <c r="O974">
        <v>450</v>
      </c>
      <c r="P974" t="s">
        <v>3891</v>
      </c>
      <c r="Q974" t="s">
        <v>3892</v>
      </c>
      <c r="R974" t="s">
        <v>489</v>
      </c>
      <c r="S974" t="s">
        <v>416</v>
      </c>
      <c r="T974" t="s">
        <v>420</v>
      </c>
      <c r="U974">
        <v>0.15</v>
      </c>
      <c r="V974">
        <v>0.15</v>
      </c>
      <c r="W974" t="s">
        <v>52</v>
      </c>
      <c r="X974">
        <v>1.6752</v>
      </c>
      <c r="Y974">
        <v>1.9352</v>
      </c>
      <c r="Z974">
        <v>1.6752</v>
      </c>
      <c r="AA974">
        <v>1.9352</v>
      </c>
      <c r="AB974">
        <v>20</v>
      </c>
      <c r="AC974">
        <v>20</v>
      </c>
      <c r="AD974">
        <v>18.800699999999999</v>
      </c>
      <c r="AE974">
        <v>18.800699999999999</v>
      </c>
      <c r="AF974" t="s">
        <v>67</v>
      </c>
      <c r="AG974" t="s">
        <v>67</v>
      </c>
      <c r="AH974" t="s">
        <v>3894</v>
      </c>
      <c r="AI974" t="s">
        <v>3894</v>
      </c>
      <c r="AJ974" t="s">
        <v>3895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3896</v>
      </c>
      <c r="AT974" t="s">
        <v>3890</v>
      </c>
      <c r="AU974" t="s">
        <v>3897</v>
      </c>
      <c r="AV974" t="s">
        <v>3898</v>
      </c>
      <c r="AW974">
        <v>2</v>
      </c>
      <c r="AX974">
        <v>0</v>
      </c>
    </row>
    <row r="975" spans="1:50" x14ac:dyDescent="0.25">
      <c r="A975" t="s">
        <v>5001</v>
      </c>
      <c r="B975" t="s">
        <v>3889</v>
      </c>
      <c r="C975" t="s">
        <v>3890</v>
      </c>
      <c r="D975">
        <v>31.905000000000001</v>
      </c>
      <c r="E975">
        <v>31.885000000000002</v>
      </c>
      <c r="F975" s="2">
        <v>1E-3</v>
      </c>
      <c r="G975" t="s">
        <v>1709</v>
      </c>
      <c r="H975" t="s">
        <v>1712</v>
      </c>
      <c r="I975">
        <v>440044.07449999999</v>
      </c>
      <c r="J975">
        <v>1827982.8171000001</v>
      </c>
      <c r="K975">
        <v>440044.07449999999</v>
      </c>
      <c r="L975">
        <v>1828002.8171000001</v>
      </c>
      <c r="M975" t="s">
        <v>56</v>
      </c>
      <c r="N975" t="s">
        <v>57</v>
      </c>
      <c r="O975">
        <v>450</v>
      </c>
      <c r="P975" t="s">
        <v>3891</v>
      </c>
      <c r="Q975" t="s">
        <v>3892</v>
      </c>
      <c r="R975" t="s">
        <v>489</v>
      </c>
      <c r="S975" t="s">
        <v>529</v>
      </c>
      <c r="T975" t="s">
        <v>416</v>
      </c>
      <c r="U975">
        <v>0.15</v>
      </c>
      <c r="V975">
        <v>0.15</v>
      </c>
      <c r="W975" t="s">
        <v>52</v>
      </c>
      <c r="X975">
        <v>1.4152</v>
      </c>
      <c r="Y975">
        <v>1.6752</v>
      </c>
      <c r="Z975">
        <v>1.4152</v>
      </c>
      <c r="AA975">
        <v>1.6752</v>
      </c>
      <c r="AB975">
        <v>20</v>
      </c>
      <c r="AC975">
        <v>20</v>
      </c>
      <c r="AD975">
        <v>18.800699999999999</v>
      </c>
      <c r="AE975">
        <v>18.800699999999999</v>
      </c>
      <c r="AF975" t="s">
        <v>67</v>
      </c>
      <c r="AG975" t="s">
        <v>67</v>
      </c>
      <c r="AH975" t="s">
        <v>3894</v>
      </c>
      <c r="AI975" t="s">
        <v>3894</v>
      </c>
      <c r="AJ975" t="s">
        <v>3895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3896</v>
      </c>
      <c r="AT975" t="s">
        <v>3890</v>
      </c>
      <c r="AU975" t="s">
        <v>3897</v>
      </c>
      <c r="AV975" t="s">
        <v>3898</v>
      </c>
      <c r="AW975">
        <v>2</v>
      </c>
      <c r="AX975">
        <v>0</v>
      </c>
    </row>
    <row r="976" spans="1:50" x14ac:dyDescent="0.25">
      <c r="A976" t="s">
        <v>5002</v>
      </c>
      <c r="B976" t="s">
        <v>3933</v>
      </c>
      <c r="C976" t="s">
        <v>3890</v>
      </c>
      <c r="D976">
        <v>32.728999999999999</v>
      </c>
      <c r="E976">
        <v>32.709000000000003</v>
      </c>
      <c r="F976" s="2">
        <v>1E-3</v>
      </c>
      <c r="G976" t="s">
        <v>1818</v>
      </c>
      <c r="H976" t="s">
        <v>1821</v>
      </c>
      <c r="I976">
        <v>440088.22489999997</v>
      </c>
      <c r="J976">
        <v>1828102.5588</v>
      </c>
      <c r="K976">
        <v>440108.22489999997</v>
      </c>
      <c r="L976">
        <v>1828102.5588</v>
      </c>
      <c r="M976" t="s">
        <v>56</v>
      </c>
      <c r="N976" t="s">
        <v>57</v>
      </c>
      <c r="O976">
        <v>750</v>
      </c>
      <c r="P976" t="s">
        <v>58</v>
      </c>
      <c r="Q976" t="s">
        <v>3919</v>
      </c>
      <c r="R976" t="s">
        <v>1220</v>
      </c>
      <c r="S976" t="s">
        <v>432</v>
      </c>
      <c r="T976" t="s">
        <v>597</v>
      </c>
      <c r="U976">
        <v>-0.17499999999999999</v>
      </c>
      <c r="V976">
        <v>-0.17499999999999999</v>
      </c>
      <c r="W976" t="s">
        <v>52</v>
      </c>
      <c r="X976">
        <v>0.98099999999999998</v>
      </c>
      <c r="Y976">
        <v>1.0972999999999999</v>
      </c>
      <c r="Z976">
        <v>1.0972999999999999</v>
      </c>
      <c r="AA976">
        <v>0.98099999999999998</v>
      </c>
      <c r="AB976">
        <v>20</v>
      </c>
      <c r="AC976">
        <v>20</v>
      </c>
      <c r="AD976">
        <v>18.800999999999998</v>
      </c>
      <c r="AE976">
        <v>18.801100000000002</v>
      </c>
      <c r="AF976" t="s">
        <v>183</v>
      </c>
      <c r="AG976" t="s">
        <v>183</v>
      </c>
      <c r="AH976" t="s">
        <v>3894</v>
      </c>
      <c r="AI976" t="s">
        <v>3894</v>
      </c>
      <c r="AJ976" t="s">
        <v>3895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3896</v>
      </c>
      <c r="AT976" t="s">
        <v>3890</v>
      </c>
      <c r="AU976" t="s">
        <v>3935</v>
      </c>
      <c r="AV976" t="s">
        <v>3898</v>
      </c>
      <c r="AW976">
        <v>2</v>
      </c>
      <c r="AX976">
        <v>0</v>
      </c>
    </row>
    <row r="977" spans="1:50" x14ac:dyDescent="0.25">
      <c r="A977" t="s">
        <v>5003</v>
      </c>
      <c r="B977" t="s">
        <v>3889</v>
      </c>
      <c r="C977" t="s">
        <v>3890</v>
      </c>
      <c r="D977">
        <v>32.982999999999997</v>
      </c>
      <c r="E977">
        <v>32.963000000000001</v>
      </c>
      <c r="F977" s="2">
        <v>1E-3</v>
      </c>
      <c r="G977" t="s">
        <v>1805</v>
      </c>
      <c r="H977" t="s">
        <v>1807</v>
      </c>
      <c r="I977">
        <v>440053.7745</v>
      </c>
      <c r="J977">
        <v>1828162.8171000001</v>
      </c>
      <c r="K977">
        <v>440053.7745</v>
      </c>
      <c r="L977">
        <v>1828142.8171000001</v>
      </c>
      <c r="M977" t="s">
        <v>56</v>
      </c>
      <c r="N977" t="s">
        <v>57</v>
      </c>
      <c r="O977">
        <v>450</v>
      </c>
      <c r="P977" t="s">
        <v>3891</v>
      </c>
      <c r="Q977" t="s">
        <v>3892</v>
      </c>
      <c r="R977" t="s">
        <v>502</v>
      </c>
      <c r="S977" t="s">
        <v>448</v>
      </c>
      <c r="T977" t="s">
        <v>444</v>
      </c>
      <c r="U977">
        <v>1.15E-2</v>
      </c>
      <c r="V977">
        <v>1.15E-2</v>
      </c>
      <c r="W977" t="s">
        <v>52</v>
      </c>
      <c r="X977">
        <v>1.0709</v>
      </c>
      <c r="Y977">
        <v>1.1503000000000001</v>
      </c>
      <c r="Z977">
        <v>1.0709</v>
      </c>
      <c r="AA977">
        <v>1.1503000000000001</v>
      </c>
      <c r="AB977">
        <v>20</v>
      </c>
      <c r="AC977">
        <v>20</v>
      </c>
      <c r="AD977">
        <v>18.800699999999999</v>
      </c>
      <c r="AE977">
        <v>18.800699999999999</v>
      </c>
      <c r="AF977" t="s">
        <v>2233</v>
      </c>
      <c r="AG977" t="s">
        <v>2233</v>
      </c>
      <c r="AH977" t="s">
        <v>3894</v>
      </c>
      <c r="AI977" t="s">
        <v>3894</v>
      </c>
      <c r="AJ977" t="s">
        <v>3895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3896</v>
      </c>
      <c r="AT977" t="s">
        <v>3890</v>
      </c>
      <c r="AU977" t="s">
        <v>3897</v>
      </c>
      <c r="AV977" t="s">
        <v>3898</v>
      </c>
      <c r="AW977">
        <v>2</v>
      </c>
      <c r="AX977">
        <v>0</v>
      </c>
    </row>
    <row r="978" spans="1:50" x14ac:dyDescent="0.25">
      <c r="A978" t="s">
        <v>5004</v>
      </c>
      <c r="B978" t="s">
        <v>4010</v>
      </c>
      <c r="C978" t="s">
        <v>3890</v>
      </c>
      <c r="D978">
        <v>31.225000000000001</v>
      </c>
      <c r="E978">
        <v>31.204999999999998</v>
      </c>
      <c r="F978" s="2">
        <v>1E-3</v>
      </c>
      <c r="G978" t="s">
        <v>1858</v>
      </c>
      <c r="H978" t="s">
        <v>1861</v>
      </c>
      <c r="I978">
        <v>440121.92450000002</v>
      </c>
      <c r="J978">
        <v>1827902.8171999999</v>
      </c>
      <c r="K978">
        <v>440121.92450000002</v>
      </c>
      <c r="L978">
        <v>1827882.8171999999</v>
      </c>
      <c r="M978" t="s">
        <v>56</v>
      </c>
      <c r="N978" t="s">
        <v>57</v>
      </c>
      <c r="O978">
        <v>900</v>
      </c>
      <c r="P978" t="s">
        <v>109</v>
      </c>
      <c r="Q978" t="s">
        <v>3919</v>
      </c>
      <c r="R978" t="s">
        <v>395</v>
      </c>
      <c r="S978" t="s">
        <v>1061</v>
      </c>
      <c r="T978" t="s">
        <v>1065</v>
      </c>
      <c r="U978">
        <v>-0.1721</v>
      </c>
      <c r="V978">
        <v>-0.1721</v>
      </c>
      <c r="W978" t="s">
        <v>52</v>
      </c>
      <c r="X978">
        <v>1.0088999999999999</v>
      </c>
      <c r="Y978">
        <v>1.0611999999999999</v>
      </c>
      <c r="Z978">
        <v>1.0611999999999999</v>
      </c>
      <c r="AA978">
        <v>1.0088999999999999</v>
      </c>
      <c r="AB978">
        <v>20</v>
      </c>
      <c r="AC978">
        <v>20</v>
      </c>
      <c r="AD978">
        <v>18.801200000000001</v>
      </c>
      <c r="AE978">
        <v>18.801200000000001</v>
      </c>
      <c r="AF978" t="s">
        <v>2233</v>
      </c>
      <c r="AG978" t="s">
        <v>2233</v>
      </c>
      <c r="AH978" t="s">
        <v>3894</v>
      </c>
      <c r="AI978" t="s">
        <v>3894</v>
      </c>
      <c r="AJ978" t="s">
        <v>3895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3896</v>
      </c>
      <c r="AT978" t="s">
        <v>3890</v>
      </c>
      <c r="AU978" t="s">
        <v>4012</v>
      </c>
      <c r="AV978" t="s">
        <v>3898</v>
      </c>
      <c r="AW978">
        <v>2</v>
      </c>
      <c r="AX978">
        <v>0</v>
      </c>
    </row>
    <row r="979" spans="1:50" x14ac:dyDescent="0.25">
      <c r="A979" t="s">
        <v>5005</v>
      </c>
      <c r="B979" t="s">
        <v>4010</v>
      </c>
      <c r="C979" t="s">
        <v>3890</v>
      </c>
      <c r="D979">
        <v>31.245000000000001</v>
      </c>
      <c r="E979">
        <v>31.225000000000001</v>
      </c>
      <c r="F979" s="2">
        <v>1E-3</v>
      </c>
      <c r="G979" t="s">
        <v>1855</v>
      </c>
      <c r="H979" t="s">
        <v>1858</v>
      </c>
      <c r="I979">
        <v>440121.92450000002</v>
      </c>
      <c r="J979">
        <v>1827922.8171999999</v>
      </c>
      <c r="K979">
        <v>440121.92450000002</v>
      </c>
      <c r="L979">
        <v>1827902.8171999999</v>
      </c>
      <c r="M979" t="s">
        <v>56</v>
      </c>
      <c r="N979" t="s">
        <v>57</v>
      </c>
      <c r="O979">
        <v>900</v>
      </c>
      <c r="P979" t="s">
        <v>109</v>
      </c>
      <c r="Q979" t="s">
        <v>3919</v>
      </c>
      <c r="R979" t="s">
        <v>395</v>
      </c>
      <c r="S979" t="s">
        <v>1057</v>
      </c>
      <c r="T979" t="s">
        <v>1061</v>
      </c>
      <c r="U979">
        <v>-0.1721</v>
      </c>
      <c r="V979">
        <v>-0.1721</v>
      </c>
      <c r="W979" t="s">
        <v>52</v>
      </c>
      <c r="X979">
        <v>1.0611999999999999</v>
      </c>
      <c r="Y979">
        <v>1.1285000000000001</v>
      </c>
      <c r="Z979">
        <v>1.1285000000000001</v>
      </c>
      <c r="AA979">
        <v>1.0611999999999999</v>
      </c>
      <c r="AB979">
        <v>20</v>
      </c>
      <c r="AC979">
        <v>20</v>
      </c>
      <c r="AD979">
        <v>18.801200000000001</v>
      </c>
      <c r="AE979">
        <v>18.801200000000001</v>
      </c>
      <c r="AF979" t="s">
        <v>2233</v>
      </c>
      <c r="AG979" t="s">
        <v>2233</v>
      </c>
      <c r="AH979" t="s">
        <v>3894</v>
      </c>
      <c r="AI979" t="s">
        <v>3894</v>
      </c>
      <c r="AJ979" t="s">
        <v>3895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3896</v>
      </c>
      <c r="AT979" t="s">
        <v>3890</v>
      </c>
      <c r="AU979" t="s">
        <v>4012</v>
      </c>
      <c r="AV979" t="s">
        <v>3898</v>
      </c>
      <c r="AW979">
        <v>2</v>
      </c>
      <c r="AX979">
        <v>0</v>
      </c>
    </row>
    <row r="980" spans="1:50" x14ac:dyDescent="0.25">
      <c r="A980" t="s">
        <v>5006</v>
      </c>
      <c r="B980" t="s">
        <v>4010</v>
      </c>
      <c r="C980" t="s">
        <v>3890</v>
      </c>
      <c r="D980">
        <v>31.285</v>
      </c>
      <c r="E980">
        <v>31.265000000000001</v>
      </c>
      <c r="F980" s="2">
        <v>1E-3</v>
      </c>
      <c r="G980" t="s">
        <v>1849</v>
      </c>
      <c r="H980" t="s">
        <v>1852</v>
      </c>
      <c r="I980">
        <v>440121.92450000002</v>
      </c>
      <c r="J980">
        <v>1827962.8171999999</v>
      </c>
      <c r="K980">
        <v>440121.92450000002</v>
      </c>
      <c r="L980">
        <v>1827942.8171999999</v>
      </c>
      <c r="M980" t="s">
        <v>56</v>
      </c>
      <c r="N980" t="s">
        <v>57</v>
      </c>
      <c r="O980">
        <v>900</v>
      </c>
      <c r="P980" t="s">
        <v>109</v>
      </c>
      <c r="Q980" t="s">
        <v>3919</v>
      </c>
      <c r="R980" t="s">
        <v>395</v>
      </c>
      <c r="S980" t="s">
        <v>525</v>
      </c>
      <c r="T980" t="s">
        <v>1444</v>
      </c>
      <c r="U980">
        <v>-0.1721</v>
      </c>
      <c r="V980">
        <v>-0.1721</v>
      </c>
      <c r="W980" t="s">
        <v>52</v>
      </c>
      <c r="X980">
        <v>1.2107000000000001</v>
      </c>
      <c r="Y980">
        <v>1.3075000000000001</v>
      </c>
      <c r="Z980">
        <v>1.3075000000000001</v>
      </c>
      <c r="AA980">
        <v>1.2107000000000001</v>
      </c>
      <c r="AB980">
        <v>20</v>
      </c>
      <c r="AC980">
        <v>20</v>
      </c>
      <c r="AD980">
        <v>18.801200000000001</v>
      </c>
      <c r="AE980">
        <v>18.801200000000001</v>
      </c>
      <c r="AF980" t="s">
        <v>2233</v>
      </c>
      <c r="AG980" t="s">
        <v>2233</v>
      </c>
      <c r="AH980" t="s">
        <v>3894</v>
      </c>
      <c r="AI980" t="s">
        <v>3894</v>
      </c>
      <c r="AJ980" t="s">
        <v>3895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3896</v>
      </c>
      <c r="AT980" t="s">
        <v>3890</v>
      </c>
      <c r="AU980" t="s">
        <v>4012</v>
      </c>
      <c r="AV980" t="s">
        <v>3898</v>
      </c>
      <c r="AW980">
        <v>2</v>
      </c>
      <c r="AX980">
        <v>0</v>
      </c>
    </row>
    <row r="981" spans="1:50" x14ac:dyDescent="0.25">
      <c r="A981" t="s">
        <v>5007</v>
      </c>
      <c r="B981" t="s">
        <v>4010</v>
      </c>
      <c r="C981" t="s">
        <v>3890</v>
      </c>
      <c r="D981">
        <v>31.305</v>
      </c>
      <c r="E981">
        <v>31.285</v>
      </c>
      <c r="F981" s="2">
        <v>1E-3</v>
      </c>
      <c r="G981" t="s">
        <v>1846</v>
      </c>
      <c r="H981" t="s">
        <v>1849</v>
      </c>
      <c r="I981">
        <v>440121.92450000002</v>
      </c>
      <c r="J981">
        <v>1827982.8171999999</v>
      </c>
      <c r="K981">
        <v>440121.92450000002</v>
      </c>
      <c r="L981">
        <v>1827962.8171999999</v>
      </c>
      <c r="M981" t="s">
        <v>56</v>
      </c>
      <c r="N981" t="s">
        <v>57</v>
      </c>
      <c r="O981">
        <v>900</v>
      </c>
      <c r="P981" t="s">
        <v>109</v>
      </c>
      <c r="Q981" t="s">
        <v>3919</v>
      </c>
      <c r="R981" t="s">
        <v>395</v>
      </c>
      <c r="S981" t="s">
        <v>529</v>
      </c>
      <c r="T981" t="s">
        <v>525</v>
      </c>
      <c r="U981">
        <v>-0.1721</v>
      </c>
      <c r="V981">
        <v>-0.1721</v>
      </c>
      <c r="W981" t="s">
        <v>52</v>
      </c>
      <c r="X981">
        <v>1.3075000000000001</v>
      </c>
      <c r="Y981">
        <v>1.409</v>
      </c>
      <c r="Z981">
        <v>1.409</v>
      </c>
      <c r="AA981">
        <v>1.3075000000000001</v>
      </c>
      <c r="AB981">
        <v>20</v>
      </c>
      <c r="AC981">
        <v>20</v>
      </c>
      <c r="AD981">
        <v>18.801200000000001</v>
      </c>
      <c r="AE981">
        <v>18.801200000000001</v>
      </c>
      <c r="AF981" t="s">
        <v>2233</v>
      </c>
      <c r="AG981" t="s">
        <v>2233</v>
      </c>
      <c r="AH981" t="s">
        <v>3894</v>
      </c>
      <c r="AI981" t="s">
        <v>3894</v>
      </c>
      <c r="AJ981" t="s">
        <v>3895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3896</v>
      </c>
      <c r="AT981" t="s">
        <v>3890</v>
      </c>
      <c r="AU981" t="s">
        <v>4012</v>
      </c>
      <c r="AV981" t="s">
        <v>3898</v>
      </c>
      <c r="AW981">
        <v>2</v>
      </c>
      <c r="AX981">
        <v>0</v>
      </c>
    </row>
    <row r="982" spans="1:50" x14ac:dyDescent="0.25">
      <c r="A982" t="s">
        <v>5008</v>
      </c>
      <c r="B982" t="s">
        <v>3933</v>
      </c>
      <c r="C982" t="s">
        <v>3890</v>
      </c>
      <c r="D982">
        <v>31.597999999999999</v>
      </c>
      <c r="E982">
        <v>31.577999999999999</v>
      </c>
      <c r="F982" s="2">
        <v>1E-3</v>
      </c>
      <c r="G982" t="s">
        <v>1762</v>
      </c>
      <c r="H982" t="s">
        <v>1765</v>
      </c>
      <c r="I982">
        <v>440088.22489999997</v>
      </c>
      <c r="J982">
        <v>1828091.8088</v>
      </c>
      <c r="K982">
        <v>440108.22489999997</v>
      </c>
      <c r="L982">
        <v>1828091.8088</v>
      </c>
      <c r="M982" t="s">
        <v>56</v>
      </c>
      <c r="N982" t="s">
        <v>57</v>
      </c>
      <c r="O982">
        <v>750</v>
      </c>
      <c r="P982" t="s">
        <v>58</v>
      </c>
      <c r="Q982" t="s">
        <v>3919</v>
      </c>
      <c r="R982" t="s">
        <v>1234</v>
      </c>
      <c r="S982" t="s">
        <v>432</v>
      </c>
      <c r="T982" t="s">
        <v>597</v>
      </c>
      <c r="U982">
        <v>0.17499999999999999</v>
      </c>
      <c r="V982">
        <v>0.17499999999999999</v>
      </c>
      <c r="W982" t="s">
        <v>52</v>
      </c>
      <c r="X982">
        <v>2.1120000000000001</v>
      </c>
      <c r="Y982">
        <v>2.2282999999999999</v>
      </c>
      <c r="Z982">
        <v>2.2282999999999999</v>
      </c>
      <c r="AA982">
        <v>2.1120000000000001</v>
      </c>
      <c r="AB982">
        <v>20</v>
      </c>
      <c r="AC982">
        <v>20</v>
      </c>
      <c r="AD982">
        <v>18.800999999999998</v>
      </c>
      <c r="AE982">
        <v>18.801100000000002</v>
      </c>
      <c r="AF982" t="s">
        <v>183</v>
      </c>
      <c r="AG982" t="s">
        <v>183</v>
      </c>
      <c r="AH982" t="s">
        <v>3894</v>
      </c>
      <c r="AI982" t="s">
        <v>3894</v>
      </c>
      <c r="AJ982" t="s">
        <v>3895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3896</v>
      </c>
      <c r="AT982" t="s">
        <v>3890</v>
      </c>
      <c r="AU982" t="s">
        <v>3935</v>
      </c>
      <c r="AV982" t="s">
        <v>3898</v>
      </c>
      <c r="AW982">
        <v>2</v>
      </c>
      <c r="AX982">
        <v>0</v>
      </c>
    </row>
    <row r="983" spans="1:50" x14ac:dyDescent="0.25">
      <c r="A983" t="s">
        <v>5009</v>
      </c>
      <c r="B983" t="s">
        <v>3889</v>
      </c>
      <c r="C983" t="s">
        <v>3890</v>
      </c>
      <c r="D983">
        <v>29.216000000000001</v>
      </c>
      <c r="E983">
        <v>29.196000000000002</v>
      </c>
      <c r="F983" s="2">
        <v>1E-3</v>
      </c>
      <c r="G983" t="s">
        <v>2205</v>
      </c>
      <c r="H983" t="s">
        <v>2209</v>
      </c>
      <c r="I983">
        <v>440323.97489999997</v>
      </c>
      <c r="J983">
        <v>1827655.5748000001</v>
      </c>
      <c r="K983">
        <v>440323.97489999997</v>
      </c>
      <c r="L983">
        <v>1827635.5748000001</v>
      </c>
      <c r="M983" t="s">
        <v>56</v>
      </c>
      <c r="N983" t="s">
        <v>57</v>
      </c>
      <c r="O983">
        <v>450</v>
      </c>
      <c r="P983" t="s">
        <v>3891</v>
      </c>
      <c r="Q983" t="s">
        <v>3892</v>
      </c>
      <c r="R983" t="s">
        <v>161</v>
      </c>
      <c r="S983" t="s">
        <v>2207</v>
      </c>
      <c r="T983" t="s">
        <v>2211</v>
      </c>
      <c r="U983">
        <v>0</v>
      </c>
      <c r="V983">
        <v>0</v>
      </c>
      <c r="W983" t="s">
        <v>52</v>
      </c>
      <c r="X983">
        <v>1.1132</v>
      </c>
      <c r="Y983">
        <v>1.2126999999999999</v>
      </c>
      <c r="Z983">
        <v>1.1132</v>
      </c>
      <c r="AA983">
        <v>1.2126999999999999</v>
      </c>
      <c r="AB983">
        <v>20</v>
      </c>
      <c r="AC983">
        <v>20</v>
      </c>
      <c r="AD983">
        <v>18.800699999999999</v>
      </c>
      <c r="AE983">
        <v>18.800699999999999</v>
      </c>
      <c r="AF983" t="s">
        <v>2233</v>
      </c>
      <c r="AG983" t="s">
        <v>2233</v>
      </c>
      <c r="AH983" t="s">
        <v>3894</v>
      </c>
      <c r="AI983" t="s">
        <v>3894</v>
      </c>
      <c r="AJ983" t="s">
        <v>3895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3896</v>
      </c>
      <c r="AT983" t="s">
        <v>3890</v>
      </c>
      <c r="AU983" t="s">
        <v>3897</v>
      </c>
      <c r="AV983" t="s">
        <v>3898</v>
      </c>
      <c r="AW983">
        <v>2</v>
      </c>
      <c r="AX983">
        <v>0</v>
      </c>
    </row>
    <row r="984" spans="1:50" x14ac:dyDescent="0.25">
      <c r="A984" t="s">
        <v>5010</v>
      </c>
      <c r="B984" t="s">
        <v>3889</v>
      </c>
      <c r="C984" t="s">
        <v>3890</v>
      </c>
      <c r="D984">
        <v>29.236000000000001</v>
      </c>
      <c r="E984">
        <v>29.216000000000001</v>
      </c>
      <c r="F984" s="2">
        <v>1E-3</v>
      </c>
      <c r="G984" t="s">
        <v>2201</v>
      </c>
      <c r="H984" t="s">
        <v>2205</v>
      </c>
      <c r="I984">
        <v>440323.97489999997</v>
      </c>
      <c r="J984">
        <v>1827675.5748000001</v>
      </c>
      <c r="K984">
        <v>440323.97489999997</v>
      </c>
      <c r="L984">
        <v>1827655.5748000001</v>
      </c>
      <c r="M984" t="s">
        <v>56</v>
      </c>
      <c r="N984" t="s">
        <v>57</v>
      </c>
      <c r="O984">
        <v>450</v>
      </c>
      <c r="P984" t="s">
        <v>3891</v>
      </c>
      <c r="Q984" t="s">
        <v>3892</v>
      </c>
      <c r="R984" t="s">
        <v>161</v>
      </c>
      <c r="S984" t="s">
        <v>2203</v>
      </c>
      <c r="T984" t="s">
        <v>2207</v>
      </c>
      <c r="U984">
        <v>0</v>
      </c>
      <c r="V984">
        <v>0</v>
      </c>
      <c r="W984" t="s">
        <v>52</v>
      </c>
      <c r="X984">
        <v>1.0568</v>
      </c>
      <c r="Y984">
        <v>1.1132</v>
      </c>
      <c r="Z984">
        <v>1.0568</v>
      </c>
      <c r="AA984">
        <v>1.1132</v>
      </c>
      <c r="AB984">
        <v>20</v>
      </c>
      <c r="AC984">
        <v>20</v>
      </c>
      <c r="AD984">
        <v>18.800699999999999</v>
      </c>
      <c r="AE984">
        <v>18.800699999999999</v>
      </c>
      <c r="AF984" t="s">
        <v>2233</v>
      </c>
      <c r="AG984" t="s">
        <v>2233</v>
      </c>
      <c r="AH984" t="s">
        <v>3894</v>
      </c>
      <c r="AI984" t="s">
        <v>3894</v>
      </c>
      <c r="AJ984" t="s">
        <v>3895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3896</v>
      </c>
      <c r="AT984" t="s">
        <v>3890</v>
      </c>
      <c r="AU984" t="s">
        <v>3897</v>
      </c>
      <c r="AV984" t="s">
        <v>3898</v>
      </c>
      <c r="AW984">
        <v>2</v>
      </c>
      <c r="AX984">
        <v>0</v>
      </c>
    </row>
    <row r="985" spans="1:50" x14ac:dyDescent="0.25">
      <c r="A985" t="s">
        <v>5011</v>
      </c>
      <c r="B985" t="s">
        <v>3889</v>
      </c>
      <c r="C985" t="s">
        <v>3890</v>
      </c>
      <c r="D985">
        <v>32.982999999999997</v>
      </c>
      <c r="E985">
        <v>32.963000000000001</v>
      </c>
      <c r="F985" s="2">
        <v>1E-3</v>
      </c>
      <c r="G985" t="s">
        <v>1789</v>
      </c>
      <c r="H985" t="s">
        <v>1792</v>
      </c>
      <c r="I985">
        <v>440044.07449999999</v>
      </c>
      <c r="J985">
        <v>1828162.8171000001</v>
      </c>
      <c r="K985">
        <v>440044.07449999999</v>
      </c>
      <c r="L985">
        <v>1828142.8171000001</v>
      </c>
      <c r="M985" t="s">
        <v>56</v>
      </c>
      <c r="N985" t="s">
        <v>57</v>
      </c>
      <c r="O985">
        <v>450</v>
      </c>
      <c r="P985" t="s">
        <v>3891</v>
      </c>
      <c r="Q985" t="s">
        <v>3892</v>
      </c>
      <c r="R985" t="s">
        <v>489</v>
      </c>
      <c r="S985" t="s">
        <v>448</v>
      </c>
      <c r="T985" t="s">
        <v>444</v>
      </c>
      <c r="U985">
        <v>0.15</v>
      </c>
      <c r="V985">
        <v>0.15</v>
      </c>
      <c r="W985" t="s">
        <v>52</v>
      </c>
      <c r="X985">
        <v>1.0709</v>
      </c>
      <c r="Y985">
        <v>1.1503000000000001</v>
      </c>
      <c r="Z985">
        <v>1.0709</v>
      </c>
      <c r="AA985">
        <v>1.1503000000000001</v>
      </c>
      <c r="AB985">
        <v>20</v>
      </c>
      <c r="AC985">
        <v>20</v>
      </c>
      <c r="AD985">
        <v>18.800699999999999</v>
      </c>
      <c r="AE985">
        <v>18.800699999999999</v>
      </c>
      <c r="AF985" t="s">
        <v>2233</v>
      </c>
      <c r="AG985" t="s">
        <v>2233</v>
      </c>
      <c r="AH985" t="s">
        <v>3894</v>
      </c>
      <c r="AI985" t="s">
        <v>3894</v>
      </c>
      <c r="AJ985" t="s">
        <v>3895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3896</v>
      </c>
      <c r="AT985" t="s">
        <v>3890</v>
      </c>
      <c r="AU985" t="s">
        <v>3897</v>
      </c>
      <c r="AV985" t="s">
        <v>3898</v>
      </c>
      <c r="AW985">
        <v>2</v>
      </c>
      <c r="AX985">
        <v>0</v>
      </c>
    </row>
    <row r="986" spans="1:50" x14ac:dyDescent="0.25">
      <c r="A986" t="s">
        <v>5012</v>
      </c>
      <c r="B986" t="s">
        <v>3889</v>
      </c>
      <c r="C986" t="s">
        <v>3890</v>
      </c>
      <c r="D986">
        <v>31.934999999999999</v>
      </c>
      <c r="E986">
        <v>31.914999999999999</v>
      </c>
      <c r="F986" s="2">
        <v>1E-3</v>
      </c>
      <c r="G986" t="s">
        <v>1635</v>
      </c>
      <c r="H986" t="s">
        <v>1639</v>
      </c>
      <c r="I986">
        <v>440044.07449999999</v>
      </c>
      <c r="J986">
        <v>1827781.0604999999</v>
      </c>
      <c r="K986">
        <v>440044.07449999999</v>
      </c>
      <c r="L986">
        <v>1827761.0604999999</v>
      </c>
      <c r="M986" t="s">
        <v>56</v>
      </c>
      <c r="N986" t="s">
        <v>57</v>
      </c>
      <c r="O986">
        <v>450</v>
      </c>
      <c r="P986" t="s">
        <v>3891</v>
      </c>
      <c r="Q986" t="s">
        <v>3892</v>
      </c>
      <c r="R986" t="s">
        <v>390</v>
      </c>
      <c r="S986" t="s">
        <v>1637</v>
      </c>
      <c r="T986" t="s">
        <v>1641</v>
      </c>
      <c r="U986">
        <v>0.15</v>
      </c>
      <c r="V986">
        <v>0.15</v>
      </c>
      <c r="W986" t="s">
        <v>52</v>
      </c>
      <c r="X986">
        <v>1.0491999999999999</v>
      </c>
      <c r="Y986">
        <v>1.0537000000000001</v>
      </c>
      <c r="Z986">
        <v>1.0491999999999999</v>
      </c>
      <c r="AA986">
        <v>1.0521</v>
      </c>
      <c r="AB986">
        <v>20</v>
      </c>
      <c r="AC986">
        <v>20</v>
      </c>
      <c r="AD986">
        <v>18.800699999999999</v>
      </c>
      <c r="AE986">
        <v>18.800699999999999</v>
      </c>
      <c r="AF986" t="s">
        <v>2233</v>
      </c>
      <c r="AG986" t="s">
        <v>2233</v>
      </c>
      <c r="AH986" t="s">
        <v>3894</v>
      </c>
      <c r="AI986" t="s">
        <v>3894</v>
      </c>
      <c r="AJ986" t="s">
        <v>3895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3896</v>
      </c>
      <c r="AT986" t="s">
        <v>3890</v>
      </c>
      <c r="AU986" t="s">
        <v>3897</v>
      </c>
      <c r="AV986" t="s">
        <v>3898</v>
      </c>
      <c r="AW986">
        <v>2</v>
      </c>
      <c r="AX986">
        <v>0</v>
      </c>
    </row>
    <row r="987" spans="1:50" x14ac:dyDescent="0.25">
      <c r="A987" t="s">
        <v>5013</v>
      </c>
      <c r="B987" t="s">
        <v>3889</v>
      </c>
      <c r="C987" t="s">
        <v>3890</v>
      </c>
      <c r="D987">
        <v>33.216999999999999</v>
      </c>
      <c r="E987">
        <v>33.197000000000003</v>
      </c>
      <c r="F987" s="2">
        <v>1E-3</v>
      </c>
      <c r="G987" t="s">
        <v>1513</v>
      </c>
      <c r="H987" t="s">
        <v>1516</v>
      </c>
      <c r="I987">
        <v>439951.17479999998</v>
      </c>
      <c r="J987">
        <v>1828165.8171000001</v>
      </c>
      <c r="K987">
        <v>439951.17479999998</v>
      </c>
      <c r="L987">
        <v>1828145.8171000001</v>
      </c>
      <c r="M987" t="s">
        <v>56</v>
      </c>
      <c r="N987" t="s">
        <v>57</v>
      </c>
      <c r="O987">
        <v>450</v>
      </c>
      <c r="P987" t="s">
        <v>3891</v>
      </c>
      <c r="Q987" t="s">
        <v>3892</v>
      </c>
      <c r="R987" t="s">
        <v>1510</v>
      </c>
      <c r="S987" t="s">
        <v>448</v>
      </c>
      <c r="T987" t="s">
        <v>444</v>
      </c>
      <c r="U987">
        <v>0.22500000000000001</v>
      </c>
      <c r="V987">
        <v>0.22500000000000001</v>
      </c>
      <c r="W987" t="s">
        <v>52</v>
      </c>
      <c r="X987">
        <v>1.1021000000000001</v>
      </c>
      <c r="Y987">
        <v>1.2111000000000001</v>
      </c>
      <c r="Z987">
        <v>1.1021000000000001</v>
      </c>
      <c r="AA987">
        <v>1.2111000000000001</v>
      </c>
      <c r="AB987">
        <v>20</v>
      </c>
      <c r="AC987">
        <v>20</v>
      </c>
      <c r="AD987">
        <v>18.800699999999999</v>
      </c>
      <c r="AE987">
        <v>18.800699999999999</v>
      </c>
      <c r="AF987" t="s">
        <v>4011</v>
      </c>
      <c r="AG987" t="s">
        <v>4011</v>
      </c>
      <c r="AH987" t="s">
        <v>3894</v>
      </c>
      <c r="AI987" t="s">
        <v>3894</v>
      </c>
      <c r="AJ987" t="s">
        <v>3895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3896</v>
      </c>
      <c r="AT987" t="s">
        <v>3890</v>
      </c>
      <c r="AU987" t="s">
        <v>3897</v>
      </c>
      <c r="AV987" t="s">
        <v>3898</v>
      </c>
      <c r="AW987">
        <v>2</v>
      </c>
      <c r="AX987">
        <v>0</v>
      </c>
    </row>
    <row r="988" spans="1:50" x14ac:dyDescent="0.25">
      <c r="A988" t="s">
        <v>5014</v>
      </c>
      <c r="B988" t="s">
        <v>3889</v>
      </c>
      <c r="C988" t="s">
        <v>3890</v>
      </c>
      <c r="D988">
        <v>33.237000000000002</v>
      </c>
      <c r="E988">
        <v>33.216999999999999</v>
      </c>
      <c r="F988" s="2">
        <v>1E-3</v>
      </c>
      <c r="G988" t="s">
        <v>1511</v>
      </c>
      <c r="H988" t="s">
        <v>1513</v>
      </c>
      <c r="I988">
        <v>439951.17479999998</v>
      </c>
      <c r="J988">
        <v>1828185.8171000001</v>
      </c>
      <c r="K988">
        <v>439951.17479999998</v>
      </c>
      <c r="L988">
        <v>1828165.8171000001</v>
      </c>
      <c r="M988" t="s">
        <v>56</v>
      </c>
      <c r="N988" t="s">
        <v>57</v>
      </c>
      <c r="O988">
        <v>450</v>
      </c>
      <c r="P988" t="s">
        <v>3891</v>
      </c>
      <c r="Q988" t="s">
        <v>3892</v>
      </c>
      <c r="R988" t="s">
        <v>1510</v>
      </c>
      <c r="S988" t="s">
        <v>452</v>
      </c>
      <c r="T988" t="s">
        <v>448</v>
      </c>
      <c r="U988">
        <v>0.22500000000000001</v>
      </c>
      <c r="V988">
        <v>0.22500000000000001</v>
      </c>
      <c r="W988" t="s">
        <v>52</v>
      </c>
      <c r="X988">
        <v>0.99299999999999999</v>
      </c>
      <c r="Y988">
        <v>1.1021000000000001</v>
      </c>
      <c r="Z988">
        <v>0.99299999999999999</v>
      </c>
      <c r="AA988">
        <v>1.1021000000000001</v>
      </c>
      <c r="AB988">
        <v>20</v>
      </c>
      <c r="AC988">
        <v>20</v>
      </c>
      <c r="AD988">
        <v>18.800699999999999</v>
      </c>
      <c r="AE988">
        <v>18.800699999999999</v>
      </c>
      <c r="AF988" t="s">
        <v>4011</v>
      </c>
      <c r="AG988" t="s">
        <v>4011</v>
      </c>
      <c r="AH988" t="s">
        <v>3894</v>
      </c>
      <c r="AI988" t="s">
        <v>3894</v>
      </c>
      <c r="AJ988" t="s">
        <v>3895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3896</v>
      </c>
      <c r="AT988" t="s">
        <v>3890</v>
      </c>
      <c r="AU988" t="s">
        <v>3897</v>
      </c>
      <c r="AV988" t="s">
        <v>3898</v>
      </c>
      <c r="AW988">
        <v>2</v>
      </c>
      <c r="AX988">
        <v>0</v>
      </c>
    </row>
    <row r="989" spans="1:50" x14ac:dyDescent="0.25">
      <c r="A989" t="s">
        <v>5015</v>
      </c>
      <c r="B989" t="s">
        <v>3924</v>
      </c>
      <c r="C989" t="s">
        <v>3890</v>
      </c>
      <c r="D989">
        <v>33.156999999999996</v>
      </c>
      <c r="E989">
        <v>33.137</v>
      </c>
      <c r="F989" s="2">
        <v>1E-3</v>
      </c>
      <c r="G989" t="s">
        <v>1522</v>
      </c>
      <c r="H989" t="s">
        <v>1525</v>
      </c>
      <c r="I989">
        <v>439951.3248</v>
      </c>
      <c r="J989">
        <v>1828105.8171000001</v>
      </c>
      <c r="K989">
        <v>439951.3248</v>
      </c>
      <c r="L989">
        <v>1828085.8171000001</v>
      </c>
      <c r="M989" t="s">
        <v>56</v>
      </c>
      <c r="N989" t="s">
        <v>57</v>
      </c>
      <c r="O989">
        <v>750</v>
      </c>
      <c r="P989" t="s">
        <v>3891</v>
      </c>
      <c r="Q989" t="s">
        <v>3892</v>
      </c>
      <c r="R989" t="s">
        <v>1510</v>
      </c>
      <c r="S989" t="s">
        <v>597</v>
      </c>
      <c r="T989" t="s">
        <v>432</v>
      </c>
      <c r="U989">
        <v>7.4999999999999997E-2</v>
      </c>
      <c r="V989">
        <v>7.4999999999999997E-2</v>
      </c>
      <c r="W989" t="s">
        <v>52</v>
      </c>
      <c r="X989">
        <v>1.4044000000000001</v>
      </c>
      <c r="Y989">
        <v>1.4548000000000001</v>
      </c>
      <c r="Z989">
        <v>1.4044000000000001</v>
      </c>
      <c r="AA989">
        <v>1.4548000000000001</v>
      </c>
      <c r="AB989">
        <v>20</v>
      </c>
      <c r="AC989">
        <v>20</v>
      </c>
      <c r="AD989">
        <v>18.800999999999998</v>
      </c>
      <c r="AE989">
        <v>18.800999999999998</v>
      </c>
      <c r="AF989" t="s">
        <v>4011</v>
      </c>
      <c r="AG989" t="s">
        <v>4011</v>
      </c>
      <c r="AH989" t="s">
        <v>3894</v>
      </c>
      <c r="AI989" t="s">
        <v>3894</v>
      </c>
      <c r="AJ989" t="s">
        <v>3895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3896</v>
      </c>
      <c r="AT989" t="s">
        <v>3890</v>
      </c>
      <c r="AU989" t="s">
        <v>3926</v>
      </c>
      <c r="AV989" t="s">
        <v>3898</v>
      </c>
      <c r="AW989">
        <v>2</v>
      </c>
      <c r="AX989">
        <v>0</v>
      </c>
    </row>
    <row r="990" spans="1:50" x14ac:dyDescent="0.25">
      <c r="A990" t="s">
        <v>5016</v>
      </c>
      <c r="B990" t="s">
        <v>3924</v>
      </c>
      <c r="C990" t="s">
        <v>3890</v>
      </c>
      <c r="D990">
        <v>33.177</v>
      </c>
      <c r="E990">
        <v>33.156999999999996</v>
      </c>
      <c r="F990" s="2">
        <v>1E-3</v>
      </c>
      <c r="G990" t="s">
        <v>1519</v>
      </c>
      <c r="H990" t="s">
        <v>1522</v>
      </c>
      <c r="I990">
        <v>439951.3248</v>
      </c>
      <c r="J990">
        <v>1828125.8171000001</v>
      </c>
      <c r="K990">
        <v>439951.3248</v>
      </c>
      <c r="L990">
        <v>1828105.8171000001</v>
      </c>
      <c r="M990" t="s">
        <v>56</v>
      </c>
      <c r="N990" t="s">
        <v>57</v>
      </c>
      <c r="O990">
        <v>750</v>
      </c>
      <c r="P990" t="s">
        <v>3891</v>
      </c>
      <c r="Q990" t="s">
        <v>3892</v>
      </c>
      <c r="R990" t="s">
        <v>1510</v>
      </c>
      <c r="S990" t="s">
        <v>440</v>
      </c>
      <c r="T990" t="s">
        <v>597</v>
      </c>
      <c r="U990">
        <v>7.4999999999999997E-2</v>
      </c>
      <c r="V990">
        <v>7.4999999999999997E-2</v>
      </c>
      <c r="W990" t="s">
        <v>52</v>
      </c>
      <c r="X990">
        <v>1.3169999999999999</v>
      </c>
      <c r="Y990">
        <v>1.4044000000000001</v>
      </c>
      <c r="Z990">
        <v>1.3169999999999999</v>
      </c>
      <c r="AA990">
        <v>1.4044000000000001</v>
      </c>
      <c r="AB990">
        <v>20.0001</v>
      </c>
      <c r="AC990">
        <v>20.0002</v>
      </c>
      <c r="AD990">
        <v>18.800999999999998</v>
      </c>
      <c r="AE990">
        <v>18.800999999999998</v>
      </c>
      <c r="AF990" t="s">
        <v>4011</v>
      </c>
      <c r="AG990" t="s">
        <v>4011</v>
      </c>
      <c r="AH990" t="s">
        <v>3894</v>
      </c>
      <c r="AI990" t="s">
        <v>3894</v>
      </c>
      <c r="AJ990" t="s">
        <v>3895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3896</v>
      </c>
      <c r="AT990" t="s">
        <v>3890</v>
      </c>
      <c r="AU990" t="s">
        <v>3926</v>
      </c>
      <c r="AV990" t="s">
        <v>3898</v>
      </c>
      <c r="AW990">
        <v>2</v>
      </c>
      <c r="AX990">
        <v>0</v>
      </c>
    </row>
    <row r="991" spans="1:50" x14ac:dyDescent="0.25">
      <c r="A991" t="s">
        <v>5017</v>
      </c>
      <c r="B991" t="s">
        <v>3963</v>
      </c>
      <c r="C991" t="s">
        <v>3890</v>
      </c>
      <c r="D991">
        <v>29.940999999999999</v>
      </c>
      <c r="E991">
        <v>29.920999999999999</v>
      </c>
      <c r="F991" s="2">
        <v>1E-3</v>
      </c>
      <c r="G991" t="s">
        <v>1155</v>
      </c>
      <c r="H991" t="s">
        <v>1159</v>
      </c>
      <c r="I991">
        <v>440248.7499</v>
      </c>
      <c r="J991">
        <v>1827652.9</v>
      </c>
      <c r="K991">
        <v>440248.7499</v>
      </c>
      <c r="L991">
        <v>1827672.9</v>
      </c>
      <c r="M991" t="s">
        <v>56</v>
      </c>
      <c r="N991" t="s">
        <v>57</v>
      </c>
      <c r="O991">
        <v>600</v>
      </c>
      <c r="P991" t="s">
        <v>3891</v>
      </c>
      <c r="Q991" t="s">
        <v>3892</v>
      </c>
      <c r="R991" t="s">
        <v>1087</v>
      </c>
      <c r="S991" t="s">
        <v>1157</v>
      </c>
      <c r="T991" t="s">
        <v>1140</v>
      </c>
      <c r="U991">
        <v>7.4999999999999997E-2</v>
      </c>
      <c r="V991">
        <v>7.4999999999999997E-2</v>
      </c>
      <c r="W991" t="s">
        <v>52</v>
      </c>
      <c r="X991">
        <v>0.88360000000000005</v>
      </c>
      <c r="Y991">
        <v>0.89610000000000001</v>
      </c>
      <c r="Z991">
        <v>0.88400000000000001</v>
      </c>
      <c r="AA991">
        <v>0.89610000000000001</v>
      </c>
      <c r="AB991">
        <v>20</v>
      </c>
      <c r="AC991">
        <v>20</v>
      </c>
      <c r="AD991">
        <v>18.800799999999999</v>
      </c>
      <c r="AE991">
        <v>18.800899999999999</v>
      </c>
      <c r="AF991" t="s">
        <v>67</v>
      </c>
      <c r="AG991" t="s">
        <v>67</v>
      </c>
      <c r="AH991" t="s">
        <v>3894</v>
      </c>
      <c r="AI991" t="s">
        <v>3894</v>
      </c>
      <c r="AJ991" t="s">
        <v>3895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3896</v>
      </c>
      <c r="AT991" t="s">
        <v>3890</v>
      </c>
      <c r="AU991" t="s">
        <v>3964</v>
      </c>
      <c r="AV991" t="s">
        <v>3898</v>
      </c>
      <c r="AW991">
        <v>2</v>
      </c>
      <c r="AX991">
        <v>0</v>
      </c>
    </row>
    <row r="992" spans="1:50" x14ac:dyDescent="0.25">
      <c r="A992" t="s">
        <v>5018</v>
      </c>
      <c r="B992" t="s">
        <v>4065</v>
      </c>
      <c r="C992" t="s">
        <v>3890</v>
      </c>
      <c r="D992">
        <v>31.603000000000002</v>
      </c>
      <c r="E992">
        <v>31.582999999999998</v>
      </c>
      <c r="F992" s="2">
        <v>1E-3</v>
      </c>
      <c r="G992" t="s">
        <v>1255</v>
      </c>
      <c r="H992" t="s">
        <v>1259</v>
      </c>
      <c r="I992">
        <v>440198.92479999998</v>
      </c>
      <c r="J992">
        <v>1828021.8171000001</v>
      </c>
      <c r="K992">
        <v>440198.92479999998</v>
      </c>
      <c r="L992">
        <v>1828001.8171000001</v>
      </c>
      <c r="M992" t="s">
        <v>56</v>
      </c>
      <c r="N992" t="s">
        <v>57</v>
      </c>
      <c r="O992">
        <v>900</v>
      </c>
      <c r="P992" t="s">
        <v>58</v>
      </c>
      <c r="Q992" t="s">
        <v>3919</v>
      </c>
      <c r="R992" t="s">
        <v>146</v>
      </c>
      <c r="S992" t="s">
        <v>1257</v>
      </c>
      <c r="T992" t="s">
        <v>1261</v>
      </c>
      <c r="U992">
        <v>-2.5000000000000001E-2</v>
      </c>
      <c r="V992">
        <v>-2.5000000000000001E-2</v>
      </c>
      <c r="W992" t="s">
        <v>52</v>
      </c>
      <c r="X992">
        <v>0.86060000000000003</v>
      </c>
      <c r="Y992">
        <v>0.93720000000000003</v>
      </c>
      <c r="Z992">
        <v>0.93720000000000003</v>
      </c>
      <c r="AA992">
        <v>0.86060000000000003</v>
      </c>
      <c r="AB992">
        <v>20</v>
      </c>
      <c r="AC992">
        <v>20</v>
      </c>
      <c r="AD992">
        <v>18.801200000000001</v>
      </c>
      <c r="AE992">
        <v>18.801200000000001</v>
      </c>
      <c r="AF992" t="s">
        <v>2233</v>
      </c>
      <c r="AG992" t="s">
        <v>2233</v>
      </c>
      <c r="AH992" t="s">
        <v>3894</v>
      </c>
      <c r="AI992" t="s">
        <v>3894</v>
      </c>
      <c r="AJ992" t="s">
        <v>3895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3896</v>
      </c>
      <c r="AT992" t="s">
        <v>3890</v>
      </c>
      <c r="AU992" t="s">
        <v>4066</v>
      </c>
      <c r="AV992" t="s">
        <v>3898</v>
      </c>
      <c r="AW992">
        <v>2</v>
      </c>
      <c r="AX992">
        <v>0</v>
      </c>
    </row>
    <row r="993" spans="1:50" x14ac:dyDescent="0.25">
      <c r="A993" t="s">
        <v>5019</v>
      </c>
      <c r="B993" t="s">
        <v>3933</v>
      </c>
      <c r="C993" t="s">
        <v>3890</v>
      </c>
      <c r="D993">
        <v>31.623000000000001</v>
      </c>
      <c r="E993">
        <v>31.603000000000002</v>
      </c>
      <c r="F993" s="2">
        <v>1E-3</v>
      </c>
      <c r="G993" t="s">
        <v>1251</v>
      </c>
      <c r="H993" t="s">
        <v>1255</v>
      </c>
      <c r="I993">
        <v>440198.84980000003</v>
      </c>
      <c r="J993">
        <v>1828041.8171000001</v>
      </c>
      <c r="K993">
        <v>440198.84980000003</v>
      </c>
      <c r="L993">
        <v>1828021.8171000001</v>
      </c>
      <c r="M993" t="s">
        <v>56</v>
      </c>
      <c r="N993" t="s">
        <v>57</v>
      </c>
      <c r="O993">
        <v>750</v>
      </c>
      <c r="P993" t="s">
        <v>58</v>
      </c>
      <c r="Q993" t="s">
        <v>3919</v>
      </c>
      <c r="R993" t="s">
        <v>146</v>
      </c>
      <c r="S993" t="s">
        <v>1253</v>
      </c>
      <c r="T993" t="s">
        <v>1257</v>
      </c>
      <c r="U993">
        <v>0.05</v>
      </c>
      <c r="V993">
        <v>0.05</v>
      </c>
      <c r="W993" t="s">
        <v>52</v>
      </c>
      <c r="X993">
        <v>0.9325</v>
      </c>
      <c r="Y993">
        <v>0.97319999999999995</v>
      </c>
      <c r="Z993">
        <v>0.9708</v>
      </c>
      <c r="AA993">
        <v>0.93869999999999998</v>
      </c>
      <c r="AB993">
        <v>20</v>
      </c>
      <c r="AC993">
        <v>20</v>
      </c>
      <c r="AD993">
        <v>18.800999999999998</v>
      </c>
      <c r="AE993">
        <v>18.801100000000002</v>
      </c>
      <c r="AF993" t="s">
        <v>2233</v>
      </c>
      <c r="AG993" t="s">
        <v>2233</v>
      </c>
      <c r="AH993" t="s">
        <v>3894</v>
      </c>
      <c r="AI993" t="s">
        <v>3894</v>
      </c>
      <c r="AJ993" t="s">
        <v>3895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3896</v>
      </c>
      <c r="AT993" t="s">
        <v>3890</v>
      </c>
      <c r="AU993" t="s">
        <v>3935</v>
      </c>
      <c r="AV993" t="s">
        <v>3898</v>
      </c>
      <c r="AW993">
        <v>2</v>
      </c>
      <c r="AX993">
        <v>0</v>
      </c>
    </row>
    <row r="994" spans="1:50" x14ac:dyDescent="0.25">
      <c r="A994" t="s">
        <v>5020</v>
      </c>
      <c r="B994" t="s">
        <v>3963</v>
      </c>
      <c r="C994" t="s">
        <v>3890</v>
      </c>
      <c r="D994">
        <v>31.873000000000001</v>
      </c>
      <c r="E994">
        <v>31.853000000000002</v>
      </c>
      <c r="F994" s="2">
        <v>1E-3</v>
      </c>
      <c r="G994" t="s">
        <v>1212</v>
      </c>
      <c r="H994" t="s">
        <v>1215</v>
      </c>
      <c r="I994">
        <v>440198.74979999999</v>
      </c>
      <c r="J994">
        <v>1828141.8171000001</v>
      </c>
      <c r="K994">
        <v>440198.74979999999</v>
      </c>
      <c r="L994">
        <v>1828121.8171000001</v>
      </c>
      <c r="M994" t="s">
        <v>56</v>
      </c>
      <c r="N994" t="s">
        <v>57</v>
      </c>
      <c r="O994">
        <v>600</v>
      </c>
      <c r="P994" t="s">
        <v>3891</v>
      </c>
      <c r="Q994" t="s">
        <v>3892</v>
      </c>
      <c r="R994" t="s">
        <v>146</v>
      </c>
      <c r="S994" t="s">
        <v>567</v>
      </c>
      <c r="T994" t="s">
        <v>563</v>
      </c>
      <c r="U994">
        <v>0.15</v>
      </c>
      <c r="V994">
        <v>0.15</v>
      </c>
      <c r="W994" t="s">
        <v>52</v>
      </c>
      <c r="X994">
        <v>1.3288</v>
      </c>
      <c r="Y994">
        <v>1.3654999999999999</v>
      </c>
      <c r="Z994">
        <v>1.3288</v>
      </c>
      <c r="AA994">
        <v>1.3487</v>
      </c>
      <c r="AB994">
        <v>20</v>
      </c>
      <c r="AC994">
        <v>20</v>
      </c>
      <c r="AD994">
        <v>18.800799999999999</v>
      </c>
      <c r="AE994">
        <v>18.800899999999999</v>
      </c>
      <c r="AF994" t="s">
        <v>2233</v>
      </c>
      <c r="AG994" t="s">
        <v>2233</v>
      </c>
      <c r="AH994" t="s">
        <v>3894</v>
      </c>
      <c r="AI994" t="s">
        <v>3894</v>
      </c>
      <c r="AJ994" t="s">
        <v>3895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3896</v>
      </c>
      <c r="AT994" t="s">
        <v>3890</v>
      </c>
      <c r="AU994" t="s">
        <v>3964</v>
      </c>
      <c r="AV994" t="s">
        <v>3898</v>
      </c>
      <c r="AW994">
        <v>2</v>
      </c>
      <c r="AX994">
        <v>0</v>
      </c>
    </row>
    <row r="995" spans="1:50" x14ac:dyDescent="0.25">
      <c r="A995" t="s">
        <v>5021</v>
      </c>
      <c r="B995" t="s">
        <v>3889</v>
      </c>
      <c r="C995" t="s">
        <v>3890</v>
      </c>
      <c r="D995">
        <v>31.893000000000001</v>
      </c>
      <c r="E995">
        <v>31.873000000000001</v>
      </c>
      <c r="F995" s="2">
        <v>1E-3</v>
      </c>
      <c r="G995" t="s">
        <v>1209</v>
      </c>
      <c r="H995" t="s">
        <v>1212</v>
      </c>
      <c r="I995">
        <v>440198.67479999998</v>
      </c>
      <c r="J995">
        <v>1828161.8171000001</v>
      </c>
      <c r="K995">
        <v>440198.67479999998</v>
      </c>
      <c r="L995">
        <v>1828141.8171000001</v>
      </c>
      <c r="M995" t="s">
        <v>56</v>
      </c>
      <c r="N995" t="s">
        <v>57</v>
      </c>
      <c r="O995">
        <v>450</v>
      </c>
      <c r="P995" t="s">
        <v>3891</v>
      </c>
      <c r="Q995" t="s">
        <v>3892</v>
      </c>
      <c r="R995" t="s">
        <v>146</v>
      </c>
      <c r="S995" t="s">
        <v>571</v>
      </c>
      <c r="T995" t="s">
        <v>567</v>
      </c>
      <c r="U995">
        <v>0.22500000000000001</v>
      </c>
      <c r="V995">
        <v>0.22500000000000001</v>
      </c>
      <c r="W995" t="s">
        <v>52</v>
      </c>
      <c r="X995">
        <v>1.1262000000000001</v>
      </c>
      <c r="Y995">
        <v>1.3303</v>
      </c>
      <c r="Z995">
        <v>1.1262000000000001</v>
      </c>
      <c r="AA995">
        <v>1.3303</v>
      </c>
      <c r="AB995">
        <v>20</v>
      </c>
      <c r="AC995">
        <v>20</v>
      </c>
      <c r="AD995">
        <v>18.800699999999999</v>
      </c>
      <c r="AE995">
        <v>18.800699999999999</v>
      </c>
      <c r="AF995" t="s">
        <v>2233</v>
      </c>
      <c r="AG995" t="s">
        <v>2233</v>
      </c>
      <c r="AH995" t="s">
        <v>3894</v>
      </c>
      <c r="AI995" t="s">
        <v>3894</v>
      </c>
      <c r="AJ995" t="s">
        <v>3895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3896</v>
      </c>
      <c r="AT995" t="s">
        <v>3890</v>
      </c>
      <c r="AU995" t="s">
        <v>3897</v>
      </c>
      <c r="AV995" t="s">
        <v>3898</v>
      </c>
      <c r="AW995">
        <v>2</v>
      </c>
      <c r="AX995">
        <v>0</v>
      </c>
    </row>
    <row r="996" spans="1:50" x14ac:dyDescent="0.25">
      <c r="A996" t="s">
        <v>5022</v>
      </c>
      <c r="B996" t="s">
        <v>3963</v>
      </c>
      <c r="C996" t="s">
        <v>3890</v>
      </c>
      <c r="D996">
        <v>31.937000000000001</v>
      </c>
      <c r="E996">
        <v>31.917000000000002</v>
      </c>
      <c r="F996" s="2">
        <v>1E-3</v>
      </c>
      <c r="G996" t="s">
        <v>1366</v>
      </c>
      <c r="H996" t="s">
        <v>1370</v>
      </c>
      <c r="I996">
        <v>440053.69949999999</v>
      </c>
      <c r="J996">
        <v>1827760.9783000001</v>
      </c>
      <c r="K996">
        <v>440053.69949999999</v>
      </c>
      <c r="L996">
        <v>1827740.9783000001</v>
      </c>
      <c r="M996" t="s">
        <v>56</v>
      </c>
      <c r="N996" t="s">
        <v>57</v>
      </c>
      <c r="O996">
        <v>600</v>
      </c>
      <c r="P996" t="s">
        <v>3891</v>
      </c>
      <c r="Q996" t="s">
        <v>3892</v>
      </c>
      <c r="R996" t="s">
        <v>381</v>
      </c>
      <c r="S996" t="s">
        <v>1368</v>
      </c>
      <c r="T996" t="s">
        <v>1372</v>
      </c>
      <c r="U996">
        <v>6.2600000000000003E-2</v>
      </c>
      <c r="V996">
        <v>5.6599999999999998E-2</v>
      </c>
      <c r="W996" t="s">
        <v>52</v>
      </c>
      <c r="X996">
        <v>1.0085</v>
      </c>
      <c r="Y996">
        <v>1.0285</v>
      </c>
      <c r="Z996">
        <v>1.0285</v>
      </c>
      <c r="AA996">
        <v>1.0085</v>
      </c>
      <c r="AB996">
        <v>20</v>
      </c>
      <c r="AC996">
        <v>20</v>
      </c>
      <c r="AD996">
        <v>18.800799999999999</v>
      </c>
      <c r="AE996">
        <v>18.800899999999999</v>
      </c>
      <c r="AF996" t="s">
        <v>2233</v>
      </c>
      <c r="AG996" t="s">
        <v>2233</v>
      </c>
      <c r="AH996" t="s">
        <v>3894</v>
      </c>
      <c r="AI996" t="s">
        <v>3894</v>
      </c>
      <c r="AJ996" t="s">
        <v>3895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3896</v>
      </c>
      <c r="AT996" t="s">
        <v>3890</v>
      </c>
      <c r="AU996" t="s">
        <v>3964</v>
      </c>
      <c r="AV996" t="s">
        <v>3898</v>
      </c>
      <c r="AW996">
        <v>2</v>
      </c>
      <c r="AX996">
        <v>0</v>
      </c>
    </row>
    <row r="997" spans="1:50" x14ac:dyDescent="0.25">
      <c r="A997" t="s">
        <v>5023</v>
      </c>
      <c r="B997" t="s">
        <v>4010</v>
      </c>
      <c r="C997" t="s">
        <v>3890</v>
      </c>
      <c r="D997">
        <v>32.676000000000002</v>
      </c>
      <c r="E997">
        <v>32.655999999999999</v>
      </c>
      <c r="F997" s="2">
        <v>1E-3</v>
      </c>
      <c r="G997" t="s">
        <v>1446</v>
      </c>
      <c r="H997" t="s">
        <v>1449</v>
      </c>
      <c r="I997">
        <v>439962.02480000001</v>
      </c>
      <c r="J997">
        <v>1827925.8171000001</v>
      </c>
      <c r="K997">
        <v>439962.02480000001</v>
      </c>
      <c r="L997">
        <v>1827905.8171000001</v>
      </c>
      <c r="M997" t="s">
        <v>56</v>
      </c>
      <c r="N997" t="s">
        <v>57</v>
      </c>
      <c r="O997">
        <v>900</v>
      </c>
      <c r="P997" t="s">
        <v>109</v>
      </c>
      <c r="Q997" t="s">
        <v>3919</v>
      </c>
      <c r="R997" t="s">
        <v>1404</v>
      </c>
      <c r="S997" t="s">
        <v>1057</v>
      </c>
      <c r="T997" t="s">
        <v>1061</v>
      </c>
      <c r="U997">
        <v>0.1615</v>
      </c>
      <c r="V997">
        <v>0.15290000000000001</v>
      </c>
      <c r="W997" t="s">
        <v>52</v>
      </c>
      <c r="X997">
        <v>0.9042</v>
      </c>
      <c r="Y997">
        <v>0.97989999999999999</v>
      </c>
      <c r="Z997">
        <v>0.97989999999999999</v>
      </c>
      <c r="AA997">
        <v>0.9042</v>
      </c>
      <c r="AB997">
        <v>20</v>
      </c>
      <c r="AC997">
        <v>20</v>
      </c>
      <c r="AD997">
        <v>18.801200000000001</v>
      </c>
      <c r="AE997">
        <v>18.801200000000001</v>
      </c>
      <c r="AF997" t="s">
        <v>4011</v>
      </c>
      <c r="AG997" t="s">
        <v>4011</v>
      </c>
      <c r="AH997" t="s">
        <v>3894</v>
      </c>
      <c r="AI997" t="s">
        <v>3894</v>
      </c>
      <c r="AJ997" t="s">
        <v>3895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3896</v>
      </c>
      <c r="AT997" t="s">
        <v>3890</v>
      </c>
      <c r="AU997" t="s">
        <v>4012</v>
      </c>
      <c r="AV997" t="s">
        <v>3898</v>
      </c>
      <c r="AW997">
        <v>2</v>
      </c>
      <c r="AX997">
        <v>0</v>
      </c>
    </row>
    <row r="998" spans="1:50" x14ac:dyDescent="0.25">
      <c r="A998" t="s">
        <v>5024</v>
      </c>
      <c r="B998" t="s">
        <v>4065</v>
      </c>
      <c r="C998" t="s">
        <v>3890</v>
      </c>
      <c r="D998">
        <v>32.866</v>
      </c>
      <c r="E998">
        <v>32.845999999999997</v>
      </c>
      <c r="F998" s="2">
        <v>1E-3</v>
      </c>
      <c r="G998" t="s">
        <v>1439</v>
      </c>
      <c r="H998" t="s">
        <v>1442</v>
      </c>
      <c r="I998">
        <v>439962.02480000001</v>
      </c>
      <c r="J998">
        <v>1827965.8171000001</v>
      </c>
      <c r="K998">
        <v>439962.02480000001</v>
      </c>
      <c r="L998">
        <v>1827945.8171000001</v>
      </c>
      <c r="M998" t="s">
        <v>56</v>
      </c>
      <c r="N998" t="s">
        <v>57</v>
      </c>
      <c r="O998">
        <v>900</v>
      </c>
      <c r="P998" t="s">
        <v>58</v>
      </c>
      <c r="Q998" t="s">
        <v>3919</v>
      </c>
      <c r="R998" t="s">
        <v>1404</v>
      </c>
      <c r="S998" t="s">
        <v>525</v>
      </c>
      <c r="T998" t="s">
        <v>1444</v>
      </c>
      <c r="U998">
        <v>0.1787</v>
      </c>
      <c r="V998">
        <v>0.1701</v>
      </c>
      <c r="W998" t="s">
        <v>52</v>
      </c>
      <c r="X998">
        <v>1.0556000000000001</v>
      </c>
      <c r="Y998">
        <v>1.1313</v>
      </c>
      <c r="Z998">
        <v>1.1313</v>
      </c>
      <c r="AA998">
        <v>1.0556000000000001</v>
      </c>
      <c r="AB998">
        <v>20</v>
      </c>
      <c r="AC998">
        <v>20</v>
      </c>
      <c r="AD998">
        <v>18.801200000000001</v>
      </c>
      <c r="AE998">
        <v>18.801200000000001</v>
      </c>
      <c r="AF998" t="s">
        <v>4011</v>
      </c>
      <c r="AG998" t="s">
        <v>4011</v>
      </c>
      <c r="AH998" t="s">
        <v>3894</v>
      </c>
      <c r="AI998" t="s">
        <v>3894</v>
      </c>
      <c r="AJ998" t="s">
        <v>3895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3896</v>
      </c>
      <c r="AT998" t="s">
        <v>3890</v>
      </c>
      <c r="AU998" t="s">
        <v>4066</v>
      </c>
      <c r="AV998" t="s">
        <v>3898</v>
      </c>
      <c r="AW998">
        <v>2</v>
      </c>
      <c r="AX998">
        <v>0</v>
      </c>
    </row>
    <row r="999" spans="1:50" x14ac:dyDescent="0.25">
      <c r="A999" t="s">
        <v>5025</v>
      </c>
      <c r="B999" t="s">
        <v>4065</v>
      </c>
      <c r="C999" t="s">
        <v>3890</v>
      </c>
      <c r="D999">
        <v>32.886000000000003</v>
      </c>
      <c r="E999">
        <v>32.866</v>
      </c>
      <c r="F999" s="2">
        <v>1E-3</v>
      </c>
      <c r="G999" t="s">
        <v>1436</v>
      </c>
      <c r="H999" t="s">
        <v>1439</v>
      </c>
      <c r="I999">
        <v>439962.02480000001</v>
      </c>
      <c r="J999">
        <v>1827985.8171000001</v>
      </c>
      <c r="K999">
        <v>439962.02480000001</v>
      </c>
      <c r="L999">
        <v>1827965.8171000001</v>
      </c>
      <c r="M999" t="s">
        <v>56</v>
      </c>
      <c r="N999" t="s">
        <v>57</v>
      </c>
      <c r="O999">
        <v>900</v>
      </c>
      <c r="P999" t="s">
        <v>58</v>
      </c>
      <c r="Q999" t="s">
        <v>3919</v>
      </c>
      <c r="R999" t="s">
        <v>1404</v>
      </c>
      <c r="S999" t="s">
        <v>529</v>
      </c>
      <c r="T999" t="s">
        <v>525</v>
      </c>
      <c r="U999">
        <v>0.18729999999999999</v>
      </c>
      <c r="V999">
        <v>0.1787</v>
      </c>
      <c r="W999" t="s">
        <v>52</v>
      </c>
      <c r="X999">
        <v>1.1313</v>
      </c>
      <c r="Y999">
        <v>1.2070000000000001</v>
      </c>
      <c r="Z999">
        <v>1.2070000000000001</v>
      </c>
      <c r="AA999">
        <v>1.1313</v>
      </c>
      <c r="AB999">
        <v>20</v>
      </c>
      <c r="AC999">
        <v>20</v>
      </c>
      <c r="AD999">
        <v>18.801200000000001</v>
      </c>
      <c r="AE999">
        <v>18.801200000000001</v>
      </c>
      <c r="AF999" t="s">
        <v>4011</v>
      </c>
      <c r="AG999" t="s">
        <v>4011</v>
      </c>
      <c r="AH999" t="s">
        <v>3894</v>
      </c>
      <c r="AI999" t="s">
        <v>3894</v>
      </c>
      <c r="AJ999" t="s">
        <v>3895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3896</v>
      </c>
      <c r="AT999" t="s">
        <v>3890</v>
      </c>
      <c r="AU999" t="s">
        <v>4066</v>
      </c>
      <c r="AV999" t="s">
        <v>3898</v>
      </c>
      <c r="AW999">
        <v>2</v>
      </c>
      <c r="AX999">
        <v>0</v>
      </c>
    </row>
    <row r="1000" spans="1:50" x14ac:dyDescent="0.25">
      <c r="A1000" t="s">
        <v>5026</v>
      </c>
      <c r="B1000" t="s">
        <v>3933</v>
      </c>
      <c r="C1000" t="s">
        <v>3890</v>
      </c>
      <c r="D1000">
        <v>32.966000000000001</v>
      </c>
      <c r="E1000">
        <v>32.945999999999998</v>
      </c>
      <c r="F1000" s="2">
        <v>1E-3</v>
      </c>
      <c r="G1000" t="s">
        <v>1424</v>
      </c>
      <c r="H1000" t="s">
        <v>1427</v>
      </c>
      <c r="I1000">
        <v>439962.09980000003</v>
      </c>
      <c r="J1000">
        <v>1828065.8171000001</v>
      </c>
      <c r="K1000">
        <v>439962.09980000003</v>
      </c>
      <c r="L1000">
        <v>1828045.8171000001</v>
      </c>
      <c r="M1000" t="s">
        <v>56</v>
      </c>
      <c r="N1000" t="s">
        <v>57</v>
      </c>
      <c r="O1000">
        <v>750</v>
      </c>
      <c r="P1000" t="s">
        <v>58</v>
      </c>
      <c r="Q1000" t="s">
        <v>3919</v>
      </c>
      <c r="R1000" t="s">
        <v>1404</v>
      </c>
      <c r="S1000" t="s">
        <v>428</v>
      </c>
      <c r="T1000" t="s">
        <v>424</v>
      </c>
      <c r="U1000">
        <v>0.14660000000000001</v>
      </c>
      <c r="V1000">
        <v>0.13800000000000001</v>
      </c>
      <c r="W1000" t="s">
        <v>52</v>
      </c>
      <c r="X1000">
        <v>1.4201999999999999</v>
      </c>
      <c r="Y1000">
        <v>1.4437</v>
      </c>
      <c r="Z1000">
        <v>1.4437</v>
      </c>
      <c r="AA1000">
        <v>1.4201999999999999</v>
      </c>
      <c r="AB1000">
        <v>20</v>
      </c>
      <c r="AC1000">
        <v>20</v>
      </c>
      <c r="AD1000">
        <v>18.800999999999998</v>
      </c>
      <c r="AE1000">
        <v>18.801100000000002</v>
      </c>
      <c r="AF1000" t="s">
        <v>4011</v>
      </c>
      <c r="AG1000" t="s">
        <v>4011</v>
      </c>
      <c r="AH1000" t="s">
        <v>3894</v>
      </c>
      <c r="AI1000" t="s">
        <v>3894</v>
      </c>
      <c r="AJ1000" t="s">
        <v>3895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3896</v>
      </c>
      <c r="AT1000" t="s">
        <v>3890</v>
      </c>
      <c r="AU1000" t="s">
        <v>3935</v>
      </c>
      <c r="AV1000" t="s">
        <v>3898</v>
      </c>
      <c r="AW1000">
        <v>2</v>
      </c>
      <c r="AX1000">
        <v>0</v>
      </c>
    </row>
    <row r="1001" spans="1:50" x14ac:dyDescent="0.25">
      <c r="A1001" t="s">
        <v>5027</v>
      </c>
      <c r="B1001" t="s">
        <v>3933</v>
      </c>
      <c r="C1001" t="s">
        <v>3890</v>
      </c>
      <c r="D1001">
        <v>33.006</v>
      </c>
      <c r="E1001">
        <v>32.985999999999997</v>
      </c>
      <c r="F1001" s="2">
        <v>1E-3</v>
      </c>
      <c r="G1001" t="s">
        <v>1418</v>
      </c>
      <c r="H1001" t="s">
        <v>1421</v>
      </c>
      <c r="I1001">
        <v>439962.09980000003</v>
      </c>
      <c r="J1001">
        <v>1828105.8171000001</v>
      </c>
      <c r="K1001">
        <v>439962.09980000003</v>
      </c>
      <c r="L1001">
        <v>1828085.8171000001</v>
      </c>
      <c r="M1001" t="s">
        <v>56</v>
      </c>
      <c r="N1001" t="s">
        <v>57</v>
      </c>
      <c r="O1001">
        <v>750</v>
      </c>
      <c r="P1001" t="s">
        <v>58</v>
      </c>
      <c r="Q1001" t="s">
        <v>3919</v>
      </c>
      <c r="R1001" t="s">
        <v>1404</v>
      </c>
      <c r="S1001" t="s">
        <v>597</v>
      </c>
      <c r="T1001" t="s">
        <v>432</v>
      </c>
      <c r="U1001">
        <v>0.1638</v>
      </c>
      <c r="V1001">
        <v>0.1552</v>
      </c>
      <c r="W1001" t="s">
        <v>52</v>
      </c>
      <c r="X1001">
        <v>1.3798999999999999</v>
      </c>
      <c r="Y1001">
        <v>1.4302999999999999</v>
      </c>
      <c r="Z1001">
        <v>1.3798999999999999</v>
      </c>
      <c r="AA1001">
        <v>1.4302999999999999</v>
      </c>
      <c r="AB1001">
        <v>20</v>
      </c>
      <c r="AC1001">
        <v>20</v>
      </c>
      <c r="AD1001">
        <v>18.801100000000002</v>
      </c>
      <c r="AE1001">
        <v>18.801100000000002</v>
      </c>
      <c r="AF1001" t="s">
        <v>4011</v>
      </c>
      <c r="AG1001" t="s">
        <v>4011</v>
      </c>
      <c r="AH1001" t="s">
        <v>3894</v>
      </c>
      <c r="AI1001" t="s">
        <v>3894</v>
      </c>
      <c r="AJ1001" t="s">
        <v>3895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3896</v>
      </c>
      <c r="AT1001" t="s">
        <v>3890</v>
      </c>
      <c r="AU1001" t="s">
        <v>3935</v>
      </c>
      <c r="AV1001" t="s">
        <v>3898</v>
      </c>
      <c r="AW1001">
        <v>2</v>
      </c>
      <c r="AX1001">
        <v>0</v>
      </c>
    </row>
    <row r="1002" spans="1:50" x14ac:dyDescent="0.25">
      <c r="A1002" t="s">
        <v>5028</v>
      </c>
      <c r="B1002" t="s">
        <v>3924</v>
      </c>
      <c r="C1002" t="s">
        <v>3890</v>
      </c>
      <c r="D1002">
        <v>33.176000000000002</v>
      </c>
      <c r="E1002">
        <v>33.155999999999999</v>
      </c>
      <c r="F1002" s="2">
        <v>1E-3</v>
      </c>
      <c r="G1002" t="s">
        <v>1415</v>
      </c>
      <c r="H1002" t="s">
        <v>1418</v>
      </c>
      <c r="I1002">
        <v>439962.12479999999</v>
      </c>
      <c r="J1002">
        <v>1828125.8171000001</v>
      </c>
      <c r="K1002">
        <v>439962.12479999999</v>
      </c>
      <c r="L1002">
        <v>1828105.8171000001</v>
      </c>
      <c r="M1002" t="s">
        <v>56</v>
      </c>
      <c r="N1002" t="s">
        <v>57</v>
      </c>
      <c r="O1002">
        <v>750</v>
      </c>
      <c r="P1002" t="s">
        <v>3891</v>
      </c>
      <c r="Q1002" t="s">
        <v>3892</v>
      </c>
      <c r="R1002" t="s">
        <v>1404</v>
      </c>
      <c r="S1002" t="s">
        <v>440</v>
      </c>
      <c r="T1002" t="s">
        <v>597</v>
      </c>
      <c r="U1002">
        <v>0.1474</v>
      </c>
      <c r="V1002">
        <v>0.13880000000000001</v>
      </c>
      <c r="W1002" t="s">
        <v>52</v>
      </c>
      <c r="X1002">
        <v>1.3180000000000001</v>
      </c>
      <c r="Y1002">
        <v>1.4054</v>
      </c>
      <c r="Z1002">
        <v>1.3180000000000001</v>
      </c>
      <c r="AA1002">
        <v>1.4054</v>
      </c>
      <c r="AB1002">
        <v>20</v>
      </c>
      <c r="AC1002">
        <v>20</v>
      </c>
      <c r="AD1002">
        <v>18.800999999999998</v>
      </c>
      <c r="AE1002">
        <v>18.800999999999998</v>
      </c>
      <c r="AF1002" t="s">
        <v>4011</v>
      </c>
      <c r="AG1002" t="s">
        <v>4011</v>
      </c>
      <c r="AH1002" t="s">
        <v>3894</v>
      </c>
      <c r="AI1002" t="s">
        <v>3894</v>
      </c>
      <c r="AJ1002" t="s">
        <v>3895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3896</v>
      </c>
      <c r="AT1002" t="s">
        <v>3890</v>
      </c>
      <c r="AU1002" t="s">
        <v>3926</v>
      </c>
      <c r="AV1002" t="s">
        <v>3898</v>
      </c>
      <c r="AW1002">
        <v>2</v>
      </c>
      <c r="AX1002">
        <v>0</v>
      </c>
    </row>
    <row r="1003" spans="1:50" x14ac:dyDescent="0.25">
      <c r="A1003" t="s">
        <v>5029</v>
      </c>
      <c r="B1003" t="s">
        <v>3963</v>
      </c>
      <c r="C1003" t="s">
        <v>3890</v>
      </c>
      <c r="D1003">
        <v>33.216000000000001</v>
      </c>
      <c r="E1003">
        <v>33.195999999999998</v>
      </c>
      <c r="F1003" s="2">
        <v>1E-3</v>
      </c>
      <c r="G1003" t="s">
        <v>1409</v>
      </c>
      <c r="H1003" t="s">
        <v>1412</v>
      </c>
      <c r="I1003">
        <v>439962.1998</v>
      </c>
      <c r="J1003">
        <v>1828165.8171000001</v>
      </c>
      <c r="K1003">
        <v>439962.1998</v>
      </c>
      <c r="L1003">
        <v>1828145.8171000001</v>
      </c>
      <c r="M1003" t="s">
        <v>56</v>
      </c>
      <c r="N1003" t="s">
        <v>57</v>
      </c>
      <c r="O1003">
        <v>600</v>
      </c>
      <c r="P1003" t="s">
        <v>3891</v>
      </c>
      <c r="Q1003" t="s">
        <v>3892</v>
      </c>
      <c r="R1003" t="s">
        <v>1404</v>
      </c>
      <c r="S1003" t="s">
        <v>448</v>
      </c>
      <c r="T1003" t="s">
        <v>444</v>
      </c>
      <c r="U1003">
        <v>8.9599999999999999E-2</v>
      </c>
      <c r="V1003">
        <v>8.1000000000000003E-2</v>
      </c>
      <c r="W1003" t="s">
        <v>52</v>
      </c>
      <c r="X1003">
        <v>1.1015999999999999</v>
      </c>
      <c r="Y1003">
        <v>1.2105999999999999</v>
      </c>
      <c r="Z1003">
        <v>1.1015999999999999</v>
      </c>
      <c r="AA1003">
        <v>1.2105999999999999</v>
      </c>
      <c r="AB1003">
        <v>20</v>
      </c>
      <c r="AC1003">
        <v>20</v>
      </c>
      <c r="AD1003">
        <v>18.800799999999999</v>
      </c>
      <c r="AE1003">
        <v>18.800899999999999</v>
      </c>
      <c r="AF1003" t="s">
        <v>4011</v>
      </c>
      <c r="AG1003" t="s">
        <v>4011</v>
      </c>
      <c r="AH1003" t="s">
        <v>3894</v>
      </c>
      <c r="AI1003" t="s">
        <v>3894</v>
      </c>
      <c r="AJ1003" t="s">
        <v>3895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3896</v>
      </c>
      <c r="AT1003" t="s">
        <v>3890</v>
      </c>
      <c r="AU1003" t="s">
        <v>3964</v>
      </c>
      <c r="AV1003" t="s">
        <v>3898</v>
      </c>
      <c r="AW1003">
        <v>2</v>
      </c>
      <c r="AX1003">
        <v>0</v>
      </c>
    </row>
    <row r="1004" spans="1:50" x14ac:dyDescent="0.25">
      <c r="A1004" t="s">
        <v>5030</v>
      </c>
      <c r="B1004" t="s">
        <v>4010</v>
      </c>
      <c r="C1004" t="s">
        <v>3890</v>
      </c>
      <c r="D1004">
        <v>32.677</v>
      </c>
      <c r="E1004">
        <v>32.656999999999996</v>
      </c>
      <c r="F1004" s="2">
        <v>1E-3</v>
      </c>
      <c r="G1004" t="s">
        <v>1549</v>
      </c>
      <c r="H1004" t="s">
        <v>1552</v>
      </c>
      <c r="I1004">
        <v>439951.42479999998</v>
      </c>
      <c r="J1004">
        <v>1827925.8171000001</v>
      </c>
      <c r="K1004">
        <v>439951.42479999998</v>
      </c>
      <c r="L1004">
        <v>1827905.8171000001</v>
      </c>
      <c r="M1004" t="s">
        <v>56</v>
      </c>
      <c r="N1004" t="s">
        <v>57</v>
      </c>
      <c r="O1004">
        <v>900</v>
      </c>
      <c r="P1004" t="s">
        <v>109</v>
      </c>
      <c r="Q1004" t="s">
        <v>3919</v>
      </c>
      <c r="R1004" t="s">
        <v>1510</v>
      </c>
      <c r="S1004" t="s">
        <v>1057</v>
      </c>
      <c r="T1004" t="s">
        <v>1061</v>
      </c>
      <c r="U1004">
        <v>-2.5000000000000001E-2</v>
      </c>
      <c r="V1004">
        <v>-2.5000000000000001E-2</v>
      </c>
      <c r="W1004" t="s">
        <v>52</v>
      </c>
      <c r="X1004">
        <v>0.9032</v>
      </c>
      <c r="Y1004">
        <v>0.97889999999999999</v>
      </c>
      <c r="Z1004">
        <v>0.97889999999999999</v>
      </c>
      <c r="AA1004">
        <v>0.9032</v>
      </c>
      <c r="AB1004">
        <v>20</v>
      </c>
      <c r="AC1004">
        <v>20</v>
      </c>
      <c r="AD1004">
        <v>18.801200000000001</v>
      </c>
      <c r="AE1004">
        <v>18.801200000000001</v>
      </c>
      <c r="AF1004" t="s">
        <v>4011</v>
      </c>
      <c r="AG1004" t="s">
        <v>4011</v>
      </c>
      <c r="AH1004" t="s">
        <v>3894</v>
      </c>
      <c r="AI1004" t="s">
        <v>3894</v>
      </c>
      <c r="AJ1004" t="s">
        <v>3895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3896</v>
      </c>
      <c r="AT1004" t="s">
        <v>3890</v>
      </c>
      <c r="AU1004" t="s">
        <v>4012</v>
      </c>
      <c r="AV1004" t="s">
        <v>3898</v>
      </c>
      <c r="AW1004">
        <v>2</v>
      </c>
      <c r="AX1004">
        <v>0</v>
      </c>
    </row>
    <row r="1005" spans="1:50" x14ac:dyDescent="0.25">
      <c r="A1005" t="s">
        <v>5031</v>
      </c>
      <c r="B1005" t="s">
        <v>4065</v>
      </c>
      <c r="C1005" t="s">
        <v>3890</v>
      </c>
      <c r="D1005">
        <v>32.866999999999997</v>
      </c>
      <c r="E1005">
        <v>32.847000000000001</v>
      </c>
      <c r="F1005" s="2">
        <v>1E-3</v>
      </c>
      <c r="G1005" t="s">
        <v>1543</v>
      </c>
      <c r="H1005" t="s">
        <v>1546</v>
      </c>
      <c r="I1005">
        <v>439951.42479999998</v>
      </c>
      <c r="J1005">
        <v>1827965.8171000001</v>
      </c>
      <c r="K1005">
        <v>439951.42479999998</v>
      </c>
      <c r="L1005">
        <v>1827945.8171000001</v>
      </c>
      <c r="M1005" t="s">
        <v>56</v>
      </c>
      <c r="N1005" t="s">
        <v>57</v>
      </c>
      <c r="O1005">
        <v>900</v>
      </c>
      <c r="P1005" t="s">
        <v>58</v>
      </c>
      <c r="Q1005" t="s">
        <v>3919</v>
      </c>
      <c r="R1005" t="s">
        <v>1510</v>
      </c>
      <c r="S1005" t="s">
        <v>525</v>
      </c>
      <c r="T1005" t="s">
        <v>1444</v>
      </c>
      <c r="U1005">
        <v>-2.5000000000000001E-2</v>
      </c>
      <c r="V1005">
        <v>-2.5000000000000001E-2</v>
      </c>
      <c r="W1005" t="s">
        <v>52</v>
      </c>
      <c r="X1005">
        <v>1.0546</v>
      </c>
      <c r="Y1005">
        <v>1.1303000000000001</v>
      </c>
      <c r="Z1005">
        <v>1.1303000000000001</v>
      </c>
      <c r="AA1005">
        <v>1.0546</v>
      </c>
      <c r="AB1005">
        <v>20</v>
      </c>
      <c r="AC1005">
        <v>20</v>
      </c>
      <c r="AD1005">
        <v>18.801200000000001</v>
      </c>
      <c r="AE1005">
        <v>18.801200000000001</v>
      </c>
      <c r="AF1005" t="s">
        <v>4011</v>
      </c>
      <c r="AG1005" t="s">
        <v>4011</v>
      </c>
      <c r="AH1005" t="s">
        <v>3894</v>
      </c>
      <c r="AI1005" t="s">
        <v>3894</v>
      </c>
      <c r="AJ1005" t="s">
        <v>3895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3896</v>
      </c>
      <c r="AT1005" t="s">
        <v>3890</v>
      </c>
      <c r="AU1005" t="s">
        <v>4066</v>
      </c>
      <c r="AV1005" t="s">
        <v>3898</v>
      </c>
      <c r="AW1005">
        <v>2</v>
      </c>
      <c r="AX1005">
        <v>0</v>
      </c>
    </row>
    <row r="1006" spans="1:50" x14ac:dyDescent="0.25">
      <c r="A1006" t="s">
        <v>5032</v>
      </c>
      <c r="B1006" t="s">
        <v>4065</v>
      </c>
      <c r="C1006" t="s">
        <v>3890</v>
      </c>
      <c r="D1006">
        <v>32.887</v>
      </c>
      <c r="E1006">
        <v>32.866999999999997</v>
      </c>
      <c r="F1006" s="2">
        <v>1E-3</v>
      </c>
      <c r="G1006" t="s">
        <v>1540</v>
      </c>
      <c r="H1006" t="s">
        <v>1543</v>
      </c>
      <c r="I1006">
        <v>439951.42479999998</v>
      </c>
      <c r="J1006">
        <v>1827985.8171000001</v>
      </c>
      <c r="K1006">
        <v>439951.42479999998</v>
      </c>
      <c r="L1006">
        <v>1827965.8171000001</v>
      </c>
      <c r="M1006" t="s">
        <v>56</v>
      </c>
      <c r="N1006" t="s">
        <v>57</v>
      </c>
      <c r="O1006">
        <v>900</v>
      </c>
      <c r="P1006" t="s">
        <v>58</v>
      </c>
      <c r="Q1006" t="s">
        <v>3919</v>
      </c>
      <c r="R1006" t="s">
        <v>1510</v>
      </c>
      <c r="S1006" t="s">
        <v>529</v>
      </c>
      <c r="T1006" t="s">
        <v>525</v>
      </c>
      <c r="U1006">
        <v>-2.5000000000000001E-2</v>
      </c>
      <c r="V1006">
        <v>-2.5000000000000001E-2</v>
      </c>
      <c r="W1006" t="s">
        <v>52</v>
      </c>
      <c r="X1006">
        <v>1.1303000000000001</v>
      </c>
      <c r="Y1006">
        <v>1.206</v>
      </c>
      <c r="Z1006">
        <v>1.206</v>
      </c>
      <c r="AA1006">
        <v>1.1303000000000001</v>
      </c>
      <c r="AB1006">
        <v>20</v>
      </c>
      <c r="AC1006">
        <v>20</v>
      </c>
      <c r="AD1006">
        <v>18.801200000000001</v>
      </c>
      <c r="AE1006">
        <v>18.801200000000001</v>
      </c>
      <c r="AF1006" t="s">
        <v>4011</v>
      </c>
      <c r="AG1006" t="s">
        <v>4011</v>
      </c>
      <c r="AH1006" t="s">
        <v>3894</v>
      </c>
      <c r="AI1006" t="s">
        <v>3894</v>
      </c>
      <c r="AJ1006" t="s">
        <v>3895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3896</v>
      </c>
      <c r="AT1006" t="s">
        <v>3890</v>
      </c>
      <c r="AU1006" t="s">
        <v>4066</v>
      </c>
      <c r="AV1006" t="s">
        <v>3898</v>
      </c>
      <c r="AW1006">
        <v>2</v>
      </c>
      <c r="AX1006">
        <v>0</v>
      </c>
    </row>
    <row r="1007" spans="1:50" x14ac:dyDescent="0.25">
      <c r="A1007" t="s">
        <v>5033</v>
      </c>
      <c r="B1007" t="s">
        <v>3933</v>
      </c>
      <c r="C1007" t="s">
        <v>3890</v>
      </c>
      <c r="D1007">
        <v>32.966999999999999</v>
      </c>
      <c r="E1007">
        <v>32.947000000000003</v>
      </c>
      <c r="F1007" s="2">
        <v>1E-3</v>
      </c>
      <c r="G1007" t="s">
        <v>1528</v>
      </c>
      <c r="H1007" t="s">
        <v>1531</v>
      </c>
      <c r="I1007">
        <v>439951.34980000003</v>
      </c>
      <c r="J1007">
        <v>1828065.8171000001</v>
      </c>
      <c r="K1007">
        <v>439951.34980000003</v>
      </c>
      <c r="L1007">
        <v>1828045.8171000001</v>
      </c>
      <c r="M1007" t="s">
        <v>56</v>
      </c>
      <c r="N1007" t="s">
        <v>57</v>
      </c>
      <c r="O1007">
        <v>750</v>
      </c>
      <c r="P1007" t="s">
        <v>58</v>
      </c>
      <c r="Q1007" t="s">
        <v>3919</v>
      </c>
      <c r="R1007" t="s">
        <v>1510</v>
      </c>
      <c r="S1007" t="s">
        <v>428</v>
      </c>
      <c r="T1007" t="s">
        <v>424</v>
      </c>
      <c r="U1007">
        <v>0.05</v>
      </c>
      <c r="V1007">
        <v>0.05</v>
      </c>
      <c r="W1007" t="s">
        <v>52</v>
      </c>
      <c r="X1007">
        <v>1.4192</v>
      </c>
      <c r="Y1007">
        <v>1.4427000000000001</v>
      </c>
      <c r="Z1007">
        <v>1.4427000000000001</v>
      </c>
      <c r="AA1007">
        <v>1.4192</v>
      </c>
      <c r="AB1007">
        <v>20</v>
      </c>
      <c r="AC1007">
        <v>20</v>
      </c>
      <c r="AD1007">
        <v>18.800999999999998</v>
      </c>
      <c r="AE1007">
        <v>18.801100000000002</v>
      </c>
      <c r="AF1007" t="s">
        <v>4011</v>
      </c>
      <c r="AG1007" t="s">
        <v>4011</v>
      </c>
      <c r="AH1007" t="s">
        <v>3894</v>
      </c>
      <c r="AI1007" t="s">
        <v>3894</v>
      </c>
      <c r="AJ1007" t="s">
        <v>3895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3896</v>
      </c>
      <c r="AT1007" t="s">
        <v>3890</v>
      </c>
      <c r="AU1007" t="s">
        <v>3935</v>
      </c>
      <c r="AV1007" t="s">
        <v>3898</v>
      </c>
      <c r="AW1007">
        <v>2</v>
      </c>
      <c r="AX1007">
        <v>0</v>
      </c>
    </row>
    <row r="1008" spans="1:50" x14ac:dyDescent="0.25">
      <c r="A1008" t="s">
        <v>5034</v>
      </c>
      <c r="B1008" t="s">
        <v>3963</v>
      </c>
      <c r="C1008" t="s">
        <v>3890</v>
      </c>
      <c r="D1008">
        <v>31.678999999999998</v>
      </c>
      <c r="E1008">
        <v>31.658999999999999</v>
      </c>
      <c r="F1008" s="2">
        <v>1E-3</v>
      </c>
      <c r="G1008" t="s">
        <v>965</v>
      </c>
      <c r="H1008" t="s">
        <v>969</v>
      </c>
      <c r="I1008">
        <v>440217.6998</v>
      </c>
      <c r="J1008">
        <v>1828141.8171000001</v>
      </c>
      <c r="K1008">
        <v>440217.6998</v>
      </c>
      <c r="L1008">
        <v>1828121.8171000001</v>
      </c>
      <c r="M1008" t="s">
        <v>56</v>
      </c>
      <c r="N1008" t="s">
        <v>57</v>
      </c>
      <c r="O1008">
        <v>600</v>
      </c>
      <c r="P1008" t="s">
        <v>3891</v>
      </c>
      <c r="Q1008" t="s">
        <v>3892</v>
      </c>
      <c r="R1008" t="s">
        <v>151</v>
      </c>
      <c r="S1008" t="s">
        <v>967</v>
      </c>
      <c r="T1008" t="s">
        <v>971</v>
      </c>
      <c r="U1008">
        <v>0.10639999999999999</v>
      </c>
      <c r="V1008">
        <v>9.5500000000000002E-2</v>
      </c>
      <c r="W1008" t="s">
        <v>52</v>
      </c>
      <c r="X1008">
        <v>1.5227999999999999</v>
      </c>
      <c r="Y1008">
        <v>1.5595000000000001</v>
      </c>
      <c r="Z1008">
        <v>1.5227999999999999</v>
      </c>
      <c r="AA1008">
        <v>1.5427</v>
      </c>
      <c r="AB1008">
        <v>20</v>
      </c>
      <c r="AC1008">
        <v>20</v>
      </c>
      <c r="AD1008">
        <v>18.800799999999999</v>
      </c>
      <c r="AE1008">
        <v>18.800899999999999</v>
      </c>
      <c r="AF1008" t="s">
        <v>2233</v>
      </c>
      <c r="AG1008" t="s">
        <v>2233</v>
      </c>
      <c r="AH1008" t="s">
        <v>3894</v>
      </c>
      <c r="AI1008" t="s">
        <v>3894</v>
      </c>
      <c r="AJ1008" t="s">
        <v>3895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3896</v>
      </c>
      <c r="AT1008" t="s">
        <v>3890</v>
      </c>
      <c r="AU1008" t="s">
        <v>3964</v>
      </c>
      <c r="AV1008" t="s">
        <v>3898</v>
      </c>
      <c r="AW1008">
        <v>2</v>
      </c>
      <c r="AX1008">
        <v>0</v>
      </c>
    </row>
    <row r="1009" spans="1:50" x14ac:dyDescent="0.25">
      <c r="A1009" t="s">
        <v>5035</v>
      </c>
      <c r="B1009" t="s">
        <v>3963</v>
      </c>
      <c r="C1009" t="s">
        <v>3890</v>
      </c>
      <c r="D1009">
        <v>31.699000000000002</v>
      </c>
      <c r="E1009">
        <v>31.678999999999998</v>
      </c>
      <c r="F1009" s="2">
        <v>1E-3</v>
      </c>
      <c r="G1009" t="s">
        <v>961</v>
      </c>
      <c r="H1009" t="s">
        <v>965</v>
      </c>
      <c r="I1009">
        <v>440217.6998</v>
      </c>
      <c r="J1009">
        <v>1828161.8171000001</v>
      </c>
      <c r="K1009">
        <v>440217.6998</v>
      </c>
      <c r="L1009">
        <v>1828141.8171000001</v>
      </c>
      <c r="M1009" t="s">
        <v>56</v>
      </c>
      <c r="N1009" t="s">
        <v>57</v>
      </c>
      <c r="O1009">
        <v>600</v>
      </c>
      <c r="P1009" t="s">
        <v>3891</v>
      </c>
      <c r="Q1009" t="s">
        <v>3892</v>
      </c>
      <c r="R1009" t="s">
        <v>151</v>
      </c>
      <c r="S1009" t="s">
        <v>963</v>
      </c>
      <c r="T1009" t="s">
        <v>967</v>
      </c>
      <c r="U1009">
        <v>0.1173</v>
      </c>
      <c r="V1009">
        <v>0.10639999999999999</v>
      </c>
      <c r="W1009" t="s">
        <v>52</v>
      </c>
      <c r="X1009">
        <v>1.3187</v>
      </c>
      <c r="Y1009">
        <v>1.5227999999999999</v>
      </c>
      <c r="Z1009">
        <v>1.3187</v>
      </c>
      <c r="AA1009">
        <v>1.5227999999999999</v>
      </c>
      <c r="AB1009">
        <v>20</v>
      </c>
      <c r="AC1009">
        <v>20</v>
      </c>
      <c r="AD1009">
        <v>18.800799999999999</v>
      </c>
      <c r="AE1009">
        <v>18.800899999999999</v>
      </c>
      <c r="AF1009" t="s">
        <v>2233</v>
      </c>
      <c r="AG1009" t="s">
        <v>2233</v>
      </c>
      <c r="AH1009" t="s">
        <v>3894</v>
      </c>
      <c r="AI1009" t="s">
        <v>3894</v>
      </c>
      <c r="AJ1009" t="s">
        <v>3895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3896</v>
      </c>
      <c r="AT1009" t="s">
        <v>3890</v>
      </c>
      <c r="AU1009" t="s">
        <v>3964</v>
      </c>
      <c r="AV1009" t="s">
        <v>3898</v>
      </c>
      <c r="AW1009">
        <v>2</v>
      </c>
      <c r="AX1009">
        <v>0</v>
      </c>
    </row>
    <row r="1010" spans="1:50" x14ac:dyDescent="0.25">
      <c r="A1010" t="s">
        <v>5036</v>
      </c>
      <c r="B1010" t="s">
        <v>3889</v>
      </c>
      <c r="C1010" t="s">
        <v>3890</v>
      </c>
      <c r="D1010">
        <v>29.027999999999999</v>
      </c>
      <c r="E1010">
        <v>28.968</v>
      </c>
      <c r="F1010" s="2">
        <v>3.0000000000000001E-3</v>
      </c>
      <c r="G1010" t="s">
        <v>3724</v>
      </c>
      <c r="H1010" t="s">
        <v>3722</v>
      </c>
      <c r="I1010">
        <v>440387.3751</v>
      </c>
      <c r="J1010">
        <v>1827569.7609000001</v>
      </c>
      <c r="K1010">
        <v>440387.3751</v>
      </c>
      <c r="L1010">
        <v>1827589.7609000001</v>
      </c>
      <c r="M1010" t="s">
        <v>56</v>
      </c>
      <c r="N1010" t="s">
        <v>57</v>
      </c>
      <c r="O1010">
        <v>450</v>
      </c>
      <c r="P1010" t="s">
        <v>3891</v>
      </c>
      <c r="Q1010" t="s">
        <v>3892</v>
      </c>
      <c r="R1010" t="s">
        <v>117</v>
      </c>
      <c r="S1010" t="s">
        <v>1065</v>
      </c>
      <c r="T1010" t="s">
        <v>1061</v>
      </c>
      <c r="U1010">
        <v>3.6400000000000002E-2</v>
      </c>
      <c r="V1010">
        <v>3.6400000000000002E-2</v>
      </c>
      <c r="W1010" t="s">
        <v>52</v>
      </c>
      <c r="X1010">
        <v>0.88239999999999996</v>
      </c>
      <c r="Y1010">
        <v>0.89370000000000005</v>
      </c>
      <c r="Z1010">
        <v>0.89370000000000005</v>
      </c>
      <c r="AA1010">
        <v>0.88239999999999996</v>
      </c>
      <c r="AB1010">
        <v>20</v>
      </c>
      <c r="AC1010">
        <v>20.0001</v>
      </c>
      <c r="AD1010">
        <v>18.802099999999999</v>
      </c>
      <c r="AE1010">
        <v>18.802199999999999</v>
      </c>
      <c r="AF1010" t="s">
        <v>67</v>
      </c>
      <c r="AG1010" t="s">
        <v>67</v>
      </c>
      <c r="AH1010" t="s">
        <v>3894</v>
      </c>
      <c r="AI1010" t="s">
        <v>3894</v>
      </c>
      <c r="AJ1010" t="s">
        <v>3895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3896</v>
      </c>
      <c r="AT1010" t="s">
        <v>3890</v>
      </c>
      <c r="AU1010" t="s">
        <v>3897</v>
      </c>
      <c r="AV1010" t="s">
        <v>3898</v>
      </c>
      <c r="AW1010">
        <v>2</v>
      </c>
      <c r="AX1010">
        <v>0</v>
      </c>
    </row>
    <row r="1011" spans="1:50" x14ac:dyDescent="0.25">
      <c r="A1011" t="s">
        <v>5037</v>
      </c>
      <c r="B1011" t="s">
        <v>3889</v>
      </c>
      <c r="C1011" t="s">
        <v>3890</v>
      </c>
      <c r="D1011">
        <v>28.957000000000001</v>
      </c>
      <c r="E1011">
        <v>28.896999999999998</v>
      </c>
      <c r="F1011" s="2">
        <v>3.0000000000000001E-3</v>
      </c>
      <c r="G1011" t="s">
        <v>3722</v>
      </c>
      <c r="H1011" t="s">
        <v>3720</v>
      </c>
      <c r="I1011">
        <v>440387.3751</v>
      </c>
      <c r="J1011">
        <v>1827589.7609000001</v>
      </c>
      <c r="K1011">
        <v>440387.3751</v>
      </c>
      <c r="L1011">
        <v>1827609.7609000001</v>
      </c>
      <c r="M1011" t="s">
        <v>56</v>
      </c>
      <c r="N1011" t="s">
        <v>57</v>
      </c>
      <c r="O1011">
        <v>450</v>
      </c>
      <c r="P1011" t="s">
        <v>3891</v>
      </c>
      <c r="Q1011" t="s">
        <v>3892</v>
      </c>
      <c r="R1011" t="s">
        <v>117</v>
      </c>
      <c r="S1011" t="s">
        <v>1061</v>
      </c>
      <c r="T1011" t="s">
        <v>1057</v>
      </c>
      <c r="U1011">
        <v>3.6400000000000002E-2</v>
      </c>
      <c r="V1011">
        <v>3.6400000000000002E-2</v>
      </c>
      <c r="W1011" t="s">
        <v>52</v>
      </c>
      <c r="X1011">
        <v>0.8821</v>
      </c>
      <c r="Y1011">
        <v>0.89339999999999997</v>
      </c>
      <c r="Z1011">
        <v>0.89339999999999997</v>
      </c>
      <c r="AA1011">
        <v>0.8821</v>
      </c>
      <c r="AB1011">
        <v>20</v>
      </c>
      <c r="AC1011">
        <v>20.0001</v>
      </c>
      <c r="AD1011">
        <v>18.802099999999999</v>
      </c>
      <c r="AE1011">
        <v>18.802199999999999</v>
      </c>
      <c r="AF1011" t="s">
        <v>67</v>
      </c>
      <c r="AG1011" t="s">
        <v>67</v>
      </c>
      <c r="AH1011" t="s">
        <v>3894</v>
      </c>
      <c r="AI1011" t="s">
        <v>3894</v>
      </c>
      <c r="AJ1011" t="s">
        <v>3895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3896</v>
      </c>
      <c r="AT1011" t="s">
        <v>3890</v>
      </c>
      <c r="AU1011" t="s">
        <v>3897</v>
      </c>
      <c r="AV1011" t="s">
        <v>3898</v>
      </c>
      <c r="AW1011">
        <v>2</v>
      </c>
      <c r="AX1011">
        <v>0</v>
      </c>
    </row>
    <row r="1012" spans="1:50" x14ac:dyDescent="0.25">
      <c r="A1012" t="s">
        <v>5038</v>
      </c>
      <c r="B1012" t="s">
        <v>3889</v>
      </c>
      <c r="C1012" t="s">
        <v>3890</v>
      </c>
      <c r="D1012">
        <v>29.529</v>
      </c>
      <c r="E1012">
        <v>29.509</v>
      </c>
      <c r="F1012" s="2">
        <v>1E-3</v>
      </c>
      <c r="G1012" t="s">
        <v>3459</v>
      </c>
      <c r="H1012" t="s">
        <v>3462</v>
      </c>
      <c r="I1012">
        <v>440398.47509999998</v>
      </c>
      <c r="J1012">
        <v>1827449.7609000001</v>
      </c>
      <c r="K1012">
        <v>440398.47509999998</v>
      </c>
      <c r="L1012">
        <v>1827469.7609000001</v>
      </c>
      <c r="M1012" t="s">
        <v>56</v>
      </c>
      <c r="N1012" t="s">
        <v>57</v>
      </c>
      <c r="O1012">
        <v>450</v>
      </c>
      <c r="P1012" t="s">
        <v>3891</v>
      </c>
      <c r="Q1012" t="s">
        <v>3892</v>
      </c>
      <c r="R1012" t="s">
        <v>107</v>
      </c>
      <c r="S1012" t="s">
        <v>824</v>
      </c>
      <c r="T1012" t="s">
        <v>832</v>
      </c>
      <c r="U1012">
        <v>-2.0000000000000001E-4</v>
      </c>
      <c r="V1012">
        <v>-2.0000000000000001E-4</v>
      </c>
      <c r="W1012" t="s">
        <v>52</v>
      </c>
      <c r="X1012">
        <v>0.88249999999999995</v>
      </c>
      <c r="Y1012">
        <v>0.96409999999999996</v>
      </c>
      <c r="Z1012">
        <v>0.96409999999999996</v>
      </c>
      <c r="AA1012">
        <v>0.88249999999999995</v>
      </c>
      <c r="AB1012">
        <v>20</v>
      </c>
      <c r="AC1012">
        <v>20</v>
      </c>
      <c r="AD1012">
        <v>18.800699999999999</v>
      </c>
      <c r="AE1012">
        <v>18.800699999999999</v>
      </c>
      <c r="AF1012" t="s">
        <v>67</v>
      </c>
      <c r="AG1012" t="s">
        <v>67</v>
      </c>
      <c r="AH1012" t="s">
        <v>3894</v>
      </c>
      <c r="AI1012" t="s">
        <v>3894</v>
      </c>
      <c r="AJ1012" t="s">
        <v>3895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3896</v>
      </c>
      <c r="AT1012" t="s">
        <v>3890</v>
      </c>
      <c r="AU1012" t="s">
        <v>3897</v>
      </c>
      <c r="AV1012" t="s">
        <v>3898</v>
      </c>
      <c r="AW1012">
        <v>2</v>
      </c>
      <c r="AX1012">
        <v>0</v>
      </c>
    </row>
    <row r="1013" spans="1:50" x14ac:dyDescent="0.25">
      <c r="A1013" t="s">
        <v>5039</v>
      </c>
      <c r="B1013" t="s">
        <v>3955</v>
      </c>
      <c r="C1013" t="s">
        <v>3890</v>
      </c>
      <c r="D1013">
        <v>29.045999999999999</v>
      </c>
      <c r="E1013">
        <v>29.026</v>
      </c>
      <c r="F1013" s="2">
        <v>8.9999999999999998E-4</v>
      </c>
      <c r="G1013" t="s">
        <v>3421</v>
      </c>
      <c r="H1013" t="s">
        <v>3425</v>
      </c>
      <c r="I1013">
        <v>440387.64370000002</v>
      </c>
      <c r="J1013">
        <v>1827384.5236</v>
      </c>
      <c r="K1013">
        <v>440410.42509999999</v>
      </c>
      <c r="L1013">
        <v>1827384.5236</v>
      </c>
      <c r="M1013" t="s">
        <v>56</v>
      </c>
      <c r="N1013" t="s">
        <v>57</v>
      </c>
      <c r="O1013">
        <v>600</v>
      </c>
      <c r="P1013" t="s">
        <v>109</v>
      </c>
      <c r="Q1013" t="s">
        <v>3892</v>
      </c>
      <c r="R1013" t="s">
        <v>54</v>
      </c>
      <c r="S1013" t="s">
        <v>3423</v>
      </c>
      <c r="T1013" t="s">
        <v>420</v>
      </c>
      <c r="U1013">
        <v>0</v>
      </c>
      <c r="V1013">
        <v>0</v>
      </c>
      <c r="W1013" t="s">
        <v>52</v>
      </c>
      <c r="X1013">
        <v>1.2763</v>
      </c>
      <c r="Y1013">
        <v>1.4632000000000001</v>
      </c>
      <c r="Z1013">
        <v>1.2794000000000001</v>
      </c>
      <c r="AA1013">
        <v>1.3905000000000001</v>
      </c>
      <c r="AB1013">
        <v>22.781400000000001</v>
      </c>
      <c r="AC1013">
        <v>22.781400000000001</v>
      </c>
      <c r="AD1013">
        <v>21.5822</v>
      </c>
      <c r="AE1013">
        <v>21.5822</v>
      </c>
      <c r="AF1013" t="s">
        <v>183</v>
      </c>
      <c r="AG1013" t="s">
        <v>183</v>
      </c>
      <c r="AH1013" t="s">
        <v>3894</v>
      </c>
      <c r="AI1013" t="s">
        <v>3894</v>
      </c>
      <c r="AJ1013" t="s">
        <v>3895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3896</v>
      </c>
      <c r="AT1013" t="s">
        <v>3890</v>
      </c>
      <c r="AU1013" t="s">
        <v>3956</v>
      </c>
      <c r="AV1013" t="s">
        <v>3898</v>
      </c>
      <c r="AW1013">
        <v>2</v>
      </c>
      <c r="AX1013">
        <v>0</v>
      </c>
    </row>
    <row r="1014" spans="1:50" x14ac:dyDescent="0.25">
      <c r="A1014" t="s">
        <v>5040</v>
      </c>
      <c r="B1014" t="s">
        <v>3889</v>
      </c>
      <c r="C1014" t="s">
        <v>3890</v>
      </c>
      <c r="D1014">
        <v>29.315000000000001</v>
      </c>
      <c r="E1014">
        <v>29.295000000000002</v>
      </c>
      <c r="F1014" s="2">
        <v>1E-3</v>
      </c>
      <c r="G1014" t="s">
        <v>3829</v>
      </c>
      <c r="H1014" t="s">
        <v>3832</v>
      </c>
      <c r="I1014">
        <v>440398.47509999998</v>
      </c>
      <c r="J1014">
        <v>1827809.7609000001</v>
      </c>
      <c r="K1014">
        <v>440398.47509999998</v>
      </c>
      <c r="L1014">
        <v>1827789.7609000001</v>
      </c>
      <c r="M1014" t="s">
        <v>56</v>
      </c>
      <c r="N1014" t="s">
        <v>57</v>
      </c>
      <c r="O1014">
        <v>450</v>
      </c>
      <c r="P1014" t="s">
        <v>3891</v>
      </c>
      <c r="Q1014" t="s">
        <v>3892</v>
      </c>
      <c r="R1014" t="s">
        <v>107</v>
      </c>
      <c r="S1014" t="s">
        <v>440</v>
      </c>
      <c r="T1014" t="s">
        <v>597</v>
      </c>
      <c r="U1014">
        <v>-2.0000000000000001E-4</v>
      </c>
      <c r="V1014">
        <v>-2.0000000000000001E-4</v>
      </c>
      <c r="W1014" t="s">
        <v>52</v>
      </c>
      <c r="X1014">
        <v>1.4141999999999999</v>
      </c>
      <c r="Y1014">
        <v>1.5262</v>
      </c>
      <c r="Z1014">
        <v>1.5262</v>
      </c>
      <c r="AA1014">
        <v>1.4141999999999999</v>
      </c>
      <c r="AB1014">
        <v>20</v>
      </c>
      <c r="AC1014">
        <v>20</v>
      </c>
      <c r="AD1014">
        <v>18.800699999999999</v>
      </c>
      <c r="AE1014">
        <v>18.800699999999999</v>
      </c>
      <c r="AF1014" t="s">
        <v>2233</v>
      </c>
      <c r="AG1014" t="s">
        <v>2233</v>
      </c>
      <c r="AH1014" t="s">
        <v>3894</v>
      </c>
      <c r="AI1014" t="s">
        <v>3894</v>
      </c>
      <c r="AJ1014" t="s">
        <v>3895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3896</v>
      </c>
      <c r="AT1014" t="s">
        <v>3890</v>
      </c>
      <c r="AU1014" t="s">
        <v>3897</v>
      </c>
      <c r="AV1014" t="s">
        <v>3898</v>
      </c>
      <c r="AW1014">
        <v>2</v>
      </c>
      <c r="AX1014">
        <v>0</v>
      </c>
    </row>
    <row r="1015" spans="1:50" x14ac:dyDescent="0.25">
      <c r="A1015" t="s">
        <v>5041</v>
      </c>
      <c r="B1015" t="s">
        <v>3963</v>
      </c>
      <c r="C1015" t="s">
        <v>3890</v>
      </c>
      <c r="D1015">
        <v>29.295000000000002</v>
      </c>
      <c r="E1015">
        <v>29.274999999999999</v>
      </c>
      <c r="F1015" s="2">
        <v>1E-3</v>
      </c>
      <c r="G1015" t="s">
        <v>2980</v>
      </c>
      <c r="H1015" t="s">
        <v>2983</v>
      </c>
      <c r="I1015">
        <v>440387.45010000002</v>
      </c>
      <c r="J1015">
        <v>1827809.7609000001</v>
      </c>
      <c r="K1015">
        <v>440387.45010000002</v>
      </c>
      <c r="L1015">
        <v>1827789.7609000001</v>
      </c>
      <c r="M1015" t="s">
        <v>56</v>
      </c>
      <c r="N1015" t="s">
        <v>57</v>
      </c>
      <c r="O1015">
        <v>600</v>
      </c>
      <c r="P1015" t="s">
        <v>3891</v>
      </c>
      <c r="Q1015" t="s">
        <v>3892</v>
      </c>
      <c r="R1015" t="s">
        <v>117</v>
      </c>
      <c r="S1015" t="s">
        <v>440</v>
      </c>
      <c r="T1015" t="s">
        <v>597</v>
      </c>
      <c r="U1015">
        <v>-3.8600000000000002E-2</v>
      </c>
      <c r="V1015">
        <v>-3.8600000000000002E-2</v>
      </c>
      <c r="W1015" t="s">
        <v>52</v>
      </c>
      <c r="X1015">
        <v>1.4327000000000001</v>
      </c>
      <c r="Y1015">
        <v>1.5447</v>
      </c>
      <c r="Z1015">
        <v>1.5447</v>
      </c>
      <c r="AA1015">
        <v>1.4327000000000001</v>
      </c>
      <c r="AB1015">
        <v>20</v>
      </c>
      <c r="AC1015">
        <v>20</v>
      </c>
      <c r="AD1015">
        <v>18.800799999999999</v>
      </c>
      <c r="AE1015">
        <v>18.800899999999999</v>
      </c>
      <c r="AF1015" t="s">
        <v>2233</v>
      </c>
      <c r="AG1015" t="s">
        <v>2233</v>
      </c>
      <c r="AH1015" t="s">
        <v>3894</v>
      </c>
      <c r="AI1015" t="s">
        <v>3894</v>
      </c>
      <c r="AJ1015" t="s">
        <v>3895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3896</v>
      </c>
      <c r="AT1015" t="s">
        <v>3890</v>
      </c>
      <c r="AU1015" t="s">
        <v>3964</v>
      </c>
      <c r="AV1015" t="s">
        <v>3898</v>
      </c>
      <c r="AW1015">
        <v>2</v>
      </c>
      <c r="AX1015">
        <v>0</v>
      </c>
    </row>
    <row r="1016" spans="1:50" x14ac:dyDescent="0.25">
      <c r="A1016" t="s">
        <v>5042</v>
      </c>
      <c r="B1016" t="s">
        <v>3963</v>
      </c>
      <c r="C1016" t="s">
        <v>3890</v>
      </c>
      <c r="D1016">
        <v>29.315000000000001</v>
      </c>
      <c r="E1016">
        <v>29.295000000000002</v>
      </c>
      <c r="F1016" s="2">
        <v>1E-3</v>
      </c>
      <c r="G1016" t="s">
        <v>2977</v>
      </c>
      <c r="H1016" t="s">
        <v>2980</v>
      </c>
      <c r="I1016">
        <v>440387.45010000002</v>
      </c>
      <c r="J1016">
        <v>1827829.7609000001</v>
      </c>
      <c r="K1016">
        <v>440387.45010000002</v>
      </c>
      <c r="L1016">
        <v>1827809.7609000001</v>
      </c>
      <c r="M1016" t="s">
        <v>56</v>
      </c>
      <c r="N1016" t="s">
        <v>57</v>
      </c>
      <c r="O1016">
        <v>600</v>
      </c>
      <c r="P1016" t="s">
        <v>3891</v>
      </c>
      <c r="Q1016" t="s">
        <v>3892</v>
      </c>
      <c r="R1016" t="s">
        <v>117</v>
      </c>
      <c r="S1016" t="s">
        <v>444</v>
      </c>
      <c r="T1016" t="s">
        <v>440</v>
      </c>
      <c r="U1016">
        <v>-3.8600000000000002E-2</v>
      </c>
      <c r="V1016">
        <v>-3.8600000000000002E-2</v>
      </c>
      <c r="W1016" t="s">
        <v>52</v>
      </c>
      <c r="X1016">
        <v>1.4932000000000001</v>
      </c>
      <c r="Y1016">
        <v>1.5474000000000001</v>
      </c>
      <c r="Z1016">
        <v>1.4932000000000001</v>
      </c>
      <c r="AA1016">
        <v>1.5447</v>
      </c>
      <c r="AB1016">
        <v>20</v>
      </c>
      <c r="AC1016">
        <v>20</v>
      </c>
      <c r="AD1016">
        <v>18.800799999999999</v>
      </c>
      <c r="AE1016">
        <v>18.800899999999999</v>
      </c>
      <c r="AF1016" t="s">
        <v>2233</v>
      </c>
      <c r="AG1016" t="s">
        <v>2233</v>
      </c>
      <c r="AH1016" t="s">
        <v>3894</v>
      </c>
      <c r="AI1016" t="s">
        <v>3894</v>
      </c>
      <c r="AJ1016" t="s">
        <v>3895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3896</v>
      </c>
      <c r="AT1016" t="s">
        <v>3890</v>
      </c>
      <c r="AU1016" t="s">
        <v>3964</v>
      </c>
      <c r="AV1016" t="s">
        <v>3898</v>
      </c>
      <c r="AW1016">
        <v>2</v>
      </c>
      <c r="AX1016">
        <v>0</v>
      </c>
    </row>
    <row r="1017" spans="1:50" x14ac:dyDescent="0.25">
      <c r="A1017" t="s">
        <v>5043</v>
      </c>
      <c r="B1017" t="s">
        <v>3889</v>
      </c>
      <c r="C1017" t="s">
        <v>3890</v>
      </c>
      <c r="D1017">
        <v>28.449000000000002</v>
      </c>
      <c r="E1017">
        <v>28.395</v>
      </c>
      <c r="F1017" s="2">
        <v>2.7000000000000001E-3</v>
      </c>
      <c r="G1017" t="s">
        <v>2799</v>
      </c>
      <c r="H1017" t="s">
        <v>2802</v>
      </c>
      <c r="I1017">
        <v>440595.27510000003</v>
      </c>
      <c r="J1017">
        <v>1827822.6984000001</v>
      </c>
      <c r="K1017">
        <v>440595.27510000003</v>
      </c>
      <c r="L1017">
        <v>1827802.6984000001</v>
      </c>
      <c r="M1017" t="s">
        <v>56</v>
      </c>
      <c r="N1017" t="s">
        <v>57</v>
      </c>
      <c r="O1017">
        <v>450</v>
      </c>
      <c r="P1017" t="s">
        <v>3891</v>
      </c>
      <c r="Q1017" t="s">
        <v>3892</v>
      </c>
      <c r="R1017" t="s">
        <v>251</v>
      </c>
      <c r="S1017" t="s">
        <v>529</v>
      </c>
      <c r="T1017" t="s">
        <v>525</v>
      </c>
      <c r="U1017">
        <v>-0.27500000000000002</v>
      </c>
      <c r="V1017">
        <v>-0.27500000000000002</v>
      </c>
      <c r="W1017" t="s">
        <v>52</v>
      </c>
      <c r="X1017">
        <v>1.0932999999999999</v>
      </c>
      <c r="Y1017">
        <v>1.1893</v>
      </c>
      <c r="Z1017">
        <v>1.0932999999999999</v>
      </c>
      <c r="AA1017">
        <v>1.1893</v>
      </c>
      <c r="AB1017">
        <v>20</v>
      </c>
      <c r="AC1017">
        <v>20.0001</v>
      </c>
      <c r="AD1017">
        <v>18.8019</v>
      </c>
      <c r="AE1017">
        <v>18.802</v>
      </c>
      <c r="AF1017" t="s">
        <v>2233</v>
      </c>
      <c r="AG1017" t="s">
        <v>2233</v>
      </c>
      <c r="AH1017" t="s">
        <v>3894</v>
      </c>
      <c r="AI1017" t="s">
        <v>3894</v>
      </c>
      <c r="AJ1017" t="s">
        <v>3895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3896</v>
      </c>
      <c r="AT1017" t="s">
        <v>3890</v>
      </c>
      <c r="AU1017" t="s">
        <v>3897</v>
      </c>
      <c r="AV1017" t="s">
        <v>3898</v>
      </c>
      <c r="AW1017">
        <v>2</v>
      </c>
      <c r="AX1017">
        <v>0</v>
      </c>
    </row>
    <row r="1018" spans="1:50" x14ac:dyDescent="0.25">
      <c r="A1018" t="s">
        <v>5044</v>
      </c>
      <c r="B1018" t="s">
        <v>4004</v>
      </c>
      <c r="C1018" t="s">
        <v>3890</v>
      </c>
      <c r="D1018">
        <v>28.428999999999998</v>
      </c>
      <c r="E1018">
        <v>28.408999999999999</v>
      </c>
      <c r="F1018" s="2">
        <v>1E-3</v>
      </c>
      <c r="G1018" t="s">
        <v>2727</v>
      </c>
      <c r="H1018" t="s">
        <v>2730</v>
      </c>
      <c r="I1018">
        <v>440530.42509999999</v>
      </c>
      <c r="J1018">
        <v>1827769.0507</v>
      </c>
      <c r="K1018">
        <v>440550.42509999999</v>
      </c>
      <c r="L1018">
        <v>1827769.0507</v>
      </c>
      <c r="M1018" t="s">
        <v>56</v>
      </c>
      <c r="N1018" t="s">
        <v>57</v>
      </c>
      <c r="O1018">
        <v>600</v>
      </c>
      <c r="P1018" t="s">
        <v>58</v>
      </c>
      <c r="Q1018" t="s">
        <v>3892</v>
      </c>
      <c r="R1018" t="s">
        <v>205</v>
      </c>
      <c r="S1018" s="1" t="s">
        <v>444</v>
      </c>
      <c r="T1018" t="s">
        <v>448</v>
      </c>
      <c r="U1018">
        <v>0</v>
      </c>
      <c r="V1018">
        <v>0</v>
      </c>
      <c r="W1018" t="s">
        <v>52</v>
      </c>
      <c r="X1018">
        <v>0.93869999999999998</v>
      </c>
      <c r="Y1018">
        <v>1.0006999999999999</v>
      </c>
      <c r="Z1018">
        <v>0.93869999999999998</v>
      </c>
      <c r="AA1018">
        <v>1.0006999999999999</v>
      </c>
      <c r="AB1018">
        <v>20</v>
      </c>
      <c r="AC1018">
        <v>20</v>
      </c>
      <c r="AD1018">
        <v>18.800799999999999</v>
      </c>
      <c r="AE1018">
        <v>18.800899999999999</v>
      </c>
      <c r="AF1018" t="s">
        <v>183</v>
      </c>
      <c r="AG1018" t="s">
        <v>183</v>
      </c>
      <c r="AH1018" t="s">
        <v>3894</v>
      </c>
      <c r="AI1018" t="s">
        <v>3894</v>
      </c>
      <c r="AJ1018" t="s">
        <v>3895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3896</v>
      </c>
      <c r="AT1018" t="s">
        <v>3890</v>
      </c>
      <c r="AU1018" t="s">
        <v>4006</v>
      </c>
      <c r="AV1018" t="s">
        <v>3898</v>
      </c>
      <c r="AW1018">
        <v>2</v>
      </c>
      <c r="AX1018">
        <v>0</v>
      </c>
    </row>
    <row r="1019" spans="1:50" x14ac:dyDescent="0.25">
      <c r="A1019" t="s">
        <v>5045</v>
      </c>
      <c r="B1019" t="s">
        <v>3889</v>
      </c>
      <c r="C1019" t="s">
        <v>3890</v>
      </c>
      <c r="D1019">
        <v>29.917000000000002</v>
      </c>
      <c r="E1019">
        <v>29.896999999999998</v>
      </c>
      <c r="F1019" s="2">
        <v>1E-3</v>
      </c>
      <c r="G1019" t="s">
        <v>2403</v>
      </c>
      <c r="H1019" t="s">
        <v>2406</v>
      </c>
      <c r="I1019">
        <v>440450.42509999999</v>
      </c>
      <c r="J1019">
        <v>1827925.5109000001</v>
      </c>
      <c r="K1019">
        <v>440470.42509999999</v>
      </c>
      <c r="L1019">
        <v>1827925.5109000001</v>
      </c>
      <c r="M1019" t="s">
        <v>56</v>
      </c>
      <c r="N1019" t="s">
        <v>57</v>
      </c>
      <c r="O1019">
        <v>450</v>
      </c>
      <c r="P1019" t="s">
        <v>3891</v>
      </c>
      <c r="Q1019" t="s">
        <v>3892</v>
      </c>
      <c r="R1019" t="s">
        <v>2395</v>
      </c>
      <c r="S1019" t="s">
        <v>428</v>
      </c>
      <c r="T1019" t="s">
        <v>432</v>
      </c>
      <c r="U1019">
        <v>-0.1769</v>
      </c>
      <c r="V1019">
        <v>-0.18540000000000001</v>
      </c>
      <c r="W1019" t="s">
        <v>52</v>
      </c>
      <c r="X1019">
        <v>0.70120000000000005</v>
      </c>
      <c r="Y1019">
        <v>0.92579999999999996</v>
      </c>
      <c r="Z1019">
        <v>0.88090000000000002</v>
      </c>
      <c r="AA1019">
        <v>0.92579999999999996</v>
      </c>
      <c r="AB1019">
        <v>20</v>
      </c>
      <c r="AC1019">
        <v>20</v>
      </c>
      <c r="AD1019">
        <v>18.800699999999999</v>
      </c>
      <c r="AE1019">
        <v>18.800699999999999</v>
      </c>
      <c r="AF1019" t="s">
        <v>183</v>
      </c>
      <c r="AG1019" t="s">
        <v>183</v>
      </c>
      <c r="AH1019" t="s">
        <v>3894</v>
      </c>
      <c r="AI1019" t="s">
        <v>3894</v>
      </c>
      <c r="AJ1019" t="s">
        <v>3895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3896</v>
      </c>
      <c r="AT1019" t="s">
        <v>3890</v>
      </c>
      <c r="AU1019" t="s">
        <v>3897</v>
      </c>
      <c r="AV1019" t="s">
        <v>3898</v>
      </c>
      <c r="AW1019">
        <v>2</v>
      </c>
      <c r="AX1019">
        <v>0</v>
      </c>
    </row>
    <row r="1020" spans="1:50" x14ac:dyDescent="0.25">
      <c r="A1020" t="s">
        <v>5046</v>
      </c>
      <c r="B1020" t="s">
        <v>4813</v>
      </c>
      <c r="C1020" t="s">
        <v>3890</v>
      </c>
      <c r="D1020">
        <v>27.315000000000001</v>
      </c>
      <c r="E1020">
        <v>27.295000000000002</v>
      </c>
      <c r="F1020" s="2">
        <v>1E-3</v>
      </c>
      <c r="G1020" t="s">
        <v>2095</v>
      </c>
      <c r="H1020" t="s">
        <v>2099</v>
      </c>
      <c r="I1020">
        <v>440260.25550000003</v>
      </c>
      <c r="J1020">
        <v>1827550.1838</v>
      </c>
      <c r="K1020">
        <v>440280.25550000003</v>
      </c>
      <c r="L1020">
        <v>1827550.1838</v>
      </c>
      <c r="M1020" t="s">
        <v>56</v>
      </c>
      <c r="N1020" t="s">
        <v>57</v>
      </c>
      <c r="O1020">
        <v>1050</v>
      </c>
      <c r="P1020" t="s">
        <v>3997</v>
      </c>
      <c r="Q1020" t="s">
        <v>3930</v>
      </c>
      <c r="R1020" t="s">
        <v>180</v>
      </c>
      <c r="S1020" t="s">
        <v>2097</v>
      </c>
      <c r="T1020" t="s">
        <v>2101</v>
      </c>
      <c r="U1020">
        <v>-0.35</v>
      </c>
      <c r="V1020">
        <v>-0.35</v>
      </c>
      <c r="W1020" t="s">
        <v>52</v>
      </c>
      <c r="X1020">
        <v>2.1526999999999998</v>
      </c>
      <c r="Y1020">
        <v>2.2435999999999998</v>
      </c>
      <c r="Z1020">
        <v>2.2435999999999998</v>
      </c>
      <c r="AA1020">
        <v>2.1526999999999998</v>
      </c>
      <c r="AB1020">
        <v>20</v>
      </c>
      <c r="AC1020">
        <v>20</v>
      </c>
      <c r="AD1020">
        <v>18.801400000000001</v>
      </c>
      <c r="AE1020">
        <v>18.801400000000001</v>
      </c>
      <c r="AF1020" t="s">
        <v>183</v>
      </c>
      <c r="AG1020" t="s">
        <v>183</v>
      </c>
      <c r="AH1020" t="s">
        <v>3894</v>
      </c>
      <c r="AI1020" t="s">
        <v>3894</v>
      </c>
      <c r="AJ1020" t="s">
        <v>3895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3896</v>
      </c>
      <c r="AT1020" t="s">
        <v>3890</v>
      </c>
      <c r="AU1020" t="s">
        <v>4815</v>
      </c>
      <c r="AV1020" t="s">
        <v>3898</v>
      </c>
      <c r="AW1020">
        <v>2</v>
      </c>
      <c r="AX1020">
        <v>0</v>
      </c>
    </row>
    <row r="1021" spans="1:50" x14ac:dyDescent="0.25">
      <c r="A1021" t="s">
        <v>5047</v>
      </c>
      <c r="B1021" t="s">
        <v>4355</v>
      </c>
      <c r="C1021" t="s">
        <v>3890</v>
      </c>
      <c r="D1021">
        <v>28.015999999999998</v>
      </c>
      <c r="E1021">
        <v>27.995999999999999</v>
      </c>
      <c r="F1021" s="2">
        <v>1E-3</v>
      </c>
      <c r="G1021" t="s">
        <v>1186</v>
      </c>
      <c r="H1021" t="s">
        <v>1190</v>
      </c>
      <c r="I1021">
        <v>440217.49979999999</v>
      </c>
      <c r="J1021">
        <v>1827621.8171000001</v>
      </c>
      <c r="K1021">
        <v>440217.49979999999</v>
      </c>
      <c r="L1021">
        <v>1827601.8171000001</v>
      </c>
      <c r="M1021" t="s">
        <v>56</v>
      </c>
      <c r="N1021" t="s">
        <v>57</v>
      </c>
      <c r="O1021">
        <v>900</v>
      </c>
      <c r="P1021" t="s">
        <v>3918</v>
      </c>
      <c r="Q1021" t="s">
        <v>3930</v>
      </c>
      <c r="R1021" t="s">
        <v>151</v>
      </c>
      <c r="S1021" t="s">
        <v>1188</v>
      </c>
      <c r="T1021" t="s">
        <v>1192</v>
      </c>
      <c r="U1021">
        <v>2.3699999999999999E-2</v>
      </c>
      <c r="V1021">
        <v>1.2800000000000001E-2</v>
      </c>
      <c r="W1021" t="s">
        <v>52</v>
      </c>
      <c r="X1021">
        <v>2.2902999999999998</v>
      </c>
      <c r="Y1021">
        <v>2.3247</v>
      </c>
      <c r="Z1021">
        <v>2.2907999999999999</v>
      </c>
      <c r="AA1021">
        <v>2.3247</v>
      </c>
      <c r="AB1021">
        <v>20</v>
      </c>
      <c r="AC1021">
        <v>20</v>
      </c>
      <c r="AD1021">
        <v>18.801200000000001</v>
      </c>
      <c r="AE1021">
        <v>18.801300000000001</v>
      </c>
      <c r="AF1021" t="s">
        <v>2233</v>
      </c>
      <c r="AG1021" t="s">
        <v>2233</v>
      </c>
      <c r="AH1021" t="s">
        <v>3894</v>
      </c>
      <c r="AI1021" t="s">
        <v>3894</v>
      </c>
      <c r="AJ1021" t="s">
        <v>3895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3896</v>
      </c>
      <c r="AT1021" t="s">
        <v>3890</v>
      </c>
      <c r="AU1021" t="s">
        <v>4357</v>
      </c>
      <c r="AV1021" t="s">
        <v>3898</v>
      </c>
      <c r="AW1021">
        <v>2</v>
      </c>
      <c r="AX1021">
        <v>0</v>
      </c>
    </row>
    <row r="1022" spans="1:50" x14ac:dyDescent="0.25">
      <c r="A1022" t="s">
        <v>5048</v>
      </c>
      <c r="B1022" t="s">
        <v>4355</v>
      </c>
      <c r="C1022" t="s">
        <v>3890</v>
      </c>
      <c r="D1022">
        <v>28.036000000000001</v>
      </c>
      <c r="E1022">
        <v>28.015999999999998</v>
      </c>
      <c r="F1022" s="2">
        <v>1E-3</v>
      </c>
      <c r="G1022" t="s">
        <v>1182</v>
      </c>
      <c r="H1022" t="s">
        <v>1186</v>
      </c>
      <c r="I1022">
        <v>440217.49979999999</v>
      </c>
      <c r="J1022">
        <v>1827641.8171000001</v>
      </c>
      <c r="K1022">
        <v>440217.49979999999</v>
      </c>
      <c r="L1022">
        <v>1827621.8171000001</v>
      </c>
      <c r="M1022" t="s">
        <v>56</v>
      </c>
      <c r="N1022" t="s">
        <v>57</v>
      </c>
      <c r="O1022">
        <v>900</v>
      </c>
      <c r="P1022" t="s">
        <v>3918</v>
      </c>
      <c r="Q1022" t="s">
        <v>3930</v>
      </c>
      <c r="R1022" t="s">
        <v>151</v>
      </c>
      <c r="S1022" t="s">
        <v>1184</v>
      </c>
      <c r="T1022" t="s">
        <v>1188</v>
      </c>
      <c r="U1022">
        <v>3.4500000000000003E-2</v>
      </c>
      <c r="V1022">
        <v>2.3699999999999999E-2</v>
      </c>
      <c r="W1022" t="s">
        <v>52</v>
      </c>
      <c r="X1022">
        <v>2.2907999999999999</v>
      </c>
      <c r="Y1022">
        <v>2.3435000000000001</v>
      </c>
      <c r="Z1022">
        <v>2.3435000000000001</v>
      </c>
      <c r="AA1022">
        <v>2.2907999999999999</v>
      </c>
      <c r="AB1022">
        <v>20</v>
      </c>
      <c r="AC1022">
        <v>20</v>
      </c>
      <c r="AD1022">
        <v>18.801200000000001</v>
      </c>
      <c r="AE1022">
        <v>18.801300000000001</v>
      </c>
      <c r="AF1022" t="s">
        <v>2233</v>
      </c>
      <c r="AG1022" t="s">
        <v>2233</v>
      </c>
      <c r="AH1022" t="s">
        <v>3894</v>
      </c>
      <c r="AI1022" t="s">
        <v>3894</v>
      </c>
      <c r="AJ1022" t="s">
        <v>3895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3896</v>
      </c>
      <c r="AT1022" t="s">
        <v>3890</v>
      </c>
      <c r="AU1022" t="s">
        <v>4357</v>
      </c>
      <c r="AV1022" t="s">
        <v>3898</v>
      </c>
      <c r="AW1022">
        <v>2</v>
      </c>
      <c r="AX1022">
        <v>0</v>
      </c>
    </row>
    <row r="1023" spans="1:50" x14ac:dyDescent="0.25">
      <c r="A1023" t="s">
        <v>5049</v>
      </c>
      <c r="B1023" t="s">
        <v>3933</v>
      </c>
      <c r="C1023" t="s">
        <v>3890</v>
      </c>
      <c r="D1023">
        <v>31.489000000000001</v>
      </c>
      <c r="E1023">
        <v>31.469000000000001</v>
      </c>
      <c r="F1023" s="2">
        <v>1E-3</v>
      </c>
      <c r="G1023" t="s">
        <v>973</v>
      </c>
      <c r="H1023" t="s">
        <v>977</v>
      </c>
      <c r="I1023">
        <v>440217.59980000003</v>
      </c>
      <c r="J1023">
        <v>1828101.8171000001</v>
      </c>
      <c r="K1023">
        <v>440217.59980000003</v>
      </c>
      <c r="L1023">
        <v>1828081.8171000001</v>
      </c>
      <c r="M1023" t="s">
        <v>56</v>
      </c>
      <c r="N1023" t="s">
        <v>57</v>
      </c>
      <c r="O1023">
        <v>750</v>
      </c>
      <c r="P1023" t="s">
        <v>58</v>
      </c>
      <c r="Q1023" t="s">
        <v>3919</v>
      </c>
      <c r="R1023" t="s">
        <v>151</v>
      </c>
      <c r="S1023" t="s">
        <v>975</v>
      </c>
      <c r="T1023" t="s">
        <v>979</v>
      </c>
      <c r="U1023">
        <v>0.18459999999999999</v>
      </c>
      <c r="V1023">
        <v>0.17380000000000001</v>
      </c>
      <c r="W1023" t="s">
        <v>52</v>
      </c>
      <c r="X1023">
        <v>1.3625</v>
      </c>
      <c r="Y1023">
        <v>1.4266000000000001</v>
      </c>
      <c r="Z1023">
        <v>1.4266000000000001</v>
      </c>
      <c r="AA1023">
        <v>1.3625</v>
      </c>
      <c r="AB1023">
        <v>20</v>
      </c>
      <c r="AC1023">
        <v>20</v>
      </c>
      <c r="AD1023">
        <v>18.800999999999998</v>
      </c>
      <c r="AE1023">
        <v>18.801100000000002</v>
      </c>
      <c r="AF1023" t="s">
        <v>2233</v>
      </c>
      <c r="AG1023" t="s">
        <v>2233</v>
      </c>
      <c r="AH1023" t="s">
        <v>3894</v>
      </c>
      <c r="AI1023" t="s">
        <v>3894</v>
      </c>
      <c r="AJ1023" t="s">
        <v>3895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3896</v>
      </c>
      <c r="AT1023" t="s">
        <v>3890</v>
      </c>
      <c r="AU1023" t="s">
        <v>3935</v>
      </c>
      <c r="AV1023" t="s">
        <v>3898</v>
      </c>
      <c r="AW1023">
        <v>2</v>
      </c>
      <c r="AX1023">
        <v>0</v>
      </c>
    </row>
    <row r="1024" spans="1:50" x14ac:dyDescent="0.25">
      <c r="A1024" t="s">
        <v>5050</v>
      </c>
      <c r="B1024" t="s">
        <v>3924</v>
      </c>
      <c r="C1024" t="s">
        <v>3890</v>
      </c>
      <c r="D1024">
        <v>31.658999999999999</v>
      </c>
      <c r="E1024">
        <v>31.638999999999999</v>
      </c>
      <c r="F1024" s="2">
        <v>1E-3</v>
      </c>
      <c r="G1024" t="s">
        <v>969</v>
      </c>
      <c r="H1024" t="s">
        <v>973</v>
      </c>
      <c r="I1024">
        <v>440217.62479999999</v>
      </c>
      <c r="J1024">
        <v>1828121.8171000001</v>
      </c>
      <c r="K1024">
        <v>440217.62479999999</v>
      </c>
      <c r="L1024">
        <v>1828101.8171000001</v>
      </c>
      <c r="M1024" t="s">
        <v>56</v>
      </c>
      <c r="N1024" t="s">
        <v>57</v>
      </c>
      <c r="O1024">
        <v>750</v>
      </c>
      <c r="P1024" t="s">
        <v>3891</v>
      </c>
      <c r="Q1024" t="s">
        <v>3892</v>
      </c>
      <c r="R1024" t="s">
        <v>151</v>
      </c>
      <c r="S1024" t="s">
        <v>971</v>
      </c>
      <c r="T1024" t="s">
        <v>975</v>
      </c>
      <c r="U1024">
        <v>0.17050000000000001</v>
      </c>
      <c r="V1024">
        <v>0.15959999999999999</v>
      </c>
      <c r="W1024" t="s">
        <v>52</v>
      </c>
      <c r="X1024">
        <v>1.4520999999999999</v>
      </c>
      <c r="Y1024">
        <v>1.5411999999999999</v>
      </c>
      <c r="Z1024">
        <v>1.5411999999999999</v>
      </c>
      <c r="AA1024">
        <v>1.4520999999999999</v>
      </c>
      <c r="AB1024">
        <v>20</v>
      </c>
      <c r="AC1024">
        <v>20</v>
      </c>
      <c r="AD1024">
        <v>18.800999999999998</v>
      </c>
      <c r="AE1024">
        <v>18.800999999999998</v>
      </c>
      <c r="AF1024" t="s">
        <v>2233</v>
      </c>
      <c r="AG1024" t="s">
        <v>2233</v>
      </c>
      <c r="AH1024" t="s">
        <v>3894</v>
      </c>
      <c r="AI1024" t="s">
        <v>3894</v>
      </c>
      <c r="AJ1024" t="s">
        <v>3895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3896</v>
      </c>
      <c r="AT1024" t="s">
        <v>3890</v>
      </c>
      <c r="AU1024" t="s">
        <v>3926</v>
      </c>
      <c r="AV1024" t="s">
        <v>3898</v>
      </c>
      <c r="AW1024">
        <v>2</v>
      </c>
      <c r="AX1024">
        <v>0</v>
      </c>
    </row>
    <row r="1025" spans="1:50" x14ac:dyDescent="0.25">
      <c r="A1025" t="s">
        <v>1055</v>
      </c>
      <c r="B1025" t="s">
        <v>3889</v>
      </c>
      <c r="C1025" t="s">
        <v>3890</v>
      </c>
      <c r="D1025">
        <v>29.495000000000001</v>
      </c>
      <c r="E1025">
        <v>29.475000000000001</v>
      </c>
      <c r="F1025" s="2">
        <v>1E-3</v>
      </c>
      <c r="G1025" t="s">
        <v>1054</v>
      </c>
      <c r="H1025" t="s">
        <v>1059</v>
      </c>
      <c r="I1025">
        <v>440310.4252</v>
      </c>
      <c r="J1025">
        <v>1827703.7895</v>
      </c>
      <c r="K1025">
        <v>440290.4252</v>
      </c>
      <c r="L1025">
        <v>1827703.7895</v>
      </c>
      <c r="M1025" t="s">
        <v>56</v>
      </c>
      <c r="N1025" t="s">
        <v>57</v>
      </c>
      <c r="O1025">
        <v>450</v>
      </c>
      <c r="P1025" t="s">
        <v>3891</v>
      </c>
      <c r="Q1025" t="s">
        <v>3892</v>
      </c>
      <c r="R1025" t="s">
        <v>1056</v>
      </c>
      <c r="S1025" t="s">
        <v>1057</v>
      </c>
      <c r="T1025" t="s">
        <v>1061</v>
      </c>
      <c r="U1025">
        <v>7.4999999999999997E-2</v>
      </c>
      <c r="V1025">
        <v>7.4999999999999997E-2</v>
      </c>
      <c r="W1025" t="s">
        <v>52</v>
      </c>
      <c r="X1025">
        <v>0.88060000000000005</v>
      </c>
      <c r="Y1025">
        <v>1.0933999999999999</v>
      </c>
      <c r="Z1025">
        <v>0.88060000000000005</v>
      </c>
      <c r="AA1025">
        <v>1.0933999999999999</v>
      </c>
      <c r="AB1025">
        <v>20</v>
      </c>
      <c r="AC1025">
        <v>20</v>
      </c>
      <c r="AD1025">
        <v>18.800699999999999</v>
      </c>
      <c r="AE1025">
        <v>18.800699999999999</v>
      </c>
      <c r="AF1025" t="s">
        <v>4630</v>
      </c>
      <c r="AG1025" t="s">
        <v>4630</v>
      </c>
      <c r="AH1025" t="s">
        <v>3894</v>
      </c>
      <c r="AI1025" t="s">
        <v>3894</v>
      </c>
      <c r="AJ1025" t="s">
        <v>3895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3896</v>
      </c>
      <c r="AT1025" t="s">
        <v>3890</v>
      </c>
      <c r="AU1025" t="s">
        <v>3897</v>
      </c>
      <c r="AV1025" t="s">
        <v>3898</v>
      </c>
      <c r="AW1025">
        <v>2</v>
      </c>
      <c r="AX1025">
        <v>0</v>
      </c>
    </row>
    <row r="1026" spans="1:50" x14ac:dyDescent="0.25">
      <c r="A1026" t="s">
        <v>5051</v>
      </c>
      <c r="B1026" t="s">
        <v>4355</v>
      </c>
      <c r="C1026" t="s">
        <v>3890</v>
      </c>
      <c r="D1026">
        <v>29.48</v>
      </c>
      <c r="E1026">
        <v>29.46</v>
      </c>
      <c r="F1026" s="2">
        <v>1E-3</v>
      </c>
      <c r="G1026" t="s">
        <v>1346</v>
      </c>
      <c r="H1026" t="s">
        <v>1350</v>
      </c>
      <c r="I1026">
        <v>440198.9498</v>
      </c>
      <c r="J1026">
        <v>1827621.8171000001</v>
      </c>
      <c r="K1026">
        <v>440198.9498</v>
      </c>
      <c r="L1026">
        <v>1827601.8171000001</v>
      </c>
      <c r="M1026" t="s">
        <v>56</v>
      </c>
      <c r="N1026" t="s">
        <v>57</v>
      </c>
      <c r="O1026">
        <v>900</v>
      </c>
      <c r="P1026" t="s">
        <v>3918</v>
      </c>
      <c r="Q1026" t="s">
        <v>3930</v>
      </c>
      <c r="R1026" t="s">
        <v>146</v>
      </c>
      <c r="S1026" t="s">
        <v>1348</v>
      </c>
      <c r="T1026" t="s">
        <v>1352</v>
      </c>
      <c r="U1026">
        <v>-0.05</v>
      </c>
      <c r="V1026">
        <v>-0.05</v>
      </c>
      <c r="W1026" t="s">
        <v>52</v>
      </c>
      <c r="X1026">
        <v>0.82630000000000003</v>
      </c>
      <c r="Y1026">
        <v>0.86070000000000002</v>
      </c>
      <c r="Z1026">
        <v>0.82679999999999998</v>
      </c>
      <c r="AA1026">
        <v>0.86070000000000002</v>
      </c>
      <c r="AB1026">
        <v>20</v>
      </c>
      <c r="AC1026">
        <v>20</v>
      </c>
      <c r="AD1026">
        <v>18.801200000000001</v>
      </c>
      <c r="AE1026">
        <v>18.801300000000001</v>
      </c>
      <c r="AF1026" t="s">
        <v>2233</v>
      </c>
      <c r="AG1026" t="s">
        <v>2233</v>
      </c>
      <c r="AH1026" t="s">
        <v>3894</v>
      </c>
      <c r="AI1026" t="s">
        <v>3894</v>
      </c>
      <c r="AJ1026" t="s">
        <v>3895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3896</v>
      </c>
      <c r="AT1026" t="s">
        <v>3890</v>
      </c>
      <c r="AU1026" t="s">
        <v>4357</v>
      </c>
      <c r="AV1026" t="s">
        <v>3898</v>
      </c>
      <c r="AW1026">
        <v>2</v>
      </c>
      <c r="AX1026">
        <v>0</v>
      </c>
    </row>
    <row r="1027" spans="1:50" x14ac:dyDescent="0.25">
      <c r="A1027" t="s">
        <v>5052</v>
      </c>
      <c r="B1027" t="s">
        <v>3933</v>
      </c>
      <c r="C1027" t="s">
        <v>3890</v>
      </c>
      <c r="D1027">
        <v>31.643000000000001</v>
      </c>
      <c r="E1027">
        <v>31.623000000000001</v>
      </c>
      <c r="F1027" s="2">
        <v>1E-3</v>
      </c>
      <c r="G1027" t="s">
        <v>1247</v>
      </c>
      <c r="H1027" t="s">
        <v>1251</v>
      </c>
      <c r="I1027">
        <v>440198.84980000003</v>
      </c>
      <c r="J1027">
        <v>1828061.8171000001</v>
      </c>
      <c r="K1027">
        <v>440198.84980000003</v>
      </c>
      <c r="L1027">
        <v>1828041.8171000001</v>
      </c>
      <c r="M1027" t="s">
        <v>56</v>
      </c>
      <c r="N1027" t="s">
        <v>57</v>
      </c>
      <c r="O1027">
        <v>750</v>
      </c>
      <c r="P1027" t="s">
        <v>58</v>
      </c>
      <c r="Q1027" t="s">
        <v>3919</v>
      </c>
      <c r="R1027" t="s">
        <v>146</v>
      </c>
      <c r="S1027" t="s">
        <v>1249</v>
      </c>
      <c r="T1027" t="s">
        <v>1253</v>
      </c>
      <c r="U1027">
        <v>0.05</v>
      </c>
      <c r="V1027">
        <v>0.05</v>
      </c>
      <c r="W1027" t="s">
        <v>52</v>
      </c>
      <c r="X1027">
        <v>0.9708</v>
      </c>
      <c r="Y1027">
        <v>1.0919000000000001</v>
      </c>
      <c r="Z1027">
        <v>1.0919000000000001</v>
      </c>
      <c r="AA1027">
        <v>0.9708</v>
      </c>
      <c r="AB1027">
        <v>20</v>
      </c>
      <c r="AC1027">
        <v>20</v>
      </c>
      <c r="AD1027">
        <v>18.800999999999998</v>
      </c>
      <c r="AE1027">
        <v>18.801100000000002</v>
      </c>
      <c r="AF1027" t="s">
        <v>2233</v>
      </c>
      <c r="AG1027" t="s">
        <v>2233</v>
      </c>
      <c r="AH1027" t="s">
        <v>3894</v>
      </c>
      <c r="AI1027" t="s">
        <v>3894</v>
      </c>
      <c r="AJ1027" t="s">
        <v>3895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3896</v>
      </c>
      <c r="AT1027" t="s">
        <v>3890</v>
      </c>
      <c r="AU1027" t="s">
        <v>3935</v>
      </c>
      <c r="AV1027" t="s">
        <v>3898</v>
      </c>
      <c r="AW1027">
        <v>2</v>
      </c>
      <c r="AX1027">
        <v>0</v>
      </c>
    </row>
    <row r="1028" spans="1:50" x14ac:dyDescent="0.25">
      <c r="A1028" t="s">
        <v>5053</v>
      </c>
      <c r="B1028" t="s">
        <v>4010</v>
      </c>
      <c r="C1028" t="s">
        <v>3890</v>
      </c>
      <c r="D1028">
        <v>32.31</v>
      </c>
      <c r="E1028">
        <v>32.29</v>
      </c>
      <c r="F1028" s="2">
        <v>1E-3</v>
      </c>
      <c r="G1028" t="s">
        <v>1459</v>
      </c>
      <c r="H1028" t="s">
        <v>1462</v>
      </c>
      <c r="I1028">
        <v>439962.02480000001</v>
      </c>
      <c r="J1028">
        <v>1827845.8171000001</v>
      </c>
      <c r="K1028">
        <v>439962.02480000001</v>
      </c>
      <c r="L1028">
        <v>1827825.8171000001</v>
      </c>
      <c r="M1028" t="s">
        <v>56</v>
      </c>
      <c r="N1028" t="s">
        <v>57</v>
      </c>
      <c r="O1028">
        <v>900</v>
      </c>
      <c r="P1028" t="s">
        <v>109</v>
      </c>
      <c r="Q1028" t="s">
        <v>3919</v>
      </c>
      <c r="R1028" t="s">
        <v>1404</v>
      </c>
      <c r="S1028" t="s">
        <v>853</v>
      </c>
      <c r="T1028" t="s">
        <v>849</v>
      </c>
      <c r="U1028">
        <v>0.12720000000000001</v>
      </c>
      <c r="V1028">
        <v>0.1186</v>
      </c>
      <c r="W1028" t="s">
        <v>52</v>
      </c>
      <c r="X1028">
        <v>0.88739999999999997</v>
      </c>
      <c r="Y1028">
        <v>0.96309999999999996</v>
      </c>
      <c r="Z1028">
        <v>0.96309999999999996</v>
      </c>
      <c r="AA1028">
        <v>0.88739999999999997</v>
      </c>
      <c r="AB1028">
        <v>20</v>
      </c>
      <c r="AC1028">
        <v>20</v>
      </c>
      <c r="AD1028">
        <v>18.801200000000001</v>
      </c>
      <c r="AE1028">
        <v>18.801200000000001</v>
      </c>
      <c r="AF1028" t="s">
        <v>4011</v>
      </c>
      <c r="AG1028" t="s">
        <v>4011</v>
      </c>
      <c r="AH1028" t="s">
        <v>3894</v>
      </c>
      <c r="AI1028" t="s">
        <v>3894</v>
      </c>
      <c r="AJ1028" t="s">
        <v>3895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3896</v>
      </c>
      <c r="AT1028" t="s">
        <v>3890</v>
      </c>
      <c r="AU1028" t="s">
        <v>4012</v>
      </c>
      <c r="AV1028" t="s">
        <v>3898</v>
      </c>
      <c r="AW1028">
        <v>2</v>
      </c>
      <c r="AX1028">
        <v>0</v>
      </c>
    </row>
    <row r="1029" spans="1:50" x14ac:dyDescent="0.25">
      <c r="A1029" t="s">
        <v>5054</v>
      </c>
      <c r="B1029" t="s">
        <v>4010</v>
      </c>
      <c r="C1029" t="s">
        <v>3890</v>
      </c>
      <c r="D1029">
        <v>32.33</v>
      </c>
      <c r="E1029">
        <v>32.31</v>
      </c>
      <c r="F1029" s="2">
        <v>1E-3</v>
      </c>
      <c r="G1029" t="s">
        <v>1455</v>
      </c>
      <c r="H1029" t="s">
        <v>1459</v>
      </c>
      <c r="I1029">
        <v>439962.02480000001</v>
      </c>
      <c r="J1029">
        <v>1827865.8171000001</v>
      </c>
      <c r="K1029">
        <v>439962.02480000001</v>
      </c>
      <c r="L1029">
        <v>1827845.8171000001</v>
      </c>
      <c r="M1029" t="s">
        <v>56</v>
      </c>
      <c r="N1029" t="s">
        <v>57</v>
      </c>
      <c r="O1029">
        <v>900</v>
      </c>
      <c r="P1029" t="s">
        <v>109</v>
      </c>
      <c r="Q1029" t="s">
        <v>3919</v>
      </c>
      <c r="R1029" t="s">
        <v>1404</v>
      </c>
      <c r="S1029" t="s">
        <v>1457</v>
      </c>
      <c r="T1029" t="s">
        <v>853</v>
      </c>
      <c r="U1029">
        <v>0.13569999999999999</v>
      </c>
      <c r="V1029">
        <v>0.12720000000000001</v>
      </c>
      <c r="W1029" t="s">
        <v>52</v>
      </c>
      <c r="X1029">
        <v>0.7802</v>
      </c>
      <c r="Y1029">
        <v>0.99819999999999998</v>
      </c>
      <c r="Z1029">
        <v>0.99819999999999998</v>
      </c>
      <c r="AA1029">
        <v>0.96309999999999996</v>
      </c>
      <c r="AB1029">
        <v>20</v>
      </c>
      <c r="AC1029">
        <v>20</v>
      </c>
      <c r="AD1029">
        <v>18.801200000000001</v>
      </c>
      <c r="AE1029">
        <v>18.801200000000001</v>
      </c>
      <c r="AF1029" t="s">
        <v>4011</v>
      </c>
      <c r="AG1029" t="s">
        <v>4011</v>
      </c>
      <c r="AH1029" t="s">
        <v>3894</v>
      </c>
      <c r="AI1029" t="s">
        <v>3894</v>
      </c>
      <c r="AJ1029" t="s">
        <v>3895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3896</v>
      </c>
      <c r="AT1029" t="s">
        <v>3890</v>
      </c>
      <c r="AU1029" t="s">
        <v>4012</v>
      </c>
      <c r="AV1029" t="s">
        <v>3898</v>
      </c>
      <c r="AW1029">
        <v>2</v>
      </c>
      <c r="AX1029">
        <v>0</v>
      </c>
    </row>
    <row r="1030" spans="1:50" x14ac:dyDescent="0.25">
      <c r="A1030" t="s">
        <v>5055</v>
      </c>
      <c r="B1030" t="s">
        <v>4065</v>
      </c>
      <c r="C1030" t="s">
        <v>3890</v>
      </c>
      <c r="D1030">
        <v>32.905999999999999</v>
      </c>
      <c r="E1030">
        <v>32.886000000000003</v>
      </c>
      <c r="F1030" s="2">
        <v>1E-3</v>
      </c>
      <c r="G1030" t="s">
        <v>1433</v>
      </c>
      <c r="H1030" t="s">
        <v>1436</v>
      </c>
      <c r="I1030">
        <v>439962.02480000001</v>
      </c>
      <c r="J1030">
        <v>1828005.8171000001</v>
      </c>
      <c r="K1030">
        <v>439962.02480000001</v>
      </c>
      <c r="L1030">
        <v>1827985.8171000001</v>
      </c>
      <c r="M1030" t="s">
        <v>56</v>
      </c>
      <c r="N1030" t="s">
        <v>57</v>
      </c>
      <c r="O1030">
        <v>900</v>
      </c>
      <c r="P1030" t="s">
        <v>58</v>
      </c>
      <c r="Q1030" t="s">
        <v>3919</v>
      </c>
      <c r="R1030" t="s">
        <v>1404</v>
      </c>
      <c r="S1030" t="s">
        <v>416</v>
      </c>
      <c r="T1030" t="s">
        <v>529</v>
      </c>
      <c r="U1030">
        <v>0.19589999999999999</v>
      </c>
      <c r="V1030">
        <v>0.18729999999999999</v>
      </c>
      <c r="W1030" t="s">
        <v>52</v>
      </c>
      <c r="X1030">
        <v>1.2070000000000001</v>
      </c>
      <c r="Y1030">
        <v>1.2827</v>
      </c>
      <c r="Z1030">
        <v>1.2827</v>
      </c>
      <c r="AA1030">
        <v>1.2070000000000001</v>
      </c>
      <c r="AB1030">
        <v>20</v>
      </c>
      <c r="AC1030">
        <v>20</v>
      </c>
      <c r="AD1030">
        <v>18.801200000000001</v>
      </c>
      <c r="AE1030">
        <v>18.801200000000001</v>
      </c>
      <c r="AF1030" t="s">
        <v>4011</v>
      </c>
      <c r="AG1030" t="s">
        <v>4011</v>
      </c>
      <c r="AH1030" t="s">
        <v>3894</v>
      </c>
      <c r="AI1030" t="s">
        <v>3894</v>
      </c>
      <c r="AJ1030" t="s">
        <v>3895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3896</v>
      </c>
      <c r="AT1030" t="s">
        <v>3890</v>
      </c>
      <c r="AU1030" t="s">
        <v>4066</v>
      </c>
      <c r="AV1030" t="s">
        <v>3898</v>
      </c>
      <c r="AW1030">
        <v>2</v>
      </c>
      <c r="AX1030">
        <v>0</v>
      </c>
    </row>
    <row r="1031" spans="1:50" x14ac:dyDescent="0.25">
      <c r="A1031" t="s">
        <v>5056</v>
      </c>
      <c r="B1031" t="s">
        <v>3933</v>
      </c>
      <c r="C1031" t="s">
        <v>3890</v>
      </c>
      <c r="D1031">
        <v>32.926000000000002</v>
      </c>
      <c r="E1031">
        <v>32.905999999999999</v>
      </c>
      <c r="F1031" s="2">
        <v>1E-3</v>
      </c>
      <c r="G1031" t="s">
        <v>1430</v>
      </c>
      <c r="H1031" t="s">
        <v>1433</v>
      </c>
      <c r="I1031">
        <v>439962.09980000003</v>
      </c>
      <c r="J1031">
        <v>1828025.8171000001</v>
      </c>
      <c r="K1031">
        <v>439962.09980000003</v>
      </c>
      <c r="L1031">
        <v>1828005.8171000001</v>
      </c>
      <c r="M1031" t="s">
        <v>56</v>
      </c>
      <c r="N1031" t="s">
        <v>57</v>
      </c>
      <c r="O1031">
        <v>750</v>
      </c>
      <c r="P1031" t="s">
        <v>58</v>
      </c>
      <c r="Q1031" t="s">
        <v>3919</v>
      </c>
      <c r="R1031" t="s">
        <v>1404</v>
      </c>
      <c r="S1031" t="s">
        <v>420</v>
      </c>
      <c r="T1031" t="s">
        <v>416</v>
      </c>
      <c r="U1031">
        <v>0.1295</v>
      </c>
      <c r="V1031">
        <v>0.12089999999999999</v>
      </c>
      <c r="W1031" t="s">
        <v>52</v>
      </c>
      <c r="X1031">
        <v>1.2842</v>
      </c>
      <c r="Y1031">
        <v>1.3599000000000001</v>
      </c>
      <c r="Z1031">
        <v>1.3599000000000001</v>
      </c>
      <c r="AA1031">
        <v>1.2842</v>
      </c>
      <c r="AB1031">
        <v>20</v>
      </c>
      <c r="AC1031">
        <v>20</v>
      </c>
      <c r="AD1031">
        <v>18.800999999999998</v>
      </c>
      <c r="AE1031">
        <v>18.801100000000002</v>
      </c>
      <c r="AF1031" t="s">
        <v>4011</v>
      </c>
      <c r="AG1031" t="s">
        <v>4011</v>
      </c>
      <c r="AH1031" t="s">
        <v>3894</v>
      </c>
      <c r="AI1031" t="s">
        <v>3894</v>
      </c>
      <c r="AJ1031" t="s">
        <v>3895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3896</v>
      </c>
      <c r="AT1031" t="s">
        <v>3890</v>
      </c>
      <c r="AU1031" t="s">
        <v>3935</v>
      </c>
      <c r="AV1031" t="s">
        <v>3898</v>
      </c>
      <c r="AW1031">
        <v>2</v>
      </c>
      <c r="AX1031">
        <v>0</v>
      </c>
    </row>
    <row r="1032" spans="1:50" x14ac:dyDescent="0.25">
      <c r="A1032" t="s">
        <v>5057</v>
      </c>
      <c r="B1032" t="s">
        <v>3933</v>
      </c>
      <c r="C1032" t="s">
        <v>3890</v>
      </c>
      <c r="D1032">
        <v>32.985999999999997</v>
      </c>
      <c r="E1032">
        <v>32.966000000000001</v>
      </c>
      <c r="F1032" s="2">
        <v>1E-3</v>
      </c>
      <c r="G1032" t="s">
        <v>1421</v>
      </c>
      <c r="H1032" t="s">
        <v>1424</v>
      </c>
      <c r="I1032">
        <v>439962.09980000003</v>
      </c>
      <c r="J1032">
        <v>1828085.8171000001</v>
      </c>
      <c r="K1032">
        <v>439962.09980000003</v>
      </c>
      <c r="L1032">
        <v>1828065.8171000001</v>
      </c>
      <c r="M1032" t="s">
        <v>56</v>
      </c>
      <c r="N1032" t="s">
        <v>57</v>
      </c>
      <c r="O1032">
        <v>750</v>
      </c>
      <c r="P1032" t="s">
        <v>58</v>
      </c>
      <c r="Q1032" t="s">
        <v>3919</v>
      </c>
      <c r="R1032" t="s">
        <v>1404</v>
      </c>
      <c r="S1032" t="s">
        <v>432</v>
      </c>
      <c r="T1032" t="s">
        <v>428</v>
      </c>
      <c r="U1032">
        <v>0.1552</v>
      </c>
      <c r="V1032">
        <v>0.14660000000000001</v>
      </c>
      <c r="W1032" t="s">
        <v>52</v>
      </c>
      <c r="X1032">
        <v>1.4302999999999999</v>
      </c>
      <c r="Y1032">
        <v>1.444</v>
      </c>
      <c r="Z1032">
        <v>1.4302999999999999</v>
      </c>
      <c r="AA1032">
        <v>1.4437</v>
      </c>
      <c r="AB1032">
        <v>20</v>
      </c>
      <c r="AC1032">
        <v>20</v>
      </c>
      <c r="AD1032">
        <v>18.800999999999998</v>
      </c>
      <c r="AE1032">
        <v>18.801100000000002</v>
      </c>
      <c r="AF1032" t="s">
        <v>4011</v>
      </c>
      <c r="AG1032" t="s">
        <v>4011</v>
      </c>
      <c r="AH1032" t="s">
        <v>3894</v>
      </c>
      <c r="AI1032" t="s">
        <v>3894</v>
      </c>
      <c r="AJ1032" t="s">
        <v>3895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3896</v>
      </c>
      <c r="AT1032" t="s">
        <v>3890</v>
      </c>
      <c r="AU1032" t="s">
        <v>3935</v>
      </c>
      <c r="AV1032" t="s">
        <v>3898</v>
      </c>
      <c r="AW1032">
        <v>2</v>
      </c>
      <c r="AX1032">
        <v>0</v>
      </c>
    </row>
    <row r="1033" spans="1:50" x14ac:dyDescent="0.25">
      <c r="A1033" t="s">
        <v>5058</v>
      </c>
      <c r="B1033" t="s">
        <v>4065</v>
      </c>
      <c r="C1033" t="s">
        <v>3890</v>
      </c>
      <c r="D1033">
        <v>32.906999999999996</v>
      </c>
      <c r="E1033">
        <v>32.887</v>
      </c>
      <c r="F1033" s="2">
        <v>1E-3</v>
      </c>
      <c r="G1033" t="s">
        <v>1537</v>
      </c>
      <c r="H1033" t="s">
        <v>1540</v>
      </c>
      <c r="I1033">
        <v>439951.42479999998</v>
      </c>
      <c r="J1033">
        <v>1828005.8171000001</v>
      </c>
      <c r="K1033">
        <v>439951.42479999998</v>
      </c>
      <c r="L1033">
        <v>1827985.8171000001</v>
      </c>
      <c r="M1033" t="s">
        <v>56</v>
      </c>
      <c r="N1033" t="s">
        <v>57</v>
      </c>
      <c r="O1033">
        <v>900</v>
      </c>
      <c r="P1033" t="s">
        <v>58</v>
      </c>
      <c r="Q1033" t="s">
        <v>3919</v>
      </c>
      <c r="R1033" t="s">
        <v>1510</v>
      </c>
      <c r="S1033" t="s">
        <v>416</v>
      </c>
      <c r="T1033" t="s">
        <v>529</v>
      </c>
      <c r="U1033">
        <v>-2.5000000000000001E-2</v>
      </c>
      <c r="V1033">
        <v>-2.5000000000000001E-2</v>
      </c>
      <c r="W1033" t="s">
        <v>52</v>
      </c>
      <c r="X1033">
        <v>1.206</v>
      </c>
      <c r="Y1033">
        <v>1.2817000000000001</v>
      </c>
      <c r="Z1033">
        <v>1.2817000000000001</v>
      </c>
      <c r="AA1033">
        <v>1.206</v>
      </c>
      <c r="AB1033">
        <v>20</v>
      </c>
      <c r="AC1033">
        <v>20</v>
      </c>
      <c r="AD1033">
        <v>18.801200000000001</v>
      </c>
      <c r="AE1033">
        <v>18.801200000000001</v>
      </c>
      <c r="AF1033" t="s">
        <v>4011</v>
      </c>
      <c r="AG1033" t="s">
        <v>4011</v>
      </c>
      <c r="AH1033" t="s">
        <v>3894</v>
      </c>
      <c r="AI1033" t="s">
        <v>3894</v>
      </c>
      <c r="AJ1033" t="s">
        <v>3895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3896</v>
      </c>
      <c r="AT1033" t="s">
        <v>3890</v>
      </c>
      <c r="AU1033" t="s">
        <v>4066</v>
      </c>
      <c r="AV1033" t="s">
        <v>3898</v>
      </c>
      <c r="AW1033">
        <v>2</v>
      </c>
      <c r="AX1033">
        <v>0</v>
      </c>
    </row>
    <row r="1034" spans="1:50" x14ac:dyDescent="0.25">
      <c r="A1034" t="s">
        <v>5059</v>
      </c>
      <c r="B1034" t="s">
        <v>4065</v>
      </c>
      <c r="C1034" t="s">
        <v>3890</v>
      </c>
      <c r="D1034">
        <v>32.927</v>
      </c>
      <c r="E1034">
        <v>32.906999999999996</v>
      </c>
      <c r="F1034" s="2">
        <v>1E-3</v>
      </c>
      <c r="G1034" t="s">
        <v>1534</v>
      </c>
      <c r="H1034" t="s">
        <v>1537</v>
      </c>
      <c r="I1034">
        <v>439951.42479999998</v>
      </c>
      <c r="J1034">
        <v>1828025.8171000001</v>
      </c>
      <c r="K1034">
        <v>439951.42479999998</v>
      </c>
      <c r="L1034">
        <v>1828005.8171000001</v>
      </c>
      <c r="M1034" t="s">
        <v>56</v>
      </c>
      <c r="N1034" t="s">
        <v>57</v>
      </c>
      <c r="O1034">
        <v>900</v>
      </c>
      <c r="P1034" t="s">
        <v>58</v>
      </c>
      <c r="Q1034" t="s">
        <v>3919</v>
      </c>
      <c r="R1034" t="s">
        <v>1510</v>
      </c>
      <c r="S1034" t="s">
        <v>420</v>
      </c>
      <c r="T1034" t="s">
        <v>416</v>
      </c>
      <c r="U1034">
        <v>-2.5000000000000001E-2</v>
      </c>
      <c r="V1034">
        <v>-2.5000000000000001E-2</v>
      </c>
      <c r="W1034" t="s">
        <v>52</v>
      </c>
      <c r="X1034">
        <v>1.2817000000000001</v>
      </c>
      <c r="Y1034">
        <v>1.3573999999999999</v>
      </c>
      <c r="Z1034">
        <v>1.3573999999999999</v>
      </c>
      <c r="AA1034">
        <v>1.2817000000000001</v>
      </c>
      <c r="AB1034">
        <v>20</v>
      </c>
      <c r="AC1034">
        <v>20</v>
      </c>
      <c r="AD1034">
        <v>18.801200000000001</v>
      </c>
      <c r="AE1034">
        <v>18.801200000000001</v>
      </c>
      <c r="AF1034" t="s">
        <v>4011</v>
      </c>
      <c r="AG1034" t="s">
        <v>4011</v>
      </c>
      <c r="AH1034" t="s">
        <v>3894</v>
      </c>
      <c r="AI1034" t="s">
        <v>3894</v>
      </c>
      <c r="AJ1034" t="s">
        <v>3895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3896</v>
      </c>
      <c r="AT1034" t="s">
        <v>3890</v>
      </c>
      <c r="AU1034" t="s">
        <v>4066</v>
      </c>
      <c r="AV1034" t="s">
        <v>3898</v>
      </c>
      <c r="AW1034">
        <v>2</v>
      </c>
      <c r="AX1034">
        <v>0</v>
      </c>
    </row>
    <row r="1035" spans="1:50" x14ac:dyDescent="0.25">
      <c r="A1035" t="s">
        <v>5060</v>
      </c>
      <c r="B1035" t="s">
        <v>3933</v>
      </c>
      <c r="C1035" t="s">
        <v>3890</v>
      </c>
      <c r="D1035">
        <v>32.987000000000002</v>
      </c>
      <c r="E1035">
        <v>32.966999999999999</v>
      </c>
      <c r="F1035" s="2">
        <v>1E-3</v>
      </c>
      <c r="G1035" t="s">
        <v>1525</v>
      </c>
      <c r="H1035" t="s">
        <v>1528</v>
      </c>
      <c r="I1035">
        <v>439951.34980000003</v>
      </c>
      <c r="J1035">
        <v>1828085.8171000001</v>
      </c>
      <c r="K1035">
        <v>439951.34980000003</v>
      </c>
      <c r="L1035">
        <v>1828065.8171000001</v>
      </c>
      <c r="M1035" t="s">
        <v>56</v>
      </c>
      <c r="N1035" t="s">
        <v>57</v>
      </c>
      <c r="O1035">
        <v>750</v>
      </c>
      <c r="P1035" t="s">
        <v>58</v>
      </c>
      <c r="Q1035" t="s">
        <v>3919</v>
      </c>
      <c r="R1035" t="s">
        <v>1510</v>
      </c>
      <c r="S1035" t="s">
        <v>432</v>
      </c>
      <c r="T1035" t="s">
        <v>428</v>
      </c>
      <c r="U1035">
        <v>0.05</v>
      </c>
      <c r="V1035">
        <v>0.05</v>
      </c>
      <c r="W1035" t="s">
        <v>52</v>
      </c>
      <c r="X1035">
        <v>1.4293</v>
      </c>
      <c r="Y1035">
        <v>1.4430000000000001</v>
      </c>
      <c r="Z1035">
        <v>1.4293</v>
      </c>
      <c r="AA1035">
        <v>1.4427000000000001</v>
      </c>
      <c r="AB1035">
        <v>20</v>
      </c>
      <c r="AC1035">
        <v>20</v>
      </c>
      <c r="AD1035">
        <v>18.800999999999998</v>
      </c>
      <c r="AE1035">
        <v>18.801100000000002</v>
      </c>
      <c r="AF1035" t="s">
        <v>4011</v>
      </c>
      <c r="AG1035" t="s">
        <v>4011</v>
      </c>
      <c r="AH1035" t="s">
        <v>3894</v>
      </c>
      <c r="AI1035" t="s">
        <v>3894</v>
      </c>
      <c r="AJ1035" t="s">
        <v>3895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3896</v>
      </c>
      <c r="AT1035" t="s">
        <v>3890</v>
      </c>
      <c r="AU1035" t="s">
        <v>3935</v>
      </c>
      <c r="AV1035" t="s">
        <v>3898</v>
      </c>
      <c r="AW1035">
        <v>2</v>
      </c>
      <c r="AX1035">
        <v>0</v>
      </c>
    </row>
    <row r="1036" spans="1:50" x14ac:dyDescent="0.25">
      <c r="A1036" t="s">
        <v>5061</v>
      </c>
      <c r="B1036" t="s">
        <v>3889</v>
      </c>
      <c r="C1036" t="s">
        <v>3890</v>
      </c>
      <c r="D1036">
        <v>31.954999999999998</v>
      </c>
      <c r="E1036">
        <v>31.934999999999999</v>
      </c>
      <c r="F1036" s="2">
        <v>1E-3</v>
      </c>
      <c r="G1036" t="s">
        <v>1631</v>
      </c>
      <c r="H1036" t="s">
        <v>1635</v>
      </c>
      <c r="I1036">
        <v>440044.07449999999</v>
      </c>
      <c r="J1036">
        <v>1827801.0604999999</v>
      </c>
      <c r="K1036">
        <v>440044.07449999999</v>
      </c>
      <c r="L1036">
        <v>1827781.0604999999</v>
      </c>
      <c r="M1036" t="s">
        <v>56</v>
      </c>
      <c r="N1036" t="s">
        <v>57</v>
      </c>
      <c r="O1036">
        <v>450</v>
      </c>
      <c r="P1036" t="s">
        <v>3891</v>
      </c>
      <c r="Q1036" t="s">
        <v>3892</v>
      </c>
      <c r="R1036" t="s">
        <v>390</v>
      </c>
      <c r="S1036" t="s">
        <v>1633</v>
      </c>
      <c r="T1036" t="s">
        <v>1637</v>
      </c>
      <c r="U1036">
        <v>0.15</v>
      </c>
      <c r="V1036">
        <v>0.15</v>
      </c>
      <c r="W1036" t="s">
        <v>52</v>
      </c>
      <c r="X1036">
        <v>1.0235000000000001</v>
      </c>
      <c r="Y1036">
        <v>1.0491999999999999</v>
      </c>
      <c r="Z1036">
        <v>1.0235000000000001</v>
      </c>
      <c r="AA1036">
        <v>1.0491999999999999</v>
      </c>
      <c r="AB1036">
        <v>20</v>
      </c>
      <c r="AC1036">
        <v>20</v>
      </c>
      <c r="AD1036">
        <v>18.800699999999999</v>
      </c>
      <c r="AE1036">
        <v>18.800699999999999</v>
      </c>
      <c r="AF1036" t="s">
        <v>2233</v>
      </c>
      <c r="AG1036" t="s">
        <v>2233</v>
      </c>
      <c r="AH1036" t="s">
        <v>3894</v>
      </c>
      <c r="AI1036" t="s">
        <v>3894</v>
      </c>
      <c r="AJ1036" t="s">
        <v>3895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3896</v>
      </c>
      <c r="AT1036" t="s">
        <v>3890</v>
      </c>
      <c r="AU1036" t="s">
        <v>3897</v>
      </c>
      <c r="AV1036" t="s">
        <v>3898</v>
      </c>
      <c r="AW1036">
        <v>2</v>
      </c>
      <c r="AX1036">
        <v>0</v>
      </c>
    </row>
    <row r="1037" spans="1:50" x14ac:dyDescent="0.25">
      <c r="A1037" t="s">
        <v>5062</v>
      </c>
      <c r="B1037" t="s">
        <v>3933</v>
      </c>
      <c r="C1037" t="s">
        <v>3890</v>
      </c>
      <c r="D1037">
        <v>31.23</v>
      </c>
      <c r="E1037">
        <v>31.21</v>
      </c>
      <c r="F1037" s="2">
        <v>1E-3</v>
      </c>
      <c r="G1037" t="s">
        <v>2024</v>
      </c>
      <c r="H1037" t="s">
        <v>2027</v>
      </c>
      <c r="I1037">
        <v>440132.59950000001</v>
      </c>
      <c r="J1037">
        <v>1827802.8171999999</v>
      </c>
      <c r="K1037">
        <v>440132.59950000001</v>
      </c>
      <c r="L1037">
        <v>1827782.8171999999</v>
      </c>
      <c r="M1037" t="s">
        <v>56</v>
      </c>
      <c r="N1037" t="s">
        <v>57</v>
      </c>
      <c r="O1037">
        <v>750</v>
      </c>
      <c r="P1037" t="s">
        <v>58</v>
      </c>
      <c r="Q1037" t="s">
        <v>3919</v>
      </c>
      <c r="R1037" t="s">
        <v>1968</v>
      </c>
      <c r="S1037" t="s">
        <v>865</v>
      </c>
      <c r="T1037" t="s">
        <v>832</v>
      </c>
      <c r="U1037">
        <v>1.52E-2</v>
      </c>
      <c r="V1037">
        <v>6.1000000000000004E-3</v>
      </c>
      <c r="W1037" t="s">
        <v>52</v>
      </c>
      <c r="X1037">
        <v>0.88</v>
      </c>
      <c r="Y1037">
        <v>0.9143</v>
      </c>
      <c r="Z1037">
        <v>0.9143</v>
      </c>
      <c r="AA1037">
        <v>0.88</v>
      </c>
      <c r="AB1037">
        <v>20</v>
      </c>
      <c r="AC1037">
        <v>20</v>
      </c>
      <c r="AD1037">
        <v>18.800999999999998</v>
      </c>
      <c r="AE1037">
        <v>18.801100000000002</v>
      </c>
      <c r="AF1037" t="s">
        <v>2233</v>
      </c>
      <c r="AG1037" t="s">
        <v>2233</v>
      </c>
      <c r="AH1037" t="s">
        <v>3894</v>
      </c>
      <c r="AI1037" t="s">
        <v>3894</v>
      </c>
      <c r="AJ1037" t="s">
        <v>3895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3896</v>
      </c>
      <c r="AT1037" t="s">
        <v>3890</v>
      </c>
      <c r="AU1037" t="s">
        <v>3935</v>
      </c>
      <c r="AV1037" t="s">
        <v>3898</v>
      </c>
      <c r="AW1037">
        <v>2</v>
      </c>
      <c r="AX1037">
        <v>0</v>
      </c>
    </row>
    <row r="1038" spans="1:50" x14ac:dyDescent="0.25">
      <c r="A1038" t="s">
        <v>5063</v>
      </c>
      <c r="B1038" t="s">
        <v>3933</v>
      </c>
      <c r="C1038" t="s">
        <v>3890</v>
      </c>
      <c r="D1038">
        <v>31.25</v>
      </c>
      <c r="E1038">
        <v>31.23</v>
      </c>
      <c r="F1038" s="2">
        <v>1E-3</v>
      </c>
      <c r="G1038" t="s">
        <v>2021</v>
      </c>
      <c r="H1038" t="s">
        <v>2024</v>
      </c>
      <c r="I1038">
        <v>440132.59950000001</v>
      </c>
      <c r="J1038">
        <v>1827822.8171999999</v>
      </c>
      <c r="K1038">
        <v>440132.59950000001</v>
      </c>
      <c r="L1038">
        <v>1827802.8171999999</v>
      </c>
      <c r="M1038" t="s">
        <v>56</v>
      </c>
      <c r="N1038" t="s">
        <v>57</v>
      </c>
      <c r="O1038">
        <v>750</v>
      </c>
      <c r="P1038" t="s">
        <v>58</v>
      </c>
      <c r="Q1038" t="s">
        <v>3919</v>
      </c>
      <c r="R1038" t="s">
        <v>1968</v>
      </c>
      <c r="S1038" t="s">
        <v>849</v>
      </c>
      <c r="T1038" t="s">
        <v>865</v>
      </c>
      <c r="U1038">
        <v>2.4299999999999999E-2</v>
      </c>
      <c r="V1038">
        <v>1.52E-2</v>
      </c>
      <c r="W1038" t="s">
        <v>52</v>
      </c>
      <c r="X1038">
        <v>0.9143</v>
      </c>
      <c r="Y1038">
        <v>0.94869999999999999</v>
      </c>
      <c r="Z1038">
        <v>0.94869999999999999</v>
      </c>
      <c r="AA1038">
        <v>0.9143</v>
      </c>
      <c r="AB1038">
        <v>20</v>
      </c>
      <c r="AC1038">
        <v>20</v>
      </c>
      <c r="AD1038">
        <v>18.800999999999998</v>
      </c>
      <c r="AE1038">
        <v>18.801100000000002</v>
      </c>
      <c r="AF1038" t="s">
        <v>2233</v>
      </c>
      <c r="AG1038" t="s">
        <v>2233</v>
      </c>
      <c r="AH1038" t="s">
        <v>3894</v>
      </c>
      <c r="AI1038" t="s">
        <v>3894</v>
      </c>
      <c r="AJ1038" t="s">
        <v>3895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3896</v>
      </c>
      <c r="AT1038" t="s">
        <v>3890</v>
      </c>
      <c r="AU1038" t="s">
        <v>3935</v>
      </c>
      <c r="AV1038" t="s">
        <v>3898</v>
      </c>
      <c r="AW1038">
        <v>2</v>
      </c>
      <c r="AX1038">
        <v>0</v>
      </c>
    </row>
    <row r="1039" spans="1:50" x14ac:dyDescent="0.25">
      <c r="A1039" t="s">
        <v>5064</v>
      </c>
      <c r="B1039" t="s">
        <v>4355</v>
      </c>
      <c r="C1039" t="s">
        <v>3890</v>
      </c>
      <c r="D1039">
        <v>30.884</v>
      </c>
      <c r="E1039">
        <v>30.864000000000001</v>
      </c>
      <c r="F1039" s="2">
        <v>1E-3</v>
      </c>
      <c r="G1039" t="s">
        <v>1933</v>
      </c>
      <c r="H1039" t="s">
        <v>1936</v>
      </c>
      <c r="I1039">
        <v>440121.94949999999</v>
      </c>
      <c r="J1039">
        <v>1827782.8171999999</v>
      </c>
      <c r="K1039">
        <v>440121.94949999999</v>
      </c>
      <c r="L1039">
        <v>1827762.8171999999</v>
      </c>
      <c r="M1039" t="s">
        <v>56</v>
      </c>
      <c r="N1039" t="s">
        <v>57</v>
      </c>
      <c r="O1039">
        <v>900</v>
      </c>
      <c r="P1039" t="s">
        <v>3918</v>
      </c>
      <c r="Q1039" t="s">
        <v>3930</v>
      </c>
      <c r="R1039" t="s">
        <v>395</v>
      </c>
      <c r="S1039" t="s">
        <v>832</v>
      </c>
      <c r="T1039" t="s">
        <v>824</v>
      </c>
      <c r="U1039">
        <v>-0.1971</v>
      </c>
      <c r="V1039">
        <v>-0.1971</v>
      </c>
      <c r="W1039" t="s">
        <v>52</v>
      </c>
      <c r="X1039">
        <v>0.84470000000000001</v>
      </c>
      <c r="Y1039">
        <v>0.879</v>
      </c>
      <c r="Z1039">
        <v>0.879</v>
      </c>
      <c r="AA1039">
        <v>0.84470000000000001</v>
      </c>
      <c r="AB1039">
        <v>20</v>
      </c>
      <c r="AC1039">
        <v>20</v>
      </c>
      <c r="AD1039">
        <v>18.801200000000001</v>
      </c>
      <c r="AE1039">
        <v>18.801300000000001</v>
      </c>
      <c r="AF1039" t="s">
        <v>2233</v>
      </c>
      <c r="AG1039" t="s">
        <v>2233</v>
      </c>
      <c r="AH1039" t="s">
        <v>3894</v>
      </c>
      <c r="AI1039" t="s">
        <v>3894</v>
      </c>
      <c r="AJ1039" t="s">
        <v>3895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3896</v>
      </c>
      <c r="AT1039" t="s">
        <v>3890</v>
      </c>
      <c r="AU1039" t="s">
        <v>4357</v>
      </c>
      <c r="AV1039" t="s">
        <v>3898</v>
      </c>
      <c r="AW1039">
        <v>2</v>
      </c>
      <c r="AX1039">
        <v>0</v>
      </c>
    </row>
    <row r="1040" spans="1:50" x14ac:dyDescent="0.25">
      <c r="A1040" t="s">
        <v>5065</v>
      </c>
      <c r="B1040" t="s">
        <v>4355</v>
      </c>
      <c r="C1040" t="s">
        <v>3890</v>
      </c>
      <c r="D1040">
        <v>30.904</v>
      </c>
      <c r="E1040">
        <v>30.884</v>
      </c>
      <c r="F1040" s="2">
        <v>1E-3</v>
      </c>
      <c r="G1040" t="s">
        <v>1930</v>
      </c>
      <c r="H1040" t="s">
        <v>1933</v>
      </c>
      <c r="I1040">
        <v>440121.94949999999</v>
      </c>
      <c r="J1040">
        <v>1827802.8171999999</v>
      </c>
      <c r="K1040">
        <v>440121.94949999999</v>
      </c>
      <c r="L1040">
        <v>1827782.8171999999</v>
      </c>
      <c r="M1040" t="s">
        <v>56</v>
      </c>
      <c r="N1040" t="s">
        <v>57</v>
      </c>
      <c r="O1040">
        <v>900</v>
      </c>
      <c r="P1040" t="s">
        <v>3918</v>
      </c>
      <c r="Q1040" t="s">
        <v>3930</v>
      </c>
      <c r="R1040" t="s">
        <v>395</v>
      </c>
      <c r="S1040" t="s">
        <v>865</v>
      </c>
      <c r="T1040" t="s">
        <v>832</v>
      </c>
      <c r="U1040">
        <v>-0.1971</v>
      </c>
      <c r="V1040">
        <v>-0.1971</v>
      </c>
      <c r="W1040" t="s">
        <v>52</v>
      </c>
      <c r="X1040">
        <v>0.879</v>
      </c>
      <c r="Y1040">
        <v>0.9133</v>
      </c>
      <c r="Z1040">
        <v>0.9133</v>
      </c>
      <c r="AA1040">
        <v>0.879</v>
      </c>
      <c r="AB1040">
        <v>20</v>
      </c>
      <c r="AC1040">
        <v>20</v>
      </c>
      <c r="AD1040">
        <v>18.801200000000001</v>
      </c>
      <c r="AE1040">
        <v>18.801300000000001</v>
      </c>
      <c r="AF1040" t="s">
        <v>2233</v>
      </c>
      <c r="AG1040" t="s">
        <v>2233</v>
      </c>
      <c r="AH1040" t="s">
        <v>3894</v>
      </c>
      <c r="AI1040" t="s">
        <v>3894</v>
      </c>
      <c r="AJ1040" t="s">
        <v>3895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3896</v>
      </c>
      <c r="AT1040" t="s">
        <v>3890</v>
      </c>
      <c r="AU1040" t="s">
        <v>4357</v>
      </c>
      <c r="AV1040" t="s">
        <v>3898</v>
      </c>
      <c r="AW1040">
        <v>2</v>
      </c>
      <c r="AX1040">
        <v>0</v>
      </c>
    </row>
    <row r="1041" spans="1:50" x14ac:dyDescent="0.25">
      <c r="A1041" t="s">
        <v>5066</v>
      </c>
      <c r="B1041" t="s">
        <v>4010</v>
      </c>
      <c r="C1041" t="s">
        <v>3890</v>
      </c>
      <c r="D1041">
        <v>31.324999999999999</v>
      </c>
      <c r="E1041">
        <v>31.305</v>
      </c>
      <c r="F1041" s="2">
        <v>1E-3</v>
      </c>
      <c r="G1041" t="s">
        <v>1843</v>
      </c>
      <c r="H1041" t="s">
        <v>1846</v>
      </c>
      <c r="I1041">
        <v>440121.92450000002</v>
      </c>
      <c r="J1041">
        <v>1828002.8171999999</v>
      </c>
      <c r="K1041">
        <v>440121.92450000002</v>
      </c>
      <c r="L1041">
        <v>1827982.8171999999</v>
      </c>
      <c r="M1041" t="s">
        <v>56</v>
      </c>
      <c r="N1041" t="s">
        <v>57</v>
      </c>
      <c r="O1041">
        <v>900</v>
      </c>
      <c r="P1041" t="s">
        <v>109</v>
      </c>
      <c r="Q1041" t="s">
        <v>3919</v>
      </c>
      <c r="R1041" t="s">
        <v>395</v>
      </c>
      <c r="S1041" t="s">
        <v>416</v>
      </c>
      <c r="T1041" t="s">
        <v>529</v>
      </c>
      <c r="U1041">
        <v>-0.1721</v>
      </c>
      <c r="V1041">
        <v>-0.1721</v>
      </c>
      <c r="W1041" t="s">
        <v>52</v>
      </c>
      <c r="X1041">
        <v>1.409</v>
      </c>
      <c r="Y1041">
        <v>1.5105</v>
      </c>
      <c r="Z1041">
        <v>1.5105</v>
      </c>
      <c r="AA1041">
        <v>1.409</v>
      </c>
      <c r="AB1041">
        <v>20</v>
      </c>
      <c r="AC1041">
        <v>20</v>
      </c>
      <c r="AD1041">
        <v>18.801200000000001</v>
      </c>
      <c r="AE1041">
        <v>18.801200000000001</v>
      </c>
      <c r="AF1041" t="s">
        <v>2233</v>
      </c>
      <c r="AG1041" t="s">
        <v>2233</v>
      </c>
      <c r="AH1041" t="s">
        <v>3894</v>
      </c>
      <c r="AI1041" t="s">
        <v>3894</v>
      </c>
      <c r="AJ1041" t="s">
        <v>3895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3896</v>
      </c>
      <c r="AT1041" t="s">
        <v>3890</v>
      </c>
      <c r="AU1041" t="s">
        <v>4012</v>
      </c>
      <c r="AV1041" t="s">
        <v>3898</v>
      </c>
      <c r="AW1041">
        <v>2</v>
      </c>
      <c r="AX1041">
        <v>0</v>
      </c>
    </row>
    <row r="1042" spans="1:50" x14ac:dyDescent="0.25">
      <c r="A1042" t="s">
        <v>5067</v>
      </c>
      <c r="B1042" t="s">
        <v>4010</v>
      </c>
      <c r="C1042" t="s">
        <v>3890</v>
      </c>
      <c r="D1042">
        <v>31.344999999999999</v>
      </c>
      <c r="E1042">
        <v>31.324999999999999</v>
      </c>
      <c r="F1042" s="2">
        <v>1E-3</v>
      </c>
      <c r="G1042" t="s">
        <v>1840</v>
      </c>
      <c r="H1042" t="s">
        <v>1843</v>
      </c>
      <c r="I1042">
        <v>440121.92450000002</v>
      </c>
      <c r="J1042">
        <v>1828022.8171999999</v>
      </c>
      <c r="K1042">
        <v>440121.92450000002</v>
      </c>
      <c r="L1042">
        <v>1828002.8171999999</v>
      </c>
      <c r="M1042" t="s">
        <v>56</v>
      </c>
      <c r="N1042" t="s">
        <v>57</v>
      </c>
      <c r="O1042">
        <v>900</v>
      </c>
      <c r="P1042" t="s">
        <v>109</v>
      </c>
      <c r="Q1042" t="s">
        <v>3919</v>
      </c>
      <c r="R1042" t="s">
        <v>395</v>
      </c>
      <c r="S1042" t="s">
        <v>420</v>
      </c>
      <c r="T1042" t="s">
        <v>416</v>
      </c>
      <c r="U1042">
        <v>-0.1721</v>
      </c>
      <c r="V1042">
        <v>-0.1721</v>
      </c>
      <c r="W1042" t="s">
        <v>52</v>
      </c>
      <c r="X1042">
        <v>1.5105</v>
      </c>
      <c r="Y1042">
        <v>1.6119000000000001</v>
      </c>
      <c r="Z1042">
        <v>1.6119000000000001</v>
      </c>
      <c r="AA1042">
        <v>1.5105</v>
      </c>
      <c r="AB1042">
        <v>20</v>
      </c>
      <c r="AC1042">
        <v>20</v>
      </c>
      <c r="AD1042">
        <v>18.801200000000001</v>
      </c>
      <c r="AE1042">
        <v>18.801200000000001</v>
      </c>
      <c r="AF1042" t="s">
        <v>2233</v>
      </c>
      <c r="AG1042" t="s">
        <v>2233</v>
      </c>
      <c r="AH1042" t="s">
        <v>3894</v>
      </c>
      <c r="AI1042" t="s">
        <v>3894</v>
      </c>
      <c r="AJ1042" t="s">
        <v>3895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3896</v>
      </c>
      <c r="AT1042" t="s">
        <v>3890</v>
      </c>
      <c r="AU1042" t="s">
        <v>4012</v>
      </c>
      <c r="AV1042" t="s">
        <v>3898</v>
      </c>
      <c r="AW1042">
        <v>2</v>
      </c>
      <c r="AX1042">
        <v>0</v>
      </c>
    </row>
    <row r="1043" spans="1:50" x14ac:dyDescent="0.25">
      <c r="A1043" t="s">
        <v>5068</v>
      </c>
      <c r="B1043" t="s">
        <v>3924</v>
      </c>
      <c r="C1043" t="s">
        <v>3890</v>
      </c>
      <c r="D1043">
        <v>31.832000000000001</v>
      </c>
      <c r="E1043">
        <v>31.812000000000001</v>
      </c>
      <c r="F1043" s="2">
        <v>1E-3</v>
      </c>
      <c r="G1043" t="s">
        <v>1746</v>
      </c>
      <c r="H1043" t="s">
        <v>1749</v>
      </c>
      <c r="I1043">
        <v>440053.62449999998</v>
      </c>
      <c r="J1043">
        <v>1828042.8171000001</v>
      </c>
      <c r="K1043">
        <v>440053.62449999998</v>
      </c>
      <c r="L1043">
        <v>1828062.8171000001</v>
      </c>
      <c r="M1043" t="s">
        <v>56</v>
      </c>
      <c r="N1043" t="s">
        <v>57</v>
      </c>
      <c r="O1043">
        <v>750</v>
      </c>
      <c r="P1043" t="s">
        <v>3891</v>
      </c>
      <c r="Q1043" t="s">
        <v>3892</v>
      </c>
      <c r="R1043" t="s">
        <v>502</v>
      </c>
      <c r="S1043" t="s">
        <v>424</v>
      </c>
      <c r="T1043" t="s">
        <v>428</v>
      </c>
      <c r="U1043">
        <v>0.1615</v>
      </c>
      <c r="V1043">
        <v>0.1615</v>
      </c>
      <c r="W1043" t="s">
        <v>52</v>
      </c>
      <c r="X1043">
        <v>2.2052999999999998</v>
      </c>
      <c r="Y1043">
        <v>2.4037999999999999</v>
      </c>
      <c r="Z1043">
        <v>2.2052999999999998</v>
      </c>
      <c r="AA1043">
        <v>2.4037999999999999</v>
      </c>
      <c r="AB1043">
        <v>20</v>
      </c>
      <c r="AC1043">
        <v>20</v>
      </c>
      <c r="AD1043">
        <v>18.800999999999998</v>
      </c>
      <c r="AE1043">
        <v>18.800999999999998</v>
      </c>
      <c r="AF1043" t="s">
        <v>67</v>
      </c>
      <c r="AG1043" t="s">
        <v>67</v>
      </c>
      <c r="AH1043" t="s">
        <v>3894</v>
      </c>
      <c r="AI1043" t="s">
        <v>3894</v>
      </c>
      <c r="AJ1043" t="s">
        <v>3895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3896</v>
      </c>
      <c r="AT1043" t="s">
        <v>3890</v>
      </c>
      <c r="AU1043" t="s">
        <v>3926</v>
      </c>
      <c r="AV1043" t="s">
        <v>3898</v>
      </c>
      <c r="AW1043">
        <v>2</v>
      </c>
      <c r="AX1043">
        <v>0</v>
      </c>
    </row>
    <row r="1044" spans="1:50" x14ac:dyDescent="0.25">
      <c r="A1044" t="s">
        <v>5069</v>
      </c>
      <c r="B1044" t="s">
        <v>3924</v>
      </c>
      <c r="C1044" t="s">
        <v>3890</v>
      </c>
      <c r="D1044">
        <v>31.852</v>
      </c>
      <c r="E1044">
        <v>31.832000000000001</v>
      </c>
      <c r="F1044" s="2">
        <v>1E-3</v>
      </c>
      <c r="G1044" t="s">
        <v>1743</v>
      </c>
      <c r="H1044" t="s">
        <v>1746</v>
      </c>
      <c r="I1044">
        <v>440053.62449999998</v>
      </c>
      <c r="J1044">
        <v>1828022.8171000001</v>
      </c>
      <c r="K1044">
        <v>440053.62449999998</v>
      </c>
      <c r="L1044">
        <v>1828042.8171000001</v>
      </c>
      <c r="M1044" t="s">
        <v>56</v>
      </c>
      <c r="N1044" t="s">
        <v>57</v>
      </c>
      <c r="O1044">
        <v>750</v>
      </c>
      <c r="P1044" t="s">
        <v>3891</v>
      </c>
      <c r="Q1044" t="s">
        <v>3892</v>
      </c>
      <c r="R1044" t="s">
        <v>502</v>
      </c>
      <c r="S1044" t="s">
        <v>420</v>
      </c>
      <c r="T1044" t="s">
        <v>424</v>
      </c>
      <c r="U1044">
        <v>0.1615</v>
      </c>
      <c r="V1044">
        <v>0.1615</v>
      </c>
      <c r="W1044" t="s">
        <v>52</v>
      </c>
      <c r="X1044">
        <v>1.9452</v>
      </c>
      <c r="Y1044">
        <v>2.2052999999999998</v>
      </c>
      <c r="Z1044">
        <v>1.9452</v>
      </c>
      <c r="AA1044">
        <v>2.2052999999999998</v>
      </c>
      <c r="AB1044">
        <v>20</v>
      </c>
      <c r="AC1044">
        <v>20</v>
      </c>
      <c r="AD1044">
        <v>18.800999999999998</v>
      </c>
      <c r="AE1044">
        <v>18.800999999999998</v>
      </c>
      <c r="AF1044" t="s">
        <v>67</v>
      </c>
      <c r="AG1044" t="s">
        <v>67</v>
      </c>
      <c r="AH1044" t="s">
        <v>3894</v>
      </c>
      <c r="AI1044" t="s">
        <v>3894</v>
      </c>
      <c r="AJ1044" t="s">
        <v>3895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3896</v>
      </c>
      <c r="AT1044" t="s">
        <v>3890</v>
      </c>
      <c r="AU1044" t="s">
        <v>3926</v>
      </c>
      <c r="AV1044" t="s">
        <v>3898</v>
      </c>
      <c r="AW1044">
        <v>2</v>
      </c>
      <c r="AX1044">
        <v>0</v>
      </c>
    </row>
    <row r="1045" spans="1:50" x14ac:dyDescent="0.25">
      <c r="A1045" t="s">
        <v>5070</v>
      </c>
      <c r="B1045" t="s">
        <v>3889</v>
      </c>
      <c r="C1045" t="s">
        <v>3890</v>
      </c>
      <c r="D1045">
        <v>31.911999999999999</v>
      </c>
      <c r="E1045">
        <v>31.891999999999999</v>
      </c>
      <c r="F1045" s="2">
        <v>1E-3</v>
      </c>
      <c r="G1045" t="s">
        <v>1734</v>
      </c>
      <c r="H1045" t="s">
        <v>1737</v>
      </c>
      <c r="I1045">
        <v>440053.7745</v>
      </c>
      <c r="J1045">
        <v>1827962.8171000001</v>
      </c>
      <c r="K1045">
        <v>440053.7745</v>
      </c>
      <c r="L1045">
        <v>1827982.8171000001</v>
      </c>
      <c r="M1045" t="s">
        <v>56</v>
      </c>
      <c r="N1045" t="s">
        <v>57</v>
      </c>
      <c r="O1045">
        <v>450</v>
      </c>
      <c r="P1045" t="s">
        <v>3891</v>
      </c>
      <c r="Q1045" t="s">
        <v>3892</v>
      </c>
      <c r="R1045" t="s">
        <v>502</v>
      </c>
      <c r="S1045" t="s">
        <v>525</v>
      </c>
      <c r="T1045" t="s">
        <v>529</v>
      </c>
      <c r="U1045">
        <v>1.15E-2</v>
      </c>
      <c r="V1045">
        <v>1.15E-2</v>
      </c>
      <c r="W1045" t="s">
        <v>52</v>
      </c>
      <c r="X1045">
        <v>1.1680999999999999</v>
      </c>
      <c r="Y1045">
        <v>1.4281999999999999</v>
      </c>
      <c r="Z1045">
        <v>1.1680999999999999</v>
      </c>
      <c r="AA1045">
        <v>1.4281999999999999</v>
      </c>
      <c r="AB1045">
        <v>20</v>
      </c>
      <c r="AC1045">
        <v>20</v>
      </c>
      <c r="AD1045">
        <v>18.800699999999999</v>
      </c>
      <c r="AE1045">
        <v>18.800699999999999</v>
      </c>
      <c r="AF1045" t="s">
        <v>67</v>
      </c>
      <c r="AG1045" t="s">
        <v>67</v>
      </c>
      <c r="AH1045" t="s">
        <v>3894</v>
      </c>
      <c r="AI1045" t="s">
        <v>3894</v>
      </c>
      <c r="AJ1045" t="s">
        <v>3895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3896</v>
      </c>
      <c r="AT1045" t="s">
        <v>3890</v>
      </c>
      <c r="AU1045" t="s">
        <v>3897</v>
      </c>
      <c r="AV1045" t="s">
        <v>3898</v>
      </c>
      <c r="AW1045">
        <v>2</v>
      </c>
      <c r="AX1045">
        <v>0</v>
      </c>
    </row>
    <row r="1046" spans="1:50" x14ac:dyDescent="0.25">
      <c r="A1046" t="s">
        <v>5071</v>
      </c>
      <c r="B1046" t="s">
        <v>3963</v>
      </c>
      <c r="C1046" t="s">
        <v>3890</v>
      </c>
      <c r="D1046">
        <v>31.844999999999999</v>
      </c>
      <c r="E1046">
        <v>31.824999999999999</v>
      </c>
      <c r="F1046" s="2">
        <v>1E-3</v>
      </c>
      <c r="G1046" t="s">
        <v>1718</v>
      </c>
      <c r="H1046" t="s">
        <v>1721</v>
      </c>
      <c r="I1046">
        <v>440044.1495</v>
      </c>
      <c r="J1046">
        <v>1828042.8171000001</v>
      </c>
      <c r="K1046">
        <v>440044.1495</v>
      </c>
      <c r="L1046">
        <v>1828062.8171000001</v>
      </c>
      <c r="M1046" t="s">
        <v>56</v>
      </c>
      <c r="N1046" t="s">
        <v>57</v>
      </c>
      <c r="O1046">
        <v>600</v>
      </c>
      <c r="P1046" t="s">
        <v>3891</v>
      </c>
      <c r="Q1046" t="s">
        <v>3892</v>
      </c>
      <c r="R1046" t="s">
        <v>489</v>
      </c>
      <c r="S1046" t="s">
        <v>424</v>
      </c>
      <c r="T1046" t="s">
        <v>428</v>
      </c>
      <c r="U1046">
        <v>7.4999999999999997E-2</v>
      </c>
      <c r="V1046">
        <v>7.4999999999999997E-2</v>
      </c>
      <c r="W1046" t="s">
        <v>52</v>
      </c>
      <c r="X1046">
        <v>2.1938</v>
      </c>
      <c r="Y1046">
        <v>2.3923000000000001</v>
      </c>
      <c r="Z1046">
        <v>2.1938</v>
      </c>
      <c r="AA1046">
        <v>2.3923000000000001</v>
      </c>
      <c r="AB1046">
        <v>20</v>
      </c>
      <c r="AC1046">
        <v>20</v>
      </c>
      <c r="AD1046">
        <v>18.800799999999999</v>
      </c>
      <c r="AE1046">
        <v>18.800899999999999</v>
      </c>
      <c r="AF1046" t="s">
        <v>67</v>
      </c>
      <c r="AG1046" t="s">
        <v>67</v>
      </c>
      <c r="AH1046" t="s">
        <v>3894</v>
      </c>
      <c r="AI1046" t="s">
        <v>3894</v>
      </c>
      <c r="AJ1046" t="s">
        <v>3895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3896</v>
      </c>
      <c r="AT1046" t="s">
        <v>3890</v>
      </c>
      <c r="AU1046" t="s">
        <v>3964</v>
      </c>
      <c r="AV1046" t="s">
        <v>3898</v>
      </c>
      <c r="AW1046">
        <v>2</v>
      </c>
      <c r="AX1046">
        <v>0</v>
      </c>
    </row>
    <row r="1047" spans="1:50" x14ac:dyDescent="0.25">
      <c r="A1047" t="s">
        <v>5072</v>
      </c>
      <c r="B1047" t="s">
        <v>3963</v>
      </c>
      <c r="C1047" t="s">
        <v>3890</v>
      </c>
      <c r="D1047">
        <v>31.864999999999998</v>
      </c>
      <c r="E1047">
        <v>31.844999999999999</v>
      </c>
      <c r="F1047" s="2">
        <v>1E-3</v>
      </c>
      <c r="G1047" t="s">
        <v>1715</v>
      </c>
      <c r="H1047" t="s">
        <v>1718</v>
      </c>
      <c r="I1047">
        <v>440044.1495</v>
      </c>
      <c r="J1047">
        <v>1828022.8171000001</v>
      </c>
      <c r="K1047">
        <v>440044.1495</v>
      </c>
      <c r="L1047">
        <v>1828042.8171000001</v>
      </c>
      <c r="M1047" t="s">
        <v>56</v>
      </c>
      <c r="N1047" t="s">
        <v>57</v>
      </c>
      <c r="O1047">
        <v>600</v>
      </c>
      <c r="P1047" t="s">
        <v>3891</v>
      </c>
      <c r="Q1047" t="s">
        <v>3892</v>
      </c>
      <c r="R1047" t="s">
        <v>489</v>
      </c>
      <c r="S1047" t="s">
        <v>420</v>
      </c>
      <c r="T1047" t="s">
        <v>424</v>
      </c>
      <c r="U1047">
        <v>7.4999999999999997E-2</v>
      </c>
      <c r="V1047">
        <v>7.4999999999999997E-2</v>
      </c>
      <c r="W1047" t="s">
        <v>52</v>
      </c>
      <c r="X1047">
        <v>1.9337</v>
      </c>
      <c r="Y1047">
        <v>2.1938</v>
      </c>
      <c r="Z1047">
        <v>1.9337</v>
      </c>
      <c r="AA1047">
        <v>2.1938</v>
      </c>
      <c r="AB1047">
        <v>20</v>
      </c>
      <c r="AC1047">
        <v>20</v>
      </c>
      <c r="AD1047">
        <v>18.800799999999999</v>
      </c>
      <c r="AE1047">
        <v>18.800899999999999</v>
      </c>
      <c r="AF1047" t="s">
        <v>67</v>
      </c>
      <c r="AG1047" t="s">
        <v>67</v>
      </c>
      <c r="AH1047" t="s">
        <v>3894</v>
      </c>
      <c r="AI1047" t="s">
        <v>3894</v>
      </c>
      <c r="AJ1047" t="s">
        <v>3895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3896</v>
      </c>
      <c r="AT1047" t="s">
        <v>3890</v>
      </c>
      <c r="AU1047" t="s">
        <v>3964</v>
      </c>
      <c r="AV1047" t="s">
        <v>3898</v>
      </c>
      <c r="AW1047">
        <v>2</v>
      </c>
      <c r="AX1047">
        <v>0</v>
      </c>
    </row>
    <row r="1048" spans="1:50" x14ac:dyDescent="0.25">
      <c r="A1048" t="s">
        <v>5073</v>
      </c>
      <c r="B1048" t="s">
        <v>3889</v>
      </c>
      <c r="C1048" t="s">
        <v>3890</v>
      </c>
      <c r="D1048">
        <v>31.925000000000001</v>
      </c>
      <c r="E1048">
        <v>31.905000000000001</v>
      </c>
      <c r="F1048" s="2">
        <v>1E-3</v>
      </c>
      <c r="G1048" t="s">
        <v>1706</v>
      </c>
      <c r="H1048" t="s">
        <v>1709</v>
      </c>
      <c r="I1048">
        <v>440044.07449999999</v>
      </c>
      <c r="J1048">
        <v>1827962.8171000001</v>
      </c>
      <c r="K1048">
        <v>440044.07449999999</v>
      </c>
      <c r="L1048">
        <v>1827982.8171000001</v>
      </c>
      <c r="M1048" t="s">
        <v>56</v>
      </c>
      <c r="N1048" t="s">
        <v>57</v>
      </c>
      <c r="O1048">
        <v>450</v>
      </c>
      <c r="P1048" t="s">
        <v>3891</v>
      </c>
      <c r="Q1048" t="s">
        <v>3892</v>
      </c>
      <c r="R1048" t="s">
        <v>489</v>
      </c>
      <c r="S1048" t="s">
        <v>525</v>
      </c>
      <c r="T1048" t="s">
        <v>529</v>
      </c>
      <c r="U1048">
        <v>0.15</v>
      </c>
      <c r="V1048">
        <v>0.15</v>
      </c>
      <c r="W1048" t="s">
        <v>52</v>
      </c>
      <c r="X1048">
        <v>1.1551</v>
      </c>
      <c r="Y1048">
        <v>1.4152</v>
      </c>
      <c r="Z1048">
        <v>1.1551</v>
      </c>
      <c r="AA1048">
        <v>1.4152</v>
      </c>
      <c r="AB1048">
        <v>20</v>
      </c>
      <c r="AC1048">
        <v>20</v>
      </c>
      <c r="AD1048">
        <v>18.800699999999999</v>
      </c>
      <c r="AE1048">
        <v>18.800699999999999</v>
      </c>
      <c r="AF1048" t="s">
        <v>67</v>
      </c>
      <c r="AG1048" t="s">
        <v>67</v>
      </c>
      <c r="AH1048" t="s">
        <v>3894</v>
      </c>
      <c r="AI1048" t="s">
        <v>3894</v>
      </c>
      <c r="AJ1048" t="s">
        <v>3895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3896</v>
      </c>
      <c r="AT1048" t="s">
        <v>3890</v>
      </c>
      <c r="AU1048" t="s">
        <v>3897</v>
      </c>
      <c r="AV1048" t="s">
        <v>3898</v>
      </c>
      <c r="AW1048">
        <v>2</v>
      </c>
      <c r="AX1048">
        <v>0</v>
      </c>
    </row>
    <row r="1049" spans="1:50" x14ac:dyDescent="0.25">
      <c r="A1049" t="s">
        <v>5074</v>
      </c>
      <c r="B1049" t="s">
        <v>3889</v>
      </c>
      <c r="C1049" t="s">
        <v>3890</v>
      </c>
      <c r="D1049">
        <v>32.963000000000001</v>
      </c>
      <c r="E1049">
        <v>32.942999999999998</v>
      </c>
      <c r="F1049" s="2">
        <v>1E-3</v>
      </c>
      <c r="G1049" t="s">
        <v>1807</v>
      </c>
      <c r="H1049" t="s">
        <v>1809</v>
      </c>
      <c r="I1049">
        <v>440053.7745</v>
      </c>
      <c r="J1049">
        <v>1828142.8171000001</v>
      </c>
      <c r="K1049">
        <v>440053.7745</v>
      </c>
      <c r="L1049">
        <v>1828122.8171000001</v>
      </c>
      <c r="M1049" t="s">
        <v>56</v>
      </c>
      <c r="N1049" t="s">
        <v>57</v>
      </c>
      <c r="O1049">
        <v>450</v>
      </c>
      <c r="P1049" t="s">
        <v>3891</v>
      </c>
      <c r="Q1049" t="s">
        <v>3892</v>
      </c>
      <c r="R1049" t="s">
        <v>502</v>
      </c>
      <c r="S1049" t="s">
        <v>444</v>
      </c>
      <c r="T1049" t="s">
        <v>440</v>
      </c>
      <c r="U1049">
        <v>1.15E-2</v>
      </c>
      <c r="V1049">
        <v>1.15E-2</v>
      </c>
      <c r="W1049" t="s">
        <v>52</v>
      </c>
      <c r="X1049">
        <v>1.1503000000000001</v>
      </c>
      <c r="Y1049">
        <v>1.2297</v>
      </c>
      <c r="Z1049">
        <v>1.1503000000000001</v>
      </c>
      <c r="AA1049">
        <v>1.2297</v>
      </c>
      <c r="AB1049">
        <v>20</v>
      </c>
      <c r="AC1049">
        <v>20</v>
      </c>
      <c r="AD1049">
        <v>18.800699999999999</v>
      </c>
      <c r="AE1049">
        <v>18.800699999999999</v>
      </c>
      <c r="AF1049" t="s">
        <v>2233</v>
      </c>
      <c r="AG1049" t="s">
        <v>2233</v>
      </c>
      <c r="AH1049" t="s">
        <v>3894</v>
      </c>
      <c r="AI1049" t="s">
        <v>3894</v>
      </c>
      <c r="AJ1049" t="s">
        <v>3895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3896</v>
      </c>
      <c r="AT1049" t="s">
        <v>3890</v>
      </c>
      <c r="AU1049" t="s">
        <v>3897</v>
      </c>
      <c r="AV1049" t="s">
        <v>3898</v>
      </c>
      <c r="AW1049">
        <v>2</v>
      </c>
      <c r="AX1049">
        <v>0</v>
      </c>
    </row>
    <row r="1050" spans="1:50" x14ac:dyDescent="0.25">
      <c r="A1050" t="s">
        <v>5075</v>
      </c>
      <c r="B1050" t="s">
        <v>3889</v>
      </c>
      <c r="C1050" t="s">
        <v>3890</v>
      </c>
      <c r="D1050">
        <v>32.963000000000001</v>
      </c>
      <c r="E1050">
        <v>32.942999999999998</v>
      </c>
      <c r="F1050" s="2">
        <v>1E-3</v>
      </c>
      <c r="G1050" t="s">
        <v>1792</v>
      </c>
      <c r="H1050" t="s">
        <v>1795</v>
      </c>
      <c r="I1050">
        <v>440044.07449999999</v>
      </c>
      <c r="J1050">
        <v>1828142.8171000001</v>
      </c>
      <c r="K1050">
        <v>440044.07449999999</v>
      </c>
      <c r="L1050">
        <v>1828122.8171000001</v>
      </c>
      <c r="M1050" t="s">
        <v>56</v>
      </c>
      <c r="N1050" t="s">
        <v>57</v>
      </c>
      <c r="O1050">
        <v>450</v>
      </c>
      <c r="P1050" t="s">
        <v>3891</v>
      </c>
      <c r="Q1050" t="s">
        <v>3892</v>
      </c>
      <c r="R1050" t="s">
        <v>489</v>
      </c>
      <c r="S1050" t="s">
        <v>444</v>
      </c>
      <c r="T1050" t="s">
        <v>440</v>
      </c>
      <c r="U1050">
        <v>0.15</v>
      </c>
      <c r="V1050">
        <v>0.15</v>
      </c>
      <c r="W1050" t="s">
        <v>52</v>
      </c>
      <c r="X1050">
        <v>1.1503000000000001</v>
      </c>
      <c r="Y1050">
        <v>1.2297</v>
      </c>
      <c r="Z1050">
        <v>1.1503000000000001</v>
      </c>
      <c r="AA1050">
        <v>1.2297</v>
      </c>
      <c r="AB1050">
        <v>20</v>
      </c>
      <c r="AC1050">
        <v>20</v>
      </c>
      <c r="AD1050">
        <v>18.800699999999999</v>
      </c>
      <c r="AE1050">
        <v>18.800699999999999</v>
      </c>
      <c r="AF1050" t="s">
        <v>2233</v>
      </c>
      <c r="AG1050" t="s">
        <v>2233</v>
      </c>
      <c r="AH1050" t="s">
        <v>3894</v>
      </c>
      <c r="AI1050" t="s">
        <v>3894</v>
      </c>
      <c r="AJ1050" t="s">
        <v>3895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3896</v>
      </c>
      <c r="AT1050" t="s">
        <v>3890</v>
      </c>
      <c r="AU1050" t="s">
        <v>3897</v>
      </c>
      <c r="AV1050" t="s">
        <v>3898</v>
      </c>
      <c r="AW1050">
        <v>2</v>
      </c>
      <c r="AX1050">
        <v>0</v>
      </c>
    </row>
    <row r="1051" spans="1:50" x14ac:dyDescent="0.25">
      <c r="A1051" t="s">
        <v>5076</v>
      </c>
      <c r="B1051" t="s">
        <v>3924</v>
      </c>
      <c r="C1051" t="s">
        <v>3890</v>
      </c>
      <c r="D1051">
        <v>28.6</v>
      </c>
      <c r="E1051">
        <v>28.58</v>
      </c>
      <c r="F1051" s="2">
        <v>1E-3</v>
      </c>
      <c r="G1051" t="s">
        <v>2147</v>
      </c>
      <c r="H1051" t="s">
        <v>2150</v>
      </c>
      <c r="I1051">
        <v>440314.42489999998</v>
      </c>
      <c r="J1051">
        <v>1827615.5748000001</v>
      </c>
      <c r="K1051">
        <v>440314.42489999998</v>
      </c>
      <c r="L1051">
        <v>1827595.5748000001</v>
      </c>
      <c r="M1051" t="s">
        <v>56</v>
      </c>
      <c r="N1051" t="s">
        <v>57</v>
      </c>
      <c r="O1051">
        <v>750</v>
      </c>
      <c r="P1051" t="s">
        <v>3891</v>
      </c>
      <c r="Q1051" t="s">
        <v>3892</v>
      </c>
      <c r="R1051" t="s">
        <v>156</v>
      </c>
      <c r="S1051" t="s">
        <v>416</v>
      </c>
      <c r="T1051" t="s">
        <v>529</v>
      </c>
      <c r="U1051">
        <v>-0.123</v>
      </c>
      <c r="V1051">
        <v>-0.123</v>
      </c>
      <c r="W1051" t="s">
        <v>52</v>
      </c>
      <c r="X1051">
        <v>1.9198</v>
      </c>
      <c r="Y1051">
        <v>2.0571000000000002</v>
      </c>
      <c r="Z1051">
        <v>1.9198</v>
      </c>
      <c r="AA1051">
        <v>2.0571000000000002</v>
      </c>
      <c r="AB1051">
        <v>20</v>
      </c>
      <c r="AC1051">
        <v>20</v>
      </c>
      <c r="AD1051">
        <v>18.800999999999998</v>
      </c>
      <c r="AE1051">
        <v>18.800999999999998</v>
      </c>
      <c r="AF1051" t="s">
        <v>2233</v>
      </c>
      <c r="AG1051" t="s">
        <v>2233</v>
      </c>
      <c r="AH1051" t="s">
        <v>3894</v>
      </c>
      <c r="AI1051" t="s">
        <v>3894</v>
      </c>
      <c r="AJ1051" t="s">
        <v>3895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3896</v>
      </c>
      <c r="AT1051" t="s">
        <v>3890</v>
      </c>
      <c r="AU1051" t="s">
        <v>3926</v>
      </c>
      <c r="AV1051" t="s">
        <v>3898</v>
      </c>
      <c r="AW1051">
        <v>2</v>
      </c>
      <c r="AX1051">
        <v>0</v>
      </c>
    </row>
    <row r="1052" spans="1:50" x14ac:dyDescent="0.25">
      <c r="A1052" t="s">
        <v>5077</v>
      </c>
      <c r="B1052" t="s">
        <v>3889</v>
      </c>
      <c r="C1052" t="s">
        <v>3890</v>
      </c>
      <c r="D1052">
        <v>29.175999999999998</v>
      </c>
      <c r="E1052">
        <v>29.155999999999999</v>
      </c>
      <c r="F1052" s="2">
        <v>1E-3</v>
      </c>
      <c r="G1052" t="s">
        <v>2213</v>
      </c>
      <c r="H1052" t="s">
        <v>2217</v>
      </c>
      <c r="I1052">
        <v>440323.97489999997</v>
      </c>
      <c r="J1052">
        <v>1827615.5748000001</v>
      </c>
      <c r="K1052">
        <v>440323.97489999997</v>
      </c>
      <c r="L1052">
        <v>1827595.5748000001</v>
      </c>
      <c r="M1052" t="s">
        <v>56</v>
      </c>
      <c r="N1052" t="s">
        <v>57</v>
      </c>
      <c r="O1052">
        <v>450</v>
      </c>
      <c r="P1052" t="s">
        <v>3891</v>
      </c>
      <c r="Q1052" t="s">
        <v>3892</v>
      </c>
      <c r="R1052" t="s">
        <v>161</v>
      </c>
      <c r="S1052" t="s">
        <v>2215</v>
      </c>
      <c r="T1052" t="s">
        <v>2219</v>
      </c>
      <c r="U1052">
        <v>0</v>
      </c>
      <c r="V1052">
        <v>0</v>
      </c>
      <c r="W1052" t="s">
        <v>52</v>
      </c>
      <c r="X1052">
        <v>1.3468</v>
      </c>
      <c r="Y1052">
        <v>1.4841</v>
      </c>
      <c r="Z1052">
        <v>1.3468</v>
      </c>
      <c r="AA1052">
        <v>1.4841</v>
      </c>
      <c r="AB1052">
        <v>20</v>
      </c>
      <c r="AC1052">
        <v>20</v>
      </c>
      <c r="AD1052">
        <v>18.800699999999999</v>
      </c>
      <c r="AE1052">
        <v>18.800699999999999</v>
      </c>
      <c r="AF1052" t="s">
        <v>2233</v>
      </c>
      <c r="AG1052" t="s">
        <v>2233</v>
      </c>
      <c r="AH1052" t="s">
        <v>3894</v>
      </c>
      <c r="AI1052" t="s">
        <v>3894</v>
      </c>
      <c r="AJ1052" t="s">
        <v>3895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3896</v>
      </c>
      <c r="AT1052" t="s">
        <v>3890</v>
      </c>
      <c r="AU1052" t="s">
        <v>3897</v>
      </c>
      <c r="AV1052" t="s">
        <v>3898</v>
      </c>
      <c r="AW1052">
        <v>2</v>
      </c>
      <c r="AX1052">
        <v>0</v>
      </c>
    </row>
    <row r="1053" spans="1:50" x14ac:dyDescent="0.25">
      <c r="A1053" t="s">
        <v>5078</v>
      </c>
      <c r="B1053" t="s">
        <v>3889</v>
      </c>
      <c r="C1053" t="s">
        <v>3890</v>
      </c>
      <c r="D1053">
        <v>29.196000000000002</v>
      </c>
      <c r="E1053">
        <v>29.175999999999998</v>
      </c>
      <c r="F1053" s="2">
        <v>1E-3</v>
      </c>
      <c r="G1053" t="s">
        <v>2209</v>
      </c>
      <c r="H1053" t="s">
        <v>2213</v>
      </c>
      <c r="I1053">
        <v>440323.97489999997</v>
      </c>
      <c r="J1053">
        <v>1827635.5748000001</v>
      </c>
      <c r="K1053">
        <v>440323.97489999997</v>
      </c>
      <c r="L1053">
        <v>1827615.5748000001</v>
      </c>
      <c r="M1053" t="s">
        <v>56</v>
      </c>
      <c r="N1053" t="s">
        <v>57</v>
      </c>
      <c r="O1053">
        <v>450</v>
      </c>
      <c r="P1053" t="s">
        <v>3891</v>
      </c>
      <c r="Q1053" t="s">
        <v>3892</v>
      </c>
      <c r="R1053" t="s">
        <v>161</v>
      </c>
      <c r="S1053" t="s">
        <v>2211</v>
      </c>
      <c r="T1053" t="s">
        <v>2215</v>
      </c>
      <c r="U1053">
        <v>0</v>
      </c>
      <c r="V1053">
        <v>0</v>
      </c>
      <c r="W1053" t="s">
        <v>52</v>
      </c>
      <c r="X1053">
        <v>1.2126999999999999</v>
      </c>
      <c r="Y1053">
        <v>1.3468</v>
      </c>
      <c r="Z1053">
        <v>1.2126999999999999</v>
      </c>
      <c r="AA1053">
        <v>1.3468</v>
      </c>
      <c r="AB1053">
        <v>20</v>
      </c>
      <c r="AC1053">
        <v>20</v>
      </c>
      <c r="AD1053">
        <v>18.800699999999999</v>
      </c>
      <c r="AE1053">
        <v>18.800699999999999</v>
      </c>
      <c r="AF1053" t="s">
        <v>2233</v>
      </c>
      <c r="AG1053" t="s">
        <v>2233</v>
      </c>
      <c r="AH1053" t="s">
        <v>3894</v>
      </c>
      <c r="AI1053" t="s">
        <v>3894</v>
      </c>
      <c r="AJ1053" t="s">
        <v>3895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3896</v>
      </c>
      <c r="AT1053" t="s">
        <v>3890</v>
      </c>
      <c r="AU1053" t="s">
        <v>3897</v>
      </c>
      <c r="AV1053" t="s">
        <v>3898</v>
      </c>
      <c r="AW1053">
        <v>2</v>
      </c>
      <c r="AX1053">
        <v>0</v>
      </c>
    </row>
    <row r="1054" spans="1:50" x14ac:dyDescent="0.25">
      <c r="A1054" t="s">
        <v>5079</v>
      </c>
      <c r="B1054" t="s">
        <v>3924</v>
      </c>
      <c r="C1054" t="s">
        <v>3890</v>
      </c>
      <c r="D1054">
        <v>28.545000000000002</v>
      </c>
      <c r="E1054">
        <v>28.532</v>
      </c>
      <c r="F1054" s="2">
        <v>1E-3</v>
      </c>
      <c r="G1054" t="s">
        <v>154</v>
      </c>
      <c r="H1054" t="s">
        <v>2156</v>
      </c>
      <c r="I1054">
        <v>440314.42489999998</v>
      </c>
      <c r="J1054">
        <v>1827563.4069000001</v>
      </c>
      <c r="K1054">
        <v>440314.42489999998</v>
      </c>
      <c r="L1054">
        <v>1827550.1838</v>
      </c>
      <c r="M1054" t="s">
        <v>56</v>
      </c>
      <c r="N1054" t="s">
        <v>57</v>
      </c>
      <c r="O1054">
        <v>750</v>
      </c>
      <c r="P1054" t="s">
        <v>3891</v>
      </c>
      <c r="Q1054" t="s">
        <v>3892</v>
      </c>
      <c r="R1054" t="s">
        <v>156</v>
      </c>
      <c r="S1054" t="s">
        <v>157</v>
      </c>
      <c r="T1054" t="s">
        <v>5080</v>
      </c>
      <c r="U1054">
        <v>-0.123</v>
      </c>
      <c r="V1054">
        <v>-0.123</v>
      </c>
      <c r="W1054" t="s">
        <v>52</v>
      </c>
      <c r="X1054">
        <v>1.8263</v>
      </c>
      <c r="Y1054">
        <v>2.2869000000000002</v>
      </c>
      <c r="Z1054">
        <v>2.2806000000000002</v>
      </c>
      <c r="AA1054">
        <v>1.8263</v>
      </c>
      <c r="AB1054">
        <v>13.098100000000001</v>
      </c>
      <c r="AC1054">
        <v>13.098100000000001</v>
      </c>
      <c r="AD1054">
        <v>12.1241</v>
      </c>
      <c r="AE1054">
        <v>12.1241</v>
      </c>
      <c r="AF1054" t="s">
        <v>2233</v>
      </c>
      <c r="AG1054" t="s">
        <v>2233</v>
      </c>
      <c r="AH1054" t="s">
        <v>3894</v>
      </c>
      <c r="AI1054" t="s">
        <v>3894</v>
      </c>
      <c r="AJ1054" t="s">
        <v>3895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3896</v>
      </c>
      <c r="AT1054" t="s">
        <v>3890</v>
      </c>
      <c r="AU1054" t="s">
        <v>3926</v>
      </c>
      <c r="AV1054" t="s">
        <v>3898</v>
      </c>
      <c r="AW1054">
        <v>2</v>
      </c>
      <c r="AX1054">
        <v>0</v>
      </c>
    </row>
    <row r="1055" spans="1:50" x14ac:dyDescent="0.25">
      <c r="A1055" t="s">
        <v>5081</v>
      </c>
      <c r="B1055" t="s">
        <v>3963</v>
      </c>
      <c r="C1055" t="s">
        <v>3890</v>
      </c>
      <c r="D1055">
        <v>31.917000000000002</v>
      </c>
      <c r="E1055">
        <v>31.896000000000001</v>
      </c>
      <c r="F1055" s="2">
        <v>1E-3</v>
      </c>
      <c r="G1055" t="s">
        <v>1370</v>
      </c>
      <c r="H1055" t="s">
        <v>379</v>
      </c>
      <c r="I1055">
        <v>440053.69949999999</v>
      </c>
      <c r="J1055">
        <v>1827740.9783000001</v>
      </c>
      <c r="K1055">
        <v>440053.69949999999</v>
      </c>
      <c r="L1055">
        <v>1827720.0652000001</v>
      </c>
      <c r="M1055" t="s">
        <v>56</v>
      </c>
      <c r="N1055" t="s">
        <v>57</v>
      </c>
      <c r="O1055">
        <v>600</v>
      </c>
      <c r="P1055" t="s">
        <v>3891</v>
      </c>
      <c r="Q1055" t="s">
        <v>3892</v>
      </c>
      <c r="R1055" t="s">
        <v>381</v>
      </c>
      <c r="S1055" t="s">
        <v>1372</v>
      </c>
      <c r="T1055" t="s">
        <v>382</v>
      </c>
      <c r="U1055">
        <v>5.6599999999999998E-2</v>
      </c>
      <c r="V1055">
        <v>5.04E-2</v>
      </c>
      <c r="W1055" t="s">
        <v>52</v>
      </c>
      <c r="X1055">
        <v>0.96319999999999995</v>
      </c>
      <c r="Y1055">
        <v>1.0085</v>
      </c>
      <c r="Z1055">
        <v>1.0085</v>
      </c>
      <c r="AA1055">
        <v>0.96319999999999995</v>
      </c>
      <c r="AB1055">
        <v>20.9131</v>
      </c>
      <c r="AC1055">
        <v>20.9131</v>
      </c>
      <c r="AD1055">
        <v>19.713999999999999</v>
      </c>
      <c r="AE1055">
        <v>19.713999999999999</v>
      </c>
      <c r="AF1055" t="s">
        <v>2233</v>
      </c>
      <c r="AG1055" t="s">
        <v>2233</v>
      </c>
      <c r="AH1055" t="s">
        <v>3894</v>
      </c>
      <c r="AI1055" t="s">
        <v>3894</v>
      </c>
      <c r="AJ1055" t="s">
        <v>3895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3896</v>
      </c>
      <c r="AT1055" t="s">
        <v>3890</v>
      </c>
      <c r="AU1055" t="s">
        <v>3964</v>
      </c>
      <c r="AV1055" t="s">
        <v>3898</v>
      </c>
      <c r="AW1055">
        <v>2</v>
      </c>
      <c r="AX1055">
        <v>0</v>
      </c>
    </row>
    <row r="1056" spans="1:50" x14ac:dyDescent="0.25">
      <c r="A1056" t="s">
        <v>2297</v>
      </c>
      <c r="B1056" t="s">
        <v>3889</v>
      </c>
      <c r="C1056" t="s">
        <v>3890</v>
      </c>
      <c r="D1056">
        <v>30.687000000000001</v>
      </c>
      <c r="E1056">
        <v>30.667000000000002</v>
      </c>
      <c r="F1056" s="2">
        <v>1E-3</v>
      </c>
      <c r="G1056" t="s">
        <v>2296</v>
      </c>
      <c r="H1056" t="s">
        <v>2300</v>
      </c>
      <c r="I1056">
        <v>440464.07510000002</v>
      </c>
      <c r="J1056">
        <v>1828038.1984000001</v>
      </c>
      <c r="K1056">
        <v>440464.07510000002</v>
      </c>
      <c r="L1056">
        <v>1828018.3263999999</v>
      </c>
      <c r="M1056" t="s">
        <v>56</v>
      </c>
      <c r="N1056" t="s">
        <v>57</v>
      </c>
      <c r="O1056">
        <v>450</v>
      </c>
      <c r="P1056" t="s">
        <v>3891</v>
      </c>
      <c r="Q1056" t="s">
        <v>3892</v>
      </c>
      <c r="R1056" t="s">
        <v>210</v>
      </c>
      <c r="S1056" t="s">
        <v>2231</v>
      </c>
      <c r="T1056" t="s">
        <v>2302</v>
      </c>
      <c r="U1056">
        <v>-1E-4</v>
      </c>
      <c r="V1056">
        <v>-1E-4</v>
      </c>
      <c r="W1056" t="s">
        <v>52</v>
      </c>
      <c r="X1056">
        <v>0.84860000000000002</v>
      </c>
      <c r="Y1056">
        <v>1.0368999999999999</v>
      </c>
      <c r="Z1056">
        <v>0.86719999999999997</v>
      </c>
      <c r="AA1056">
        <v>0.88270000000000004</v>
      </c>
      <c r="AB1056">
        <v>19.8721</v>
      </c>
      <c r="AC1056">
        <v>19.8721</v>
      </c>
      <c r="AD1056">
        <v>18.672699999999999</v>
      </c>
      <c r="AE1056">
        <v>18.672699999999999</v>
      </c>
      <c r="AF1056" t="s">
        <v>3905</v>
      </c>
      <c r="AG1056" t="s">
        <v>3905</v>
      </c>
      <c r="AH1056" t="s">
        <v>3894</v>
      </c>
      <c r="AI1056" t="s">
        <v>3894</v>
      </c>
      <c r="AJ1056" t="s">
        <v>3895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3896</v>
      </c>
      <c r="AT1056" t="s">
        <v>3890</v>
      </c>
      <c r="AU1056" t="s">
        <v>3897</v>
      </c>
      <c r="AV1056" t="s">
        <v>3898</v>
      </c>
      <c r="AW1056">
        <v>2</v>
      </c>
      <c r="AX1056">
        <v>0</v>
      </c>
    </row>
    <row r="1057" spans="1:50" x14ac:dyDescent="0.25">
      <c r="A1057" t="s">
        <v>5082</v>
      </c>
      <c r="B1057" t="s">
        <v>3889</v>
      </c>
      <c r="C1057" t="s">
        <v>3890</v>
      </c>
      <c r="D1057">
        <v>29.12</v>
      </c>
      <c r="E1057">
        <v>29.106999999999999</v>
      </c>
      <c r="F1057" s="2">
        <v>1E-3</v>
      </c>
      <c r="G1057" t="s">
        <v>159</v>
      </c>
      <c r="H1057" t="s">
        <v>2225</v>
      </c>
      <c r="I1057">
        <v>440323.97489999997</v>
      </c>
      <c r="J1057">
        <v>1827562.9498000001</v>
      </c>
      <c r="K1057">
        <v>440323.97489999997</v>
      </c>
      <c r="L1057">
        <v>1827550.3088</v>
      </c>
      <c r="M1057" t="s">
        <v>56</v>
      </c>
      <c r="N1057" t="s">
        <v>57</v>
      </c>
      <c r="O1057">
        <v>450</v>
      </c>
      <c r="P1057" t="s">
        <v>3891</v>
      </c>
      <c r="Q1057" t="s">
        <v>3892</v>
      </c>
      <c r="R1057" t="s">
        <v>161</v>
      </c>
      <c r="S1057" t="s">
        <v>162</v>
      </c>
      <c r="T1057" t="s">
        <v>5083</v>
      </c>
      <c r="U1057">
        <v>0</v>
      </c>
      <c r="V1057">
        <v>0</v>
      </c>
      <c r="W1057" t="s">
        <v>52</v>
      </c>
      <c r="X1057">
        <v>1.2008000000000001</v>
      </c>
      <c r="Y1057">
        <v>1.7144999999999999</v>
      </c>
      <c r="Z1057">
        <v>1.7113</v>
      </c>
      <c r="AA1057">
        <v>1.2008000000000001</v>
      </c>
      <c r="AB1057">
        <v>12.6419</v>
      </c>
      <c r="AC1057">
        <v>12.6419</v>
      </c>
      <c r="AD1057">
        <v>11.666700000000001</v>
      </c>
      <c r="AE1057">
        <v>11.6668</v>
      </c>
      <c r="AF1057" t="s">
        <v>2233</v>
      </c>
      <c r="AG1057" t="s">
        <v>2233</v>
      </c>
      <c r="AH1057" t="s">
        <v>3894</v>
      </c>
      <c r="AI1057" t="s">
        <v>3894</v>
      </c>
      <c r="AJ1057" t="s">
        <v>3895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3896</v>
      </c>
      <c r="AT1057" t="s">
        <v>3890</v>
      </c>
      <c r="AU1057" t="s">
        <v>3897</v>
      </c>
      <c r="AV1057" t="s">
        <v>3898</v>
      </c>
      <c r="AW1057">
        <v>2</v>
      </c>
      <c r="AX1057">
        <v>0</v>
      </c>
    </row>
    <row r="1058" spans="1:50" x14ac:dyDescent="0.25">
      <c r="A1058" t="s">
        <v>5084</v>
      </c>
      <c r="B1058" t="s">
        <v>3889</v>
      </c>
      <c r="C1058" t="s">
        <v>3890</v>
      </c>
      <c r="D1058">
        <v>32.942999999999998</v>
      </c>
      <c r="E1058">
        <v>32.921999999999997</v>
      </c>
      <c r="F1058" s="2">
        <v>1E-3</v>
      </c>
      <c r="G1058" t="s">
        <v>1809</v>
      </c>
      <c r="H1058" t="s">
        <v>1811</v>
      </c>
      <c r="I1058">
        <v>440053.7745</v>
      </c>
      <c r="J1058">
        <v>1828122.8171000001</v>
      </c>
      <c r="K1058">
        <v>440053.48830000003</v>
      </c>
      <c r="L1058">
        <v>1828102.6588000001</v>
      </c>
      <c r="M1058" t="s">
        <v>56</v>
      </c>
      <c r="N1058" t="s">
        <v>57</v>
      </c>
      <c r="O1058">
        <v>450</v>
      </c>
      <c r="P1058" t="s">
        <v>3891</v>
      </c>
      <c r="Q1058" t="s">
        <v>3892</v>
      </c>
      <c r="R1058" t="s">
        <v>502</v>
      </c>
      <c r="S1058" t="s">
        <v>440</v>
      </c>
      <c r="T1058" t="s">
        <v>5085</v>
      </c>
      <c r="U1058">
        <v>1.15E-2</v>
      </c>
      <c r="V1058">
        <v>0.29770000000000002</v>
      </c>
      <c r="W1058" t="s">
        <v>52</v>
      </c>
      <c r="X1058">
        <v>1.1019000000000001</v>
      </c>
      <c r="Y1058">
        <v>1.2891999999999999</v>
      </c>
      <c r="Z1058">
        <v>1.2297</v>
      </c>
      <c r="AA1058">
        <v>1.1197999999999999</v>
      </c>
      <c r="AB1058">
        <v>20.308800000000002</v>
      </c>
      <c r="AC1058">
        <v>20.308800000000002</v>
      </c>
      <c r="AD1058">
        <v>19.335899999999999</v>
      </c>
      <c r="AE1058">
        <v>19.335899999999999</v>
      </c>
      <c r="AF1058" t="s">
        <v>5086</v>
      </c>
      <c r="AG1058" t="s">
        <v>5086</v>
      </c>
      <c r="AH1058" t="s">
        <v>3894</v>
      </c>
      <c r="AI1058" t="s">
        <v>3894</v>
      </c>
      <c r="AJ1058" t="s">
        <v>3895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3896</v>
      </c>
      <c r="AT1058" t="s">
        <v>3890</v>
      </c>
      <c r="AU1058" t="s">
        <v>3897</v>
      </c>
      <c r="AV1058" t="s">
        <v>3898</v>
      </c>
      <c r="AW1058">
        <v>2</v>
      </c>
      <c r="AX1058">
        <v>0</v>
      </c>
    </row>
    <row r="1059" spans="1:50" x14ac:dyDescent="0.25">
      <c r="A1059" t="s">
        <v>5087</v>
      </c>
      <c r="B1059" t="s">
        <v>3963</v>
      </c>
      <c r="C1059" t="s">
        <v>3890</v>
      </c>
      <c r="D1059">
        <v>32.942999999999998</v>
      </c>
      <c r="E1059">
        <v>32.921999999999997</v>
      </c>
      <c r="F1059" s="2">
        <v>1E-3</v>
      </c>
      <c r="G1059" t="s">
        <v>1795</v>
      </c>
      <c r="H1059" t="s">
        <v>1798</v>
      </c>
      <c r="I1059">
        <v>440044.1495</v>
      </c>
      <c r="J1059">
        <v>1828122.8171000001</v>
      </c>
      <c r="K1059">
        <v>440044.1495</v>
      </c>
      <c r="L1059">
        <v>1828102.6588000001</v>
      </c>
      <c r="M1059" t="s">
        <v>56</v>
      </c>
      <c r="N1059" t="s">
        <v>57</v>
      </c>
      <c r="O1059">
        <v>600</v>
      </c>
      <c r="P1059" t="s">
        <v>3891</v>
      </c>
      <c r="Q1059" t="s">
        <v>3892</v>
      </c>
      <c r="R1059" t="s">
        <v>489</v>
      </c>
      <c r="S1059" t="s">
        <v>440</v>
      </c>
      <c r="T1059" t="s">
        <v>5085</v>
      </c>
      <c r="U1059">
        <v>7.4999999999999997E-2</v>
      </c>
      <c r="V1059">
        <v>7.4999999999999997E-2</v>
      </c>
      <c r="W1059" t="s">
        <v>52</v>
      </c>
      <c r="X1059">
        <v>1.2282</v>
      </c>
      <c r="Y1059">
        <v>1.3090999999999999</v>
      </c>
      <c r="Z1059">
        <v>1.2282</v>
      </c>
      <c r="AA1059">
        <v>1.3090999999999999</v>
      </c>
      <c r="AB1059">
        <v>20.310500000000001</v>
      </c>
      <c r="AC1059">
        <v>20.310500000000001</v>
      </c>
      <c r="AD1059">
        <v>19.334199999999999</v>
      </c>
      <c r="AE1059">
        <v>19.334199999999999</v>
      </c>
      <c r="AF1059" t="s">
        <v>2233</v>
      </c>
      <c r="AG1059" t="s">
        <v>2233</v>
      </c>
      <c r="AH1059" t="s">
        <v>3894</v>
      </c>
      <c r="AI1059" t="s">
        <v>3894</v>
      </c>
      <c r="AJ1059" t="s">
        <v>3895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3896</v>
      </c>
      <c r="AT1059" t="s">
        <v>3890</v>
      </c>
      <c r="AU1059" t="s">
        <v>3964</v>
      </c>
      <c r="AV1059" t="s">
        <v>3898</v>
      </c>
      <c r="AW1059">
        <v>2</v>
      </c>
      <c r="AX1059">
        <v>0</v>
      </c>
    </row>
    <row r="1060" spans="1:50" x14ac:dyDescent="0.25">
      <c r="A1060" t="s">
        <v>5088</v>
      </c>
      <c r="B1060" t="s">
        <v>3963</v>
      </c>
      <c r="C1060" t="s">
        <v>3890</v>
      </c>
      <c r="D1060">
        <v>29.082999999999998</v>
      </c>
      <c r="E1060">
        <v>29.074000000000002</v>
      </c>
      <c r="F1060" s="2">
        <v>8.9999999999999998E-4</v>
      </c>
      <c r="G1060" t="s">
        <v>1142</v>
      </c>
      <c r="H1060" t="s">
        <v>1162</v>
      </c>
      <c r="I1060">
        <v>440258.29989999998</v>
      </c>
      <c r="J1060">
        <v>1827692.7645</v>
      </c>
      <c r="K1060">
        <v>440248.7499</v>
      </c>
      <c r="L1060">
        <v>1827692.7645</v>
      </c>
      <c r="M1060" t="s">
        <v>56</v>
      </c>
      <c r="N1060" t="s">
        <v>57</v>
      </c>
      <c r="O1060">
        <v>600</v>
      </c>
      <c r="P1060" t="s">
        <v>3891</v>
      </c>
      <c r="Q1060" t="s">
        <v>3892</v>
      </c>
      <c r="R1060" t="s">
        <v>1112</v>
      </c>
      <c r="S1060" t="s">
        <v>4765</v>
      </c>
      <c r="T1060" t="s">
        <v>1164</v>
      </c>
      <c r="U1060">
        <v>-8.9800000000000005E-2</v>
      </c>
      <c r="V1060">
        <v>-9.2100000000000001E-2</v>
      </c>
      <c r="W1060" t="s">
        <v>52</v>
      </c>
      <c r="X1060">
        <v>1.5499000000000001</v>
      </c>
      <c r="Y1060">
        <v>1.7211000000000001</v>
      </c>
      <c r="Z1060">
        <v>1.5499000000000001</v>
      </c>
      <c r="AA1060">
        <v>1.6754</v>
      </c>
      <c r="AB1060">
        <v>9.3430999999999997</v>
      </c>
      <c r="AC1060">
        <v>9.3430999999999997</v>
      </c>
      <c r="AD1060">
        <v>8.1439000000000004</v>
      </c>
      <c r="AE1060">
        <v>8.1439000000000004</v>
      </c>
      <c r="AF1060" t="s">
        <v>4630</v>
      </c>
      <c r="AG1060" t="s">
        <v>4630</v>
      </c>
      <c r="AH1060" t="s">
        <v>3894</v>
      </c>
      <c r="AI1060" t="s">
        <v>3894</v>
      </c>
      <c r="AJ1060" t="s">
        <v>3895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3896</v>
      </c>
      <c r="AT1060" t="s">
        <v>3890</v>
      </c>
      <c r="AU1060" t="s">
        <v>3964</v>
      </c>
      <c r="AV1060" t="s">
        <v>3898</v>
      </c>
      <c r="AW1060">
        <v>2</v>
      </c>
      <c r="AX1060">
        <v>0</v>
      </c>
    </row>
    <row r="1061" spans="1:50" x14ac:dyDescent="0.25">
      <c r="A1061" t="s">
        <v>5089</v>
      </c>
      <c r="B1061" t="s">
        <v>4004</v>
      </c>
      <c r="C1061" t="s">
        <v>3890</v>
      </c>
      <c r="D1061">
        <v>28.077999999999999</v>
      </c>
      <c r="E1061">
        <v>28.061</v>
      </c>
      <c r="F1061" s="2">
        <v>1E-3</v>
      </c>
      <c r="G1061" t="s">
        <v>2939</v>
      </c>
      <c r="H1061" t="s">
        <v>2943</v>
      </c>
      <c r="I1061">
        <v>440529.67509999999</v>
      </c>
      <c r="J1061">
        <v>1827692.7645</v>
      </c>
      <c r="K1061">
        <v>440547.03419999999</v>
      </c>
      <c r="L1061">
        <v>1827692.7645</v>
      </c>
      <c r="M1061" t="s">
        <v>56</v>
      </c>
      <c r="N1061" t="s">
        <v>57</v>
      </c>
      <c r="O1061">
        <v>600</v>
      </c>
      <c r="P1061" t="s">
        <v>58</v>
      </c>
      <c r="Q1061" t="s">
        <v>3892</v>
      </c>
      <c r="R1061" t="s">
        <v>1112</v>
      </c>
      <c r="S1061" t="s">
        <v>2941</v>
      </c>
      <c r="T1061" t="s">
        <v>2945</v>
      </c>
      <c r="U1061">
        <v>-2.2700000000000001E-2</v>
      </c>
      <c r="V1061">
        <v>-1.84E-2</v>
      </c>
      <c r="W1061" t="s">
        <v>52</v>
      </c>
      <c r="X1061">
        <v>0.87939999999999996</v>
      </c>
      <c r="Y1061">
        <v>1.0612999999999999</v>
      </c>
      <c r="Z1061">
        <v>0.89670000000000005</v>
      </c>
      <c r="AA1061">
        <v>1.0381</v>
      </c>
      <c r="AB1061">
        <v>17.359100000000002</v>
      </c>
      <c r="AC1061">
        <v>17.359100000000002</v>
      </c>
      <c r="AD1061">
        <v>16.1599</v>
      </c>
      <c r="AE1061">
        <v>16.1599</v>
      </c>
      <c r="AF1061" t="s">
        <v>183</v>
      </c>
      <c r="AG1061" t="s">
        <v>183</v>
      </c>
      <c r="AH1061" t="s">
        <v>3894</v>
      </c>
      <c r="AI1061" t="s">
        <v>3894</v>
      </c>
      <c r="AJ1061" t="s">
        <v>3895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3896</v>
      </c>
      <c r="AT1061" t="s">
        <v>3890</v>
      </c>
      <c r="AU1061" t="s">
        <v>4006</v>
      </c>
      <c r="AV1061" t="s">
        <v>3898</v>
      </c>
      <c r="AW1061">
        <v>2</v>
      </c>
      <c r="AX1061">
        <v>0</v>
      </c>
    </row>
    <row r="1062" spans="1:50" x14ac:dyDescent="0.25">
      <c r="A1062" t="s">
        <v>5090</v>
      </c>
      <c r="B1062" t="s">
        <v>3955</v>
      </c>
      <c r="C1062" t="s">
        <v>3890</v>
      </c>
      <c r="D1062">
        <v>27.794</v>
      </c>
      <c r="E1062">
        <v>27.779</v>
      </c>
      <c r="F1062" s="2">
        <v>1E-3</v>
      </c>
      <c r="G1062" t="s">
        <v>112</v>
      </c>
      <c r="H1062" t="s">
        <v>2070</v>
      </c>
      <c r="I1062">
        <v>440595.03320000001</v>
      </c>
      <c r="J1062">
        <v>1827384.5236</v>
      </c>
      <c r="K1062">
        <v>440610.42830000003</v>
      </c>
      <c r="L1062">
        <v>1827384.5236</v>
      </c>
      <c r="M1062" t="s">
        <v>56</v>
      </c>
      <c r="N1062" t="s">
        <v>57</v>
      </c>
      <c r="O1062">
        <v>600</v>
      </c>
      <c r="P1062" t="s">
        <v>109</v>
      </c>
      <c r="Q1062" t="s">
        <v>3892</v>
      </c>
      <c r="R1062" t="s">
        <v>54</v>
      </c>
      <c r="S1062" s="1" t="s">
        <v>4792</v>
      </c>
      <c r="T1062" s="1" t="s">
        <v>4938</v>
      </c>
      <c r="U1062">
        <v>0</v>
      </c>
      <c r="V1062">
        <v>0</v>
      </c>
      <c r="W1062" t="s">
        <v>52</v>
      </c>
      <c r="X1062">
        <v>1.4966999999999999</v>
      </c>
      <c r="Y1062">
        <v>1.5636000000000001</v>
      </c>
      <c r="Z1062">
        <v>1.4966999999999999</v>
      </c>
      <c r="AA1062">
        <v>1.5351999999999999</v>
      </c>
      <c r="AB1062">
        <v>15.395200000000001</v>
      </c>
      <c r="AC1062">
        <v>15.395200000000001</v>
      </c>
      <c r="AD1062">
        <v>14.795400000000001</v>
      </c>
      <c r="AE1062">
        <v>14.795500000000001</v>
      </c>
      <c r="AF1062" t="s">
        <v>183</v>
      </c>
      <c r="AG1062" t="s">
        <v>183</v>
      </c>
      <c r="AH1062" t="s">
        <v>3894</v>
      </c>
      <c r="AI1062" t="s">
        <v>3894</v>
      </c>
      <c r="AJ1062" t="s">
        <v>3895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3896</v>
      </c>
      <c r="AT1062" t="s">
        <v>3890</v>
      </c>
      <c r="AU1062" t="s">
        <v>3956</v>
      </c>
      <c r="AV1062" t="s">
        <v>3898</v>
      </c>
      <c r="AW1062">
        <v>3</v>
      </c>
      <c r="AX1062">
        <v>0</v>
      </c>
    </row>
    <row r="1063" spans="1:50" x14ac:dyDescent="0.25">
      <c r="A1063" t="s">
        <v>5091</v>
      </c>
      <c r="B1063" t="s">
        <v>3933</v>
      </c>
      <c r="C1063" t="s">
        <v>3890</v>
      </c>
      <c r="D1063">
        <v>28.923999999999999</v>
      </c>
      <c r="E1063">
        <v>28.905000000000001</v>
      </c>
      <c r="F1063" s="2">
        <v>1E-3</v>
      </c>
      <c r="G1063" t="s">
        <v>1162</v>
      </c>
      <c r="H1063" t="s">
        <v>1166</v>
      </c>
      <c r="I1063">
        <v>440248.7499</v>
      </c>
      <c r="J1063">
        <v>1827692.8644999999</v>
      </c>
      <c r="K1063">
        <v>440230.4252</v>
      </c>
      <c r="L1063">
        <v>1827692.8644999999</v>
      </c>
      <c r="M1063" t="s">
        <v>56</v>
      </c>
      <c r="N1063" t="s">
        <v>57</v>
      </c>
      <c r="O1063">
        <v>750</v>
      </c>
      <c r="P1063" t="s">
        <v>58</v>
      </c>
      <c r="Q1063" t="s">
        <v>3919</v>
      </c>
      <c r="R1063" t="s">
        <v>1112</v>
      </c>
      <c r="S1063" t="s">
        <v>1164</v>
      </c>
      <c r="T1063" t="s">
        <v>1168</v>
      </c>
      <c r="U1063">
        <v>7.9000000000000008E-3</v>
      </c>
      <c r="V1063">
        <v>3.3E-3</v>
      </c>
      <c r="W1063" t="s">
        <v>52</v>
      </c>
      <c r="X1063">
        <v>1.6414</v>
      </c>
      <c r="Y1063">
        <v>1.9896</v>
      </c>
      <c r="Z1063">
        <v>1.6432</v>
      </c>
      <c r="AA1063">
        <v>1.9896</v>
      </c>
      <c r="AB1063">
        <v>18.3247</v>
      </c>
      <c r="AC1063">
        <v>18.3247</v>
      </c>
      <c r="AD1063">
        <v>17.125800000000002</v>
      </c>
      <c r="AE1063">
        <v>17.125800000000002</v>
      </c>
      <c r="AF1063" t="s">
        <v>4630</v>
      </c>
      <c r="AG1063" t="s">
        <v>4630</v>
      </c>
      <c r="AH1063" t="s">
        <v>3894</v>
      </c>
      <c r="AI1063" t="s">
        <v>3894</v>
      </c>
      <c r="AJ1063" t="s">
        <v>3895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3896</v>
      </c>
      <c r="AT1063" t="s">
        <v>3890</v>
      </c>
      <c r="AU1063" t="s">
        <v>3935</v>
      </c>
      <c r="AV1063" t="s">
        <v>3898</v>
      </c>
      <c r="AW1063">
        <v>2</v>
      </c>
      <c r="AX1063">
        <v>0</v>
      </c>
    </row>
    <row r="1064" spans="1:50" x14ac:dyDescent="0.25">
      <c r="A1064" t="s">
        <v>5092</v>
      </c>
      <c r="B1064" t="s">
        <v>3963</v>
      </c>
      <c r="C1064" t="s">
        <v>3890</v>
      </c>
      <c r="D1064">
        <v>28.497</v>
      </c>
      <c r="E1064">
        <v>28.477</v>
      </c>
      <c r="F1064" s="2">
        <v>1E-3</v>
      </c>
      <c r="G1064" t="s">
        <v>2782</v>
      </c>
      <c r="H1064" t="s">
        <v>2796</v>
      </c>
      <c r="I1064">
        <v>440566.29139999999</v>
      </c>
      <c r="J1064">
        <v>1827778.6007000001</v>
      </c>
      <c r="K1064">
        <v>440585.57510000002</v>
      </c>
      <c r="L1064">
        <v>1827778.6007000001</v>
      </c>
      <c r="M1064" t="s">
        <v>56</v>
      </c>
      <c r="N1064" t="s">
        <v>57</v>
      </c>
      <c r="O1064">
        <v>600</v>
      </c>
      <c r="P1064" t="s">
        <v>3891</v>
      </c>
      <c r="Q1064" t="s">
        <v>3892</v>
      </c>
      <c r="R1064" t="s">
        <v>200</v>
      </c>
      <c r="S1064" t="s">
        <v>2784</v>
      </c>
      <c r="T1064" t="s">
        <v>2477</v>
      </c>
      <c r="U1064">
        <v>2.18E-2</v>
      </c>
      <c r="V1064">
        <v>1.52E-2</v>
      </c>
      <c r="W1064" t="s">
        <v>52</v>
      </c>
      <c r="X1064">
        <v>0.97309999999999997</v>
      </c>
      <c r="Y1064">
        <v>1.1478999999999999</v>
      </c>
      <c r="Z1064">
        <v>1.0959000000000001</v>
      </c>
      <c r="AA1064">
        <v>0.98129999999999995</v>
      </c>
      <c r="AB1064">
        <v>19.2837</v>
      </c>
      <c r="AC1064">
        <v>19.2837</v>
      </c>
      <c r="AD1064">
        <v>18.084599999999998</v>
      </c>
      <c r="AE1064">
        <v>18.084599999999998</v>
      </c>
      <c r="AF1064" t="s">
        <v>183</v>
      </c>
      <c r="AG1064" t="s">
        <v>183</v>
      </c>
      <c r="AH1064" t="s">
        <v>3894</v>
      </c>
      <c r="AI1064" t="s">
        <v>3894</v>
      </c>
      <c r="AJ1064" t="s">
        <v>3895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3896</v>
      </c>
      <c r="AT1064" t="s">
        <v>3890</v>
      </c>
      <c r="AU1064" t="s">
        <v>3964</v>
      </c>
      <c r="AV1064" t="s">
        <v>3898</v>
      </c>
      <c r="AW1064">
        <v>2</v>
      </c>
      <c r="AX1064">
        <v>0</v>
      </c>
    </row>
    <row r="1065" spans="1:50" x14ac:dyDescent="0.25">
      <c r="A1065" t="s">
        <v>5093</v>
      </c>
      <c r="B1065" t="s">
        <v>3963</v>
      </c>
      <c r="C1065" t="s">
        <v>3890</v>
      </c>
      <c r="D1065">
        <v>31.853000000000002</v>
      </c>
      <c r="E1065">
        <v>31.834</v>
      </c>
      <c r="F1065" s="2">
        <v>1E-3</v>
      </c>
      <c r="G1065" t="s">
        <v>1215</v>
      </c>
      <c r="H1065" t="s">
        <v>1228</v>
      </c>
      <c r="I1065">
        <v>440198.74979999999</v>
      </c>
      <c r="J1065">
        <v>1828121.8171000001</v>
      </c>
      <c r="K1065">
        <v>440198.74979999999</v>
      </c>
      <c r="L1065">
        <v>1828102.7338</v>
      </c>
      <c r="M1065" t="s">
        <v>56</v>
      </c>
      <c r="N1065" t="s">
        <v>57</v>
      </c>
      <c r="O1065">
        <v>600</v>
      </c>
      <c r="P1065" t="s">
        <v>3891</v>
      </c>
      <c r="Q1065" t="s">
        <v>3892</v>
      </c>
      <c r="R1065" t="s">
        <v>146</v>
      </c>
      <c r="S1065" t="s">
        <v>563</v>
      </c>
      <c r="T1065" t="s">
        <v>4872</v>
      </c>
      <c r="U1065">
        <v>0.15</v>
      </c>
      <c r="V1065">
        <v>0.15</v>
      </c>
      <c r="W1065" t="s">
        <v>52</v>
      </c>
      <c r="X1065">
        <v>1.2297</v>
      </c>
      <c r="Y1065">
        <v>1.3918999999999999</v>
      </c>
      <c r="Z1065">
        <v>1.3487</v>
      </c>
      <c r="AA1065">
        <v>1.2484</v>
      </c>
      <c r="AB1065">
        <v>19.083300000000001</v>
      </c>
      <c r="AC1065">
        <v>19.083300000000001</v>
      </c>
      <c r="AD1065">
        <v>17.8841</v>
      </c>
      <c r="AE1065">
        <v>17.8842</v>
      </c>
      <c r="AF1065" t="s">
        <v>2233</v>
      </c>
      <c r="AG1065" t="s">
        <v>2233</v>
      </c>
      <c r="AH1065" t="s">
        <v>3894</v>
      </c>
      <c r="AI1065" t="s">
        <v>3894</v>
      </c>
      <c r="AJ1065" t="s">
        <v>3895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3896</v>
      </c>
      <c r="AT1065" t="s">
        <v>3890</v>
      </c>
      <c r="AU1065" t="s">
        <v>3964</v>
      </c>
      <c r="AV1065" t="s">
        <v>3898</v>
      </c>
      <c r="AW1065">
        <v>2</v>
      </c>
      <c r="AX1065">
        <v>0</v>
      </c>
    </row>
    <row r="1066" spans="1:50" x14ac:dyDescent="0.25">
      <c r="A1066" t="s">
        <v>5094</v>
      </c>
      <c r="B1066" t="s">
        <v>3963</v>
      </c>
      <c r="C1066" t="s">
        <v>3890</v>
      </c>
      <c r="D1066">
        <v>30.454999999999998</v>
      </c>
      <c r="E1066">
        <v>30.44</v>
      </c>
      <c r="F1066" s="2">
        <v>1.1000000000000001E-3</v>
      </c>
      <c r="G1066" t="s">
        <v>876</v>
      </c>
      <c r="H1066" t="s">
        <v>879</v>
      </c>
      <c r="I1066">
        <v>440248.7499</v>
      </c>
      <c r="J1066">
        <v>1827425.1986</v>
      </c>
      <c r="K1066">
        <v>440248.7499</v>
      </c>
      <c r="L1066">
        <v>1827439.4838</v>
      </c>
      <c r="M1066" t="s">
        <v>56</v>
      </c>
      <c r="N1066" t="s">
        <v>57</v>
      </c>
      <c r="O1066">
        <v>600</v>
      </c>
      <c r="P1066" t="s">
        <v>3891</v>
      </c>
      <c r="Q1066" t="s">
        <v>3892</v>
      </c>
      <c r="R1066" t="s">
        <v>881</v>
      </c>
      <c r="S1066" t="s">
        <v>4057</v>
      </c>
      <c r="T1066" t="s">
        <v>440</v>
      </c>
      <c r="U1066">
        <v>7.4999999999999997E-2</v>
      </c>
      <c r="V1066">
        <v>7.4999999999999997E-2</v>
      </c>
      <c r="W1066" t="s">
        <v>52</v>
      </c>
      <c r="X1066">
        <v>0.84460000000000002</v>
      </c>
      <c r="Y1066">
        <v>1.0174000000000001</v>
      </c>
      <c r="Z1066">
        <v>0.8659</v>
      </c>
      <c r="AA1066">
        <v>0.99680000000000002</v>
      </c>
      <c r="AB1066">
        <v>14.5396</v>
      </c>
      <c r="AC1066">
        <v>14.5396</v>
      </c>
      <c r="AD1066">
        <v>13.3405</v>
      </c>
      <c r="AE1066">
        <v>13.3405</v>
      </c>
      <c r="AF1066" t="s">
        <v>67</v>
      </c>
      <c r="AG1066" t="s">
        <v>67</v>
      </c>
      <c r="AH1066" t="s">
        <v>3894</v>
      </c>
      <c r="AI1066" t="s">
        <v>3894</v>
      </c>
      <c r="AJ1066" t="s">
        <v>3895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3896</v>
      </c>
      <c r="AT1066" t="s">
        <v>3890</v>
      </c>
      <c r="AU1066" t="s">
        <v>3964</v>
      </c>
      <c r="AV1066" t="s">
        <v>3898</v>
      </c>
      <c r="AW1066">
        <v>2</v>
      </c>
      <c r="AX1066">
        <v>0</v>
      </c>
    </row>
    <row r="1067" spans="1:50" x14ac:dyDescent="0.25">
      <c r="A1067" t="s">
        <v>5095</v>
      </c>
      <c r="B1067" t="s">
        <v>3963</v>
      </c>
      <c r="C1067" t="s">
        <v>3890</v>
      </c>
      <c r="D1067">
        <v>32.64</v>
      </c>
      <c r="E1067">
        <v>32.625</v>
      </c>
      <c r="F1067" s="2">
        <v>1E-3</v>
      </c>
      <c r="G1067" t="s">
        <v>434</v>
      </c>
      <c r="H1067" t="s">
        <v>438</v>
      </c>
      <c r="I1067">
        <v>439938.8002</v>
      </c>
      <c r="J1067">
        <v>1827424.8485999999</v>
      </c>
      <c r="K1067">
        <v>439938.8002</v>
      </c>
      <c r="L1067">
        <v>1827439.4839000001</v>
      </c>
      <c r="M1067" t="s">
        <v>56</v>
      </c>
      <c r="N1067" t="s">
        <v>57</v>
      </c>
      <c r="O1067">
        <v>600</v>
      </c>
      <c r="P1067" t="s">
        <v>3891</v>
      </c>
      <c r="Q1067" t="s">
        <v>3892</v>
      </c>
      <c r="R1067" t="s">
        <v>75</v>
      </c>
      <c r="S1067" t="s">
        <v>436</v>
      </c>
      <c r="T1067" t="s">
        <v>440</v>
      </c>
      <c r="U1067">
        <v>-7.6300000000000007E-2</v>
      </c>
      <c r="V1067">
        <v>-7.6300000000000007E-2</v>
      </c>
      <c r="W1067" t="s">
        <v>52</v>
      </c>
      <c r="X1067">
        <v>0.82689999999999997</v>
      </c>
      <c r="Y1067">
        <v>1.044</v>
      </c>
      <c r="Z1067">
        <v>0.84189999999999998</v>
      </c>
      <c r="AA1067">
        <v>1.0135000000000001</v>
      </c>
      <c r="AB1067">
        <v>14.635199999999999</v>
      </c>
      <c r="AC1067">
        <v>14.635300000000001</v>
      </c>
      <c r="AD1067">
        <v>13.4361</v>
      </c>
      <c r="AE1067">
        <v>13.4361</v>
      </c>
      <c r="AF1067" t="s">
        <v>67</v>
      </c>
      <c r="AG1067" t="s">
        <v>67</v>
      </c>
      <c r="AH1067" t="s">
        <v>3894</v>
      </c>
      <c r="AI1067" t="s">
        <v>3894</v>
      </c>
      <c r="AJ1067" t="s">
        <v>3895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3896</v>
      </c>
      <c r="AT1067" t="s">
        <v>3890</v>
      </c>
      <c r="AU1067" t="s">
        <v>3964</v>
      </c>
      <c r="AV1067" t="s">
        <v>3898</v>
      </c>
      <c r="AW1067">
        <v>2</v>
      </c>
      <c r="AX1067">
        <v>0</v>
      </c>
    </row>
    <row r="1068" spans="1:50" x14ac:dyDescent="0.25">
      <c r="A1068" t="s">
        <v>5096</v>
      </c>
      <c r="B1068" t="s">
        <v>3924</v>
      </c>
      <c r="C1068" t="s">
        <v>3890</v>
      </c>
      <c r="D1068">
        <v>32.753</v>
      </c>
      <c r="E1068">
        <v>32.738</v>
      </c>
      <c r="F1068" s="2">
        <v>1.1000000000000001E-3</v>
      </c>
      <c r="G1068" t="s">
        <v>481</v>
      </c>
      <c r="H1068" t="s">
        <v>484</v>
      </c>
      <c r="I1068">
        <v>439929.32520000002</v>
      </c>
      <c r="J1068">
        <v>1827425.1986</v>
      </c>
      <c r="K1068">
        <v>439929.32520000002</v>
      </c>
      <c r="L1068">
        <v>1827439.4839000001</v>
      </c>
      <c r="M1068" t="s">
        <v>56</v>
      </c>
      <c r="N1068" t="s">
        <v>57</v>
      </c>
      <c r="O1068">
        <v>750</v>
      </c>
      <c r="P1068" t="s">
        <v>3891</v>
      </c>
      <c r="Q1068" t="s">
        <v>3892</v>
      </c>
      <c r="R1068" t="s">
        <v>320</v>
      </c>
      <c r="S1068" t="s">
        <v>4057</v>
      </c>
      <c r="T1068" t="s">
        <v>440</v>
      </c>
      <c r="U1068">
        <v>-0.20480000000000001</v>
      </c>
      <c r="V1068">
        <v>-0.20480000000000001</v>
      </c>
      <c r="W1068" t="s">
        <v>52</v>
      </c>
      <c r="X1068">
        <v>0.84789999999999999</v>
      </c>
      <c r="Y1068">
        <v>1.0039</v>
      </c>
      <c r="Z1068">
        <v>0.87570000000000003</v>
      </c>
      <c r="AA1068">
        <v>0.89900000000000002</v>
      </c>
      <c r="AB1068">
        <v>14.5512</v>
      </c>
      <c r="AC1068">
        <v>14.5512</v>
      </c>
      <c r="AD1068">
        <v>13.3522</v>
      </c>
      <c r="AE1068">
        <v>13.3522</v>
      </c>
      <c r="AF1068" t="s">
        <v>67</v>
      </c>
      <c r="AG1068" t="s">
        <v>67</v>
      </c>
      <c r="AH1068" t="s">
        <v>3894</v>
      </c>
      <c r="AI1068" t="s">
        <v>3894</v>
      </c>
      <c r="AJ1068" t="s">
        <v>3895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3896</v>
      </c>
      <c r="AT1068" t="s">
        <v>3890</v>
      </c>
      <c r="AU1068" t="s">
        <v>3926</v>
      </c>
      <c r="AV1068" t="s">
        <v>3898</v>
      </c>
      <c r="AW1068">
        <v>2</v>
      </c>
      <c r="AX1068">
        <v>0</v>
      </c>
    </row>
    <row r="1069" spans="1:50" x14ac:dyDescent="0.25">
      <c r="A1069" t="s">
        <v>5097</v>
      </c>
      <c r="B1069" t="s">
        <v>4355</v>
      </c>
      <c r="C1069" t="s">
        <v>3890</v>
      </c>
      <c r="D1069">
        <v>30.338999999999999</v>
      </c>
      <c r="E1069">
        <v>30.327999999999999</v>
      </c>
      <c r="F1069" s="2">
        <v>1E-3</v>
      </c>
      <c r="G1069" t="s">
        <v>1963</v>
      </c>
      <c r="H1069" t="s">
        <v>2057</v>
      </c>
      <c r="I1069">
        <v>440121.94949999999</v>
      </c>
      <c r="J1069">
        <v>1827562.8171999999</v>
      </c>
      <c r="K1069">
        <v>440132.54950000002</v>
      </c>
      <c r="L1069">
        <v>1827562.8171999999</v>
      </c>
      <c r="M1069" t="s">
        <v>56</v>
      </c>
      <c r="N1069" t="s">
        <v>57</v>
      </c>
      <c r="O1069">
        <v>900</v>
      </c>
      <c r="P1069" t="s">
        <v>3918</v>
      </c>
      <c r="Q1069" t="s">
        <v>3930</v>
      </c>
      <c r="R1069" t="s">
        <v>5098</v>
      </c>
      <c r="S1069" t="s">
        <v>5099</v>
      </c>
      <c r="T1069" t="s">
        <v>5100</v>
      </c>
      <c r="U1069">
        <v>0</v>
      </c>
      <c r="V1069">
        <v>0</v>
      </c>
      <c r="W1069" t="s">
        <v>52</v>
      </c>
      <c r="X1069">
        <v>0.64770000000000005</v>
      </c>
      <c r="Y1069">
        <v>0.83840000000000003</v>
      </c>
      <c r="Z1069">
        <v>0.82640000000000002</v>
      </c>
      <c r="AA1069">
        <v>0.83840000000000003</v>
      </c>
      <c r="AB1069">
        <v>10.625</v>
      </c>
      <c r="AC1069">
        <v>10.625</v>
      </c>
      <c r="AD1069">
        <v>9.8763000000000005</v>
      </c>
      <c r="AE1069">
        <v>9.8763000000000005</v>
      </c>
      <c r="AF1069" t="s">
        <v>183</v>
      </c>
      <c r="AG1069" t="s">
        <v>183</v>
      </c>
      <c r="AH1069" t="s">
        <v>3894</v>
      </c>
      <c r="AI1069" t="s">
        <v>3894</v>
      </c>
      <c r="AJ1069" t="s">
        <v>3895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3896</v>
      </c>
      <c r="AT1069" t="s">
        <v>3890</v>
      </c>
      <c r="AU1069" t="s">
        <v>4357</v>
      </c>
      <c r="AV1069" t="s">
        <v>3898</v>
      </c>
      <c r="AW1069">
        <v>2</v>
      </c>
      <c r="AX1069">
        <v>0</v>
      </c>
    </row>
    <row r="1070" spans="1:50" x14ac:dyDescent="0.25">
      <c r="A1070" t="s">
        <v>5101</v>
      </c>
      <c r="B1070" t="s">
        <v>4355</v>
      </c>
      <c r="C1070" t="s">
        <v>3890</v>
      </c>
      <c r="D1070">
        <v>27.995999999999999</v>
      </c>
      <c r="E1070">
        <v>27.981999999999999</v>
      </c>
      <c r="F1070" s="2">
        <v>1.1000000000000001E-3</v>
      </c>
      <c r="G1070" t="s">
        <v>1190</v>
      </c>
      <c r="H1070" t="s">
        <v>149</v>
      </c>
      <c r="I1070">
        <v>440217.49979999999</v>
      </c>
      <c r="J1070">
        <v>1827601.8171000001</v>
      </c>
      <c r="K1070">
        <v>440217.49979999999</v>
      </c>
      <c r="L1070">
        <v>1827588.5366</v>
      </c>
      <c r="M1070" t="s">
        <v>56</v>
      </c>
      <c r="N1070" t="s">
        <v>57</v>
      </c>
      <c r="O1070">
        <v>900</v>
      </c>
      <c r="P1070" t="s">
        <v>3918</v>
      </c>
      <c r="Q1070" t="s">
        <v>3930</v>
      </c>
      <c r="R1070" t="s">
        <v>151</v>
      </c>
      <c r="S1070" t="s">
        <v>1192</v>
      </c>
      <c r="T1070" t="s">
        <v>152</v>
      </c>
      <c r="U1070">
        <v>1.2800000000000001E-2</v>
      </c>
      <c r="V1070">
        <v>5.5999999999999999E-3</v>
      </c>
      <c r="W1070" t="s">
        <v>52</v>
      </c>
      <c r="X1070">
        <v>2.3247</v>
      </c>
      <c r="Y1070">
        <v>2.3666</v>
      </c>
      <c r="Z1070">
        <v>2.3247</v>
      </c>
      <c r="AA1070">
        <v>2.3666</v>
      </c>
      <c r="AB1070">
        <v>13.2805</v>
      </c>
      <c r="AC1070">
        <v>13.2806</v>
      </c>
      <c r="AD1070">
        <v>12.081899999999999</v>
      </c>
      <c r="AE1070">
        <v>12.081899999999999</v>
      </c>
      <c r="AF1070" t="s">
        <v>2233</v>
      </c>
      <c r="AG1070" t="s">
        <v>2233</v>
      </c>
      <c r="AH1070" t="s">
        <v>3894</v>
      </c>
      <c r="AI1070" t="s">
        <v>3894</v>
      </c>
      <c r="AJ1070" t="s">
        <v>3895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3896</v>
      </c>
      <c r="AT1070" t="s">
        <v>3890</v>
      </c>
      <c r="AU1070" t="s">
        <v>4357</v>
      </c>
      <c r="AV1070" t="s">
        <v>3898</v>
      </c>
      <c r="AW1070">
        <v>2</v>
      </c>
      <c r="AX1070">
        <v>0</v>
      </c>
    </row>
    <row r="1071" spans="1:50" x14ac:dyDescent="0.25">
      <c r="A1071" t="s">
        <v>5102</v>
      </c>
      <c r="B1071" t="s">
        <v>4355</v>
      </c>
      <c r="C1071" t="s">
        <v>3890</v>
      </c>
      <c r="D1071">
        <v>27.689</v>
      </c>
      <c r="E1071">
        <v>27.68</v>
      </c>
      <c r="F1071" s="2">
        <v>8.9999999999999998E-4</v>
      </c>
      <c r="G1071" t="s">
        <v>3211</v>
      </c>
      <c r="H1071" t="s">
        <v>3215</v>
      </c>
      <c r="I1071">
        <v>440585.57510000002</v>
      </c>
      <c r="J1071">
        <v>1827375.1736000001</v>
      </c>
      <c r="K1071">
        <v>440595.27510000003</v>
      </c>
      <c r="L1071">
        <v>1827375.1736000001</v>
      </c>
      <c r="M1071" t="s">
        <v>56</v>
      </c>
      <c r="N1071" t="s">
        <v>57</v>
      </c>
      <c r="O1071">
        <v>900</v>
      </c>
      <c r="P1071" t="s">
        <v>3918</v>
      </c>
      <c r="Q1071" t="s">
        <v>3930</v>
      </c>
      <c r="R1071" t="s">
        <v>3089</v>
      </c>
      <c r="S1071" t="s">
        <v>2477</v>
      </c>
      <c r="T1071" s="1" t="s">
        <v>4071</v>
      </c>
      <c r="U1071">
        <v>0</v>
      </c>
      <c r="V1071">
        <v>0</v>
      </c>
      <c r="W1071" t="s">
        <v>52</v>
      </c>
      <c r="X1071">
        <v>1.3039000000000001</v>
      </c>
      <c r="Y1071">
        <v>1.4674</v>
      </c>
      <c r="Z1071">
        <v>1.3167</v>
      </c>
      <c r="AA1071">
        <v>1.4674</v>
      </c>
      <c r="AB1071">
        <v>9.2561</v>
      </c>
      <c r="AC1071">
        <v>9.2561</v>
      </c>
      <c r="AD1071">
        <v>8.0571999999999999</v>
      </c>
      <c r="AE1071">
        <v>8.0571999999999999</v>
      </c>
      <c r="AF1071" t="s">
        <v>183</v>
      </c>
      <c r="AG1071" t="s">
        <v>183</v>
      </c>
      <c r="AH1071" t="s">
        <v>3894</v>
      </c>
      <c r="AI1071" t="s">
        <v>3894</v>
      </c>
      <c r="AJ1071" t="s">
        <v>3895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3896</v>
      </c>
      <c r="AT1071" t="s">
        <v>3890</v>
      </c>
      <c r="AU1071" t="s">
        <v>4357</v>
      </c>
      <c r="AV1071" t="s">
        <v>3898</v>
      </c>
      <c r="AW1071">
        <v>2</v>
      </c>
      <c r="AX1071">
        <v>0</v>
      </c>
    </row>
    <row r="1072" spans="1:50" x14ac:dyDescent="0.25">
      <c r="A1072" t="s">
        <v>5103</v>
      </c>
      <c r="B1072" t="s">
        <v>3963</v>
      </c>
      <c r="C1072" t="s">
        <v>3890</v>
      </c>
      <c r="D1072">
        <v>28.542999999999999</v>
      </c>
      <c r="E1072">
        <v>28.533999999999999</v>
      </c>
      <c r="F1072" s="2">
        <v>1E-3</v>
      </c>
      <c r="G1072" t="s">
        <v>2762</v>
      </c>
      <c r="H1072" t="s">
        <v>2774</v>
      </c>
      <c r="I1072">
        <v>440520.32510000002</v>
      </c>
      <c r="J1072">
        <v>1827778.6007000001</v>
      </c>
      <c r="K1072">
        <v>440529.32510000002</v>
      </c>
      <c r="L1072">
        <v>1827778.6007000001</v>
      </c>
      <c r="M1072" t="s">
        <v>56</v>
      </c>
      <c r="N1072" t="s">
        <v>57</v>
      </c>
      <c r="O1072">
        <v>600</v>
      </c>
      <c r="P1072" t="s">
        <v>3891</v>
      </c>
      <c r="Q1072" t="s">
        <v>3892</v>
      </c>
      <c r="R1072" t="s">
        <v>200</v>
      </c>
      <c r="S1072" t="s">
        <v>2764</v>
      </c>
      <c r="T1072" t="s">
        <v>2776</v>
      </c>
      <c r="U1072">
        <v>3.7400000000000003E-2</v>
      </c>
      <c r="V1072">
        <v>3.4299999999999997E-2</v>
      </c>
      <c r="W1072" t="s">
        <v>52</v>
      </c>
      <c r="X1072">
        <v>0.872</v>
      </c>
      <c r="Y1072">
        <v>0.95950000000000002</v>
      </c>
      <c r="Z1072">
        <v>0.872</v>
      </c>
      <c r="AA1072">
        <v>0.88090000000000002</v>
      </c>
      <c r="AB1072">
        <v>9</v>
      </c>
      <c r="AC1072">
        <v>9</v>
      </c>
      <c r="AD1072">
        <v>7.8007999999999997</v>
      </c>
      <c r="AE1072">
        <v>7.8009000000000004</v>
      </c>
      <c r="AF1072" t="s">
        <v>183</v>
      </c>
      <c r="AG1072" t="s">
        <v>183</v>
      </c>
      <c r="AH1072" t="s">
        <v>3894</v>
      </c>
      <c r="AI1072" t="s">
        <v>3894</v>
      </c>
      <c r="AJ1072" t="s">
        <v>3895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3896</v>
      </c>
      <c r="AT1072" t="s">
        <v>3890</v>
      </c>
      <c r="AU1072" t="s">
        <v>3964</v>
      </c>
      <c r="AV1072" t="s">
        <v>3898</v>
      </c>
      <c r="AW1072">
        <v>2</v>
      </c>
      <c r="AX1072">
        <v>0</v>
      </c>
    </row>
    <row r="1073" spans="1:50" x14ac:dyDescent="0.25">
      <c r="A1073" t="s">
        <v>5104</v>
      </c>
      <c r="B1073" t="s">
        <v>4004</v>
      </c>
      <c r="C1073" t="s">
        <v>3890</v>
      </c>
      <c r="D1073">
        <v>29.693000000000001</v>
      </c>
      <c r="E1073">
        <v>29.684000000000001</v>
      </c>
      <c r="F1073" s="2">
        <v>8.9999999999999998E-4</v>
      </c>
      <c r="G1073" t="s">
        <v>3407</v>
      </c>
      <c r="H1073" t="s">
        <v>3411</v>
      </c>
      <c r="I1073">
        <v>440314.27490000002</v>
      </c>
      <c r="J1073">
        <v>1827375.1236</v>
      </c>
      <c r="K1073">
        <v>440314.34989999997</v>
      </c>
      <c r="L1073">
        <v>1827384.5985999999</v>
      </c>
      <c r="M1073" t="s">
        <v>56</v>
      </c>
      <c r="N1073" t="s">
        <v>57</v>
      </c>
      <c r="O1073">
        <v>600</v>
      </c>
      <c r="P1073" t="s">
        <v>58</v>
      </c>
      <c r="Q1073" t="s">
        <v>3892</v>
      </c>
      <c r="R1073" t="s">
        <v>343</v>
      </c>
      <c r="S1073" t="s">
        <v>4533</v>
      </c>
      <c r="T1073" s="1" t="s">
        <v>4071</v>
      </c>
      <c r="U1073">
        <v>7.4999999999999997E-2</v>
      </c>
      <c r="V1073">
        <v>0</v>
      </c>
      <c r="W1073" t="s">
        <v>52</v>
      </c>
      <c r="X1073">
        <v>1.3047</v>
      </c>
      <c r="Y1073">
        <v>1.4690000000000001</v>
      </c>
      <c r="Z1073">
        <v>1.3189</v>
      </c>
      <c r="AA1073">
        <v>1.4690000000000001</v>
      </c>
      <c r="AB1073">
        <v>9.2751000000000001</v>
      </c>
      <c r="AC1073">
        <v>9.2751000000000001</v>
      </c>
      <c r="AD1073">
        <v>8.5260999999999996</v>
      </c>
      <c r="AE1073">
        <v>8.5260999999999996</v>
      </c>
      <c r="AF1073" t="s">
        <v>5105</v>
      </c>
      <c r="AG1073" t="s">
        <v>5105</v>
      </c>
      <c r="AH1073" t="s">
        <v>3894</v>
      </c>
      <c r="AI1073" t="s">
        <v>3894</v>
      </c>
      <c r="AJ1073" t="s">
        <v>3895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3896</v>
      </c>
      <c r="AT1073" t="s">
        <v>3890</v>
      </c>
      <c r="AU1073" t="s">
        <v>4006</v>
      </c>
      <c r="AV1073" t="s">
        <v>3898</v>
      </c>
      <c r="AW1073">
        <v>2</v>
      </c>
      <c r="AX1073">
        <v>0</v>
      </c>
    </row>
    <row r="1074" spans="1:50" x14ac:dyDescent="0.25">
      <c r="A1074" t="s">
        <v>5106</v>
      </c>
      <c r="B1074" t="s">
        <v>3889</v>
      </c>
      <c r="C1074" t="s">
        <v>3890</v>
      </c>
      <c r="D1074">
        <v>28.826000000000001</v>
      </c>
      <c r="E1074">
        <v>28.817</v>
      </c>
      <c r="F1074" s="2">
        <v>8.9999999999999998E-4</v>
      </c>
      <c r="G1074" t="s">
        <v>3557</v>
      </c>
      <c r="H1074" t="s">
        <v>375</v>
      </c>
      <c r="I1074">
        <v>440454.3751</v>
      </c>
      <c r="J1074">
        <v>1827519.4838</v>
      </c>
      <c r="K1074">
        <v>440464.0001</v>
      </c>
      <c r="L1074">
        <v>1827519.5049999999</v>
      </c>
      <c r="M1074" t="s">
        <v>56</v>
      </c>
      <c r="N1074" t="s">
        <v>57</v>
      </c>
      <c r="O1074">
        <v>450</v>
      </c>
      <c r="P1074" t="s">
        <v>3891</v>
      </c>
      <c r="Q1074" t="s">
        <v>3892</v>
      </c>
      <c r="R1074" t="s">
        <v>5107</v>
      </c>
      <c r="S1074" t="s">
        <v>5108</v>
      </c>
      <c r="T1074" t="s">
        <v>5109</v>
      </c>
      <c r="U1074">
        <v>-2.12E-2</v>
      </c>
      <c r="V1074">
        <v>0</v>
      </c>
      <c r="W1074" t="s">
        <v>52</v>
      </c>
      <c r="X1074">
        <v>0.73170000000000002</v>
      </c>
      <c r="Y1074">
        <v>0.8891</v>
      </c>
      <c r="Z1074">
        <v>0.88190000000000002</v>
      </c>
      <c r="AA1074">
        <v>0.8891</v>
      </c>
      <c r="AB1074">
        <v>9.4</v>
      </c>
      <c r="AC1074">
        <v>9.4</v>
      </c>
      <c r="AD1074">
        <v>8.8007000000000009</v>
      </c>
      <c r="AE1074">
        <v>8.8007000000000009</v>
      </c>
      <c r="AF1074" t="s">
        <v>5110</v>
      </c>
      <c r="AG1074" t="s">
        <v>5110</v>
      </c>
      <c r="AH1074" t="s">
        <v>3894</v>
      </c>
      <c r="AI1074" t="s">
        <v>3894</v>
      </c>
      <c r="AJ1074" t="s">
        <v>3895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3896</v>
      </c>
      <c r="AT1074" t="s">
        <v>3890</v>
      </c>
      <c r="AU1074" t="s">
        <v>3897</v>
      </c>
      <c r="AV1074" t="s">
        <v>3898</v>
      </c>
      <c r="AW1074">
        <v>2</v>
      </c>
      <c r="AX1074">
        <v>0</v>
      </c>
    </row>
    <row r="1075" spans="1:50" x14ac:dyDescent="0.25">
      <c r="A1075" t="s">
        <v>5111</v>
      </c>
      <c r="B1075" t="s">
        <v>3963</v>
      </c>
      <c r="C1075" t="s">
        <v>3890</v>
      </c>
      <c r="D1075">
        <v>27.952000000000002</v>
      </c>
      <c r="E1075">
        <v>27.943000000000001</v>
      </c>
      <c r="F1075" s="2">
        <v>8.9999999999999998E-4</v>
      </c>
      <c r="G1075" t="s">
        <v>3618</v>
      </c>
      <c r="H1075" t="s">
        <v>3622</v>
      </c>
      <c r="I1075">
        <v>440519.97509999998</v>
      </c>
      <c r="J1075">
        <v>1827517.9859</v>
      </c>
      <c r="K1075">
        <v>440529.67509999999</v>
      </c>
      <c r="L1075">
        <v>1827517.9859</v>
      </c>
      <c r="M1075" t="s">
        <v>56</v>
      </c>
      <c r="N1075" t="s">
        <v>57</v>
      </c>
      <c r="O1075">
        <v>600</v>
      </c>
      <c r="P1075" t="s">
        <v>3891</v>
      </c>
      <c r="Q1075" t="s">
        <v>3892</v>
      </c>
      <c r="R1075" t="s">
        <v>5112</v>
      </c>
      <c r="S1075" t="s">
        <v>5108</v>
      </c>
      <c r="T1075" t="s">
        <v>5113</v>
      </c>
      <c r="U1075">
        <v>-7.1999999999999998E-3</v>
      </c>
      <c r="V1075">
        <v>-0.20669999999999999</v>
      </c>
      <c r="W1075" t="s">
        <v>52</v>
      </c>
      <c r="X1075">
        <v>0.746</v>
      </c>
      <c r="Y1075">
        <v>0.90529999999999999</v>
      </c>
      <c r="Z1075">
        <v>0.89629999999999999</v>
      </c>
      <c r="AA1075">
        <v>0.90529999999999999</v>
      </c>
      <c r="AB1075">
        <v>9.4024000000000001</v>
      </c>
      <c r="AC1075">
        <v>9.4024000000000001</v>
      </c>
      <c r="AD1075">
        <v>8.8008000000000006</v>
      </c>
      <c r="AE1075">
        <v>8.8008000000000006</v>
      </c>
      <c r="AF1075" t="s">
        <v>183</v>
      </c>
      <c r="AG1075" t="s">
        <v>183</v>
      </c>
      <c r="AH1075" t="s">
        <v>3894</v>
      </c>
      <c r="AI1075" t="s">
        <v>3894</v>
      </c>
      <c r="AJ1075" t="s">
        <v>3895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3896</v>
      </c>
      <c r="AT1075" t="s">
        <v>3890</v>
      </c>
      <c r="AU1075" t="s">
        <v>3964</v>
      </c>
      <c r="AV1075" t="s">
        <v>3898</v>
      </c>
      <c r="AW1075">
        <v>2</v>
      </c>
      <c r="AX1075">
        <v>0</v>
      </c>
    </row>
    <row r="1076" spans="1:50" x14ac:dyDescent="0.25">
      <c r="A1076" t="s">
        <v>5114</v>
      </c>
      <c r="B1076" t="s">
        <v>4004</v>
      </c>
      <c r="C1076" t="s">
        <v>3890</v>
      </c>
      <c r="D1076">
        <v>28.105</v>
      </c>
      <c r="E1076">
        <v>28.077999999999999</v>
      </c>
      <c r="F1076" s="2">
        <v>2.8E-3</v>
      </c>
      <c r="G1076" t="s">
        <v>2935</v>
      </c>
      <c r="H1076" t="s">
        <v>2939</v>
      </c>
      <c r="I1076">
        <v>440519.97509999998</v>
      </c>
      <c r="J1076">
        <v>1827692.7645</v>
      </c>
      <c r="K1076">
        <v>440529.67509999999</v>
      </c>
      <c r="L1076">
        <v>1827692.7645</v>
      </c>
      <c r="M1076" t="s">
        <v>56</v>
      </c>
      <c r="N1076" t="s">
        <v>57</v>
      </c>
      <c r="O1076">
        <v>600</v>
      </c>
      <c r="P1076" t="s">
        <v>58</v>
      </c>
      <c r="Q1076" t="s">
        <v>3892</v>
      </c>
      <c r="R1076" t="s">
        <v>1112</v>
      </c>
      <c r="S1076" t="s">
        <v>2937</v>
      </c>
      <c r="T1076" t="s">
        <v>2941</v>
      </c>
      <c r="U1076">
        <v>-2.5100000000000001E-2</v>
      </c>
      <c r="V1076">
        <v>-2.2700000000000001E-2</v>
      </c>
      <c r="W1076" t="s">
        <v>52</v>
      </c>
      <c r="X1076">
        <v>0.86980000000000002</v>
      </c>
      <c r="Y1076">
        <v>0.96409999999999996</v>
      </c>
      <c r="Z1076">
        <v>0.86980000000000002</v>
      </c>
      <c r="AA1076">
        <v>0.89670000000000005</v>
      </c>
      <c r="AB1076">
        <v>9.6999999999999993</v>
      </c>
      <c r="AC1076">
        <v>9.6999999999999993</v>
      </c>
      <c r="AD1076">
        <v>8.5023999999999997</v>
      </c>
      <c r="AE1076">
        <v>8.5023999999999997</v>
      </c>
      <c r="AF1076" t="s">
        <v>183</v>
      </c>
      <c r="AG1076" t="s">
        <v>183</v>
      </c>
      <c r="AH1076" t="s">
        <v>3894</v>
      </c>
      <c r="AI1076" t="s">
        <v>3894</v>
      </c>
      <c r="AJ1076" t="s">
        <v>3895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3896</v>
      </c>
      <c r="AT1076" t="s">
        <v>3890</v>
      </c>
      <c r="AU1076" t="s">
        <v>4006</v>
      </c>
      <c r="AV1076" t="s">
        <v>3898</v>
      </c>
      <c r="AW1076">
        <v>2</v>
      </c>
      <c r="AX1076">
        <v>0</v>
      </c>
    </row>
    <row r="1077" spans="1:50" x14ac:dyDescent="0.25">
      <c r="A1077" t="s">
        <v>5115</v>
      </c>
      <c r="B1077" t="s">
        <v>3963</v>
      </c>
      <c r="C1077" t="s">
        <v>3890</v>
      </c>
      <c r="D1077">
        <v>28.77</v>
      </c>
      <c r="E1077">
        <v>28.760999999999999</v>
      </c>
      <c r="F1077" s="2">
        <v>8.9999999999999998E-4</v>
      </c>
      <c r="G1077" t="s">
        <v>2710</v>
      </c>
      <c r="H1077" t="s">
        <v>2714</v>
      </c>
      <c r="I1077">
        <v>440454.45010000002</v>
      </c>
      <c r="J1077">
        <v>1827778.6757</v>
      </c>
      <c r="K1077">
        <v>440454.45010000002</v>
      </c>
      <c r="L1077">
        <v>1827769.1257</v>
      </c>
      <c r="M1077" t="s">
        <v>56</v>
      </c>
      <c r="N1077" t="s">
        <v>57</v>
      </c>
      <c r="O1077">
        <v>600</v>
      </c>
      <c r="P1077" t="s">
        <v>3891</v>
      </c>
      <c r="Q1077" t="s">
        <v>3892</v>
      </c>
      <c r="R1077" t="s">
        <v>232</v>
      </c>
      <c r="S1077" t="s">
        <v>4609</v>
      </c>
      <c r="T1077" t="s">
        <v>5116</v>
      </c>
      <c r="U1077">
        <v>0.10340000000000001</v>
      </c>
      <c r="V1077">
        <v>0.10340000000000001</v>
      </c>
      <c r="W1077" t="s">
        <v>52</v>
      </c>
      <c r="X1077">
        <v>0.85619999999999996</v>
      </c>
      <c r="Y1077">
        <v>1.0508999999999999</v>
      </c>
      <c r="Z1077">
        <v>0.86650000000000005</v>
      </c>
      <c r="AA1077">
        <v>1.0508999999999999</v>
      </c>
      <c r="AB1077">
        <v>9.4002999999999997</v>
      </c>
      <c r="AC1077">
        <v>9.4002999999999997</v>
      </c>
      <c r="AD1077">
        <v>8.8008000000000006</v>
      </c>
      <c r="AE1077">
        <v>8.8008000000000006</v>
      </c>
      <c r="AF1077" t="s">
        <v>2233</v>
      </c>
      <c r="AG1077" t="s">
        <v>2233</v>
      </c>
      <c r="AH1077" t="s">
        <v>3894</v>
      </c>
      <c r="AI1077" t="s">
        <v>3894</v>
      </c>
      <c r="AJ1077" t="s">
        <v>3895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3896</v>
      </c>
      <c r="AT1077" t="s">
        <v>3890</v>
      </c>
      <c r="AU1077" t="s">
        <v>3964</v>
      </c>
      <c r="AV1077" t="s">
        <v>3898</v>
      </c>
      <c r="AW1077">
        <v>2</v>
      </c>
      <c r="AX1077">
        <v>0</v>
      </c>
    </row>
    <row r="1078" spans="1:50" x14ac:dyDescent="0.25">
      <c r="A1078" t="s">
        <v>5117</v>
      </c>
      <c r="B1078" t="s">
        <v>3963</v>
      </c>
      <c r="C1078" t="s">
        <v>3890</v>
      </c>
      <c r="D1078">
        <v>28.635000000000002</v>
      </c>
      <c r="E1078">
        <v>28.626000000000001</v>
      </c>
      <c r="F1078" s="2">
        <v>8.9999999999999998E-4</v>
      </c>
      <c r="G1078" t="s">
        <v>2621</v>
      </c>
      <c r="H1078" t="s">
        <v>2624</v>
      </c>
      <c r="I1078">
        <v>440519.97509999998</v>
      </c>
      <c r="J1078">
        <v>1827884.9859</v>
      </c>
      <c r="K1078">
        <v>440529.67509999999</v>
      </c>
      <c r="L1078">
        <v>1827884.9859</v>
      </c>
      <c r="M1078" t="s">
        <v>56</v>
      </c>
      <c r="N1078" t="s">
        <v>57</v>
      </c>
      <c r="O1078">
        <v>600</v>
      </c>
      <c r="P1078" t="s">
        <v>3891</v>
      </c>
      <c r="Q1078" t="s">
        <v>3892</v>
      </c>
      <c r="R1078" t="s">
        <v>844</v>
      </c>
      <c r="S1078" t="s">
        <v>2333</v>
      </c>
      <c r="T1078" t="s">
        <v>2455</v>
      </c>
      <c r="U1078">
        <v>0</v>
      </c>
      <c r="V1078">
        <v>0</v>
      </c>
      <c r="W1078" t="s">
        <v>52</v>
      </c>
      <c r="X1078">
        <v>1.6137999999999999</v>
      </c>
      <c r="Y1078">
        <v>1.8001</v>
      </c>
      <c r="Z1078">
        <v>1.7438</v>
      </c>
      <c r="AA1078">
        <v>1.6145</v>
      </c>
      <c r="AB1078">
        <v>9.6999999999999993</v>
      </c>
      <c r="AC1078">
        <v>9.6999999999999993</v>
      </c>
      <c r="AD1078">
        <v>8.5007999999999999</v>
      </c>
      <c r="AE1078">
        <v>8.5007999999999999</v>
      </c>
      <c r="AF1078" t="s">
        <v>5118</v>
      </c>
      <c r="AG1078" t="s">
        <v>5118</v>
      </c>
      <c r="AH1078" t="s">
        <v>3894</v>
      </c>
      <c r="AI1078" t="s">
        <v>3894</v>
      </c>
      <c r="AJ1078" t="s">
        <v>3895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3896</v>
      </c>
      <c r="AT1078" t="s">
        <v>3890</v>
      </c>
      <c r="AU1078" t="s">
        <v>3964</v>
      </c>
      <c r="AV1078" t="s">
        <v>3898</v>
      </c>
      <c r="AW1078">
        <v>2</v>
      </c>
      <c r="AX1078">
        <v>0</v>
      </c>
    </row>
    <row r="1079" spans="1:50" x14ac:dyDescent="0.25">
      <c r="A1079" t="s">
        <v>5119</v>
      </c>
      <c r="B1079" t="s">
        <v>3889</v>
      </c>
      <c r="C1079" t="s">
        <v>3890</v>
      </c>
      <c r="D1079">
        <v>29.216000000000001</v>
      </c>
      <c r="E1079">
        <v>29.202999999999999</v>
      </c>
      <c r="F1079" s="2">
        <v>6.9999999999999999E-4</v>
      </c>
      <c r="G1079" t="s">
        <v>2607</v>
      </c>
      <c r="H1079" t="s">
        <v>2611</v>
      </c>
      <c r="I1079">
        <v>440451.37060000002</v>
      </c>
      <c r="J1079">
        <v>1827884.9109</v>
      </c>
      <c r="K1079">
        <v>440470.67950000003</v>
      </c>
      <c r="L1079">
        <v>1827884.9109</v>
      </c>
      <c r="M1079" t="s">
        <v>56</v>
      </c>
      <c r="N1079" t="s">
        <v>57</v>
      </c>
      <c r="O1079">
        <v>450</v>
      </c>
      <c r="P1079" t="s">
        <v>3891</v>
      </c>
      <c r="Q1079" t="s">
        <v>3892</v>
      </c>
      <c r="R1079" t="s">
        <v>844</v>
      </c>
      <c r="S1079" t="s">
        <v>2609</v>
      </c>
      <c r="T1079" s="1" t="s">
        <v>2613</v>
      </c>
      <c r="U1079">
        <v>-7.4999999999999997E-2</v>
      </c>
      <c r="V1079">
        <v>-7.4999999999999997E-2</v>
      </c>
      <c r="W1079" t="s">
        <v>52</v>
      </c>
      <c r="X1079">
        <v>1.077</v>
      </c>
      <c r="Y1079">
        <v>1.3501000000000001</v>
      </c>
      <c r="Z1079">
        <v>1.2454000000000001</v>
      </c>
      <c r="AA1079">
        <v>1.3501000000000001</v>
      </c>
      <c r="AB1079">
        <v>19.309000000000001</v>
      </c>
      <c r="AC1079">
        <v>19.309000000000001</v>
      </c>
      <c r="AD1079">
        <v>18.109400000000001</v>
      </c>
      <c r="AE1079">
        <v>18.109500000000001</v>
      </c>
      <c r="AF1079" t="s">
        <v>3899</v>
      </c>
      <c r="AG1079" t="s">
        <v>3899</v>
      </c>
      <c r="AH1079" t="s">
        <v>3894</v>
      </c>
      <c r="AI1079" t="s">
        <v>3894</v>
      </c>
      <c r="AJ1079" t="s">
        <v>3895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3896</v>
      </c>
      <c r="AT1079" t="s">
        <v>3890</v>
      </c>
      <c r="AU1079" t="s">
        <v>3897</v>
      </c>
      <c r="AV1079" t="s">
        <v>3898</v>
      </c>
      <c r="AW1079">
        <v>2</v>
      </c>
      <c r="AX1079">
        <v>0</v>
      </c>
    </row>
    <row r="1080" spans="1:50" x14ac:dyDescent="0.25">
      <c r="A1080" t="s">
        <v>5120</v>
      </c>
      <c r="B1080" t="s">
        <v>4010</v>
      </c>
      <c r="C1080" t="s">
        <v>3890</v>
      </c>
      <c r="D1080">
        <v>29.420999999999999</v>
      </c>
      <c r="E1080">
        <v>29.411999999999999</v>
      </c>
      <c r="F1080" s="2">
        <v>1E-3</v>
      </c>
      <c r="G1080" t="s">
        <v>2348</v>
      </c>
      <c r="H1080" t="s">
        <v>2415</v>
      </c>
      <c r="I1080">
        <v>440520.22509999998</v>
      </c>
      <c r="J1080">
        <v>1827934.9609000001</v>
      </c>
      <c r="K1080">
        <v>440520.22509999998</v>
      </c>
      <c r="L1080">
        <v>1827925.5109000001</v>
      </c>
      <c r="M1080" t="s">
        <v>56</v>
      </c>
      <c r="N1080" t="s">
        <v>57</v>
      </c>
      <c r="O1080">
        <v>900</v>
      </c>
      <c r="P1080" t="s">
        <v>109</v>
      </c>
      <c r="Q1080" t="s">
        <v>3919</v>
      </c>
      <c r="R1080" t="s">
        <v>265</v>
      </c>
      <c r="S1080" t="s">
        <v>4092</v>
      </c>
      <c r="T1080" t="s">
        <v>4050</v>
      </c>
      <c r="U1080">
        <v>-0.25</v>
      </c>
      <c r="V1080">
        <v>-0.25</v>
      </c>
      <c r="W1080" t="s">
        <v>52</v>
      </c>
      <c r="X1080">
        <v>0.81810000000000005</v>
      </c>
      <c r="Y1080">
        <v>0.9718</v>
      </c>
      <c r="Z1080">
        <v>0.84730000000000005</v>
      </c>
      <c r="AA1080">
        <v>0.9718</v>
      </c>
      <c r="AB1080">
        <v>9.3004999999999995</v>
      </c>
      <c r="AC1080">
        <v>9.3004999999999995</v>
      </c>
      <c r="AD1080">
        <v>8.4010999999999996</v>
      </c>
      <c r="AE1080">
        <v>8.4010999999999996</v>
      </c>
      <c r="AF1080" t="s">
        <v>2233</v>
      </c>
      <c r="AG1080" t="s">
        <v>2233</v>
      </c>
      <c r="AH1080" t="s">
        <v>3894</v>
      </c>
      <c r="AI1080" t="s">
        <v>3894</v>
      </c>
      <c r="AJ1080" t="s">
        <v>3895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3896</v>
      </c>
      <c r="AT1080" t="s">
        <v>3890</v>
      </c>
      <c r="AU1080" t="s">
        <v>4012</v>
      </c>
      <c r="AV1080" t="s">
        <v>3898</v>
      </c>
      <c r="AW1080">
        <v>2</v>
      </c>
      <c r="AX1080">
        <v>0</v>
      </c>
    </row>
    <row r="1081" spans="1:50" x14ac:dyDescent="0.25">
      <c r="A1081" t="s">
        <v>5121</v>
      </c>
      <c r="B1081" t="s">
        <v>4004</v>
      </c>
      <c r="C1081" t="s">
        <v>3890</v>
      </c>
      <c r="D1081">
        <v>29.731000000000002</v>
      </c>
      <c r="E1081">
        <v>29.722000000000001</v>
      </c>
      <c r="F1081" s="2">
        <v>8.9999999999999998E-4</v>
      </c>
      <c r="G1081" t="s">
        <v>2292</v>
      </c>
      <c r="H1081" t="s">
        <v>2314</v>
      </c>
      <c r="I1081">
        <v>440454.3751</v>
      </c>
      <c r="J1081">
        <v>1827935.1359000001</v>
      </c>
      <c r="K1081">
        <v>440464.07510000002</v>
      </c>
      <c r="L1081">
        <v>1827935.1359000001</v>
      </c>
      <c r="M1081" t="s">
        <v>56</v>
      </c>
      <c r="N1081" t="s">
        <v>57</v>
      </c>
      <c r="O1081">
        <v>600</v>
      </c>
      <c r="P1081" t="s">
        <v>58</v>
      </c>
      <c r="Q1081" t="s">
        <v>3892</v>
      </c>
      <c r="R1081" t="s">
        <v>241</v>
      </c>
      <c r="S1081" t="s">
        <v>2712</v>
      </c>
      <c r="T1081" t="s">
        <v>2316</v>
      </c>
      <c r="U1081">
        <v>0.17499999999999999</v>
      </c>
      <c r="V1081">
        <v>0.17499999999999999</v>
      </c>
      <c r="W1081" t="s">
        <v>52</v>
      </c>
      <c r="X1081">
        <v>0.85109999999999997</v>
      </c>
      <c r="Y1081">
        <v>0.95920000000000005</v>
      </c>
      <c r="Z1081">
        <v>0.85109999999999997</v>
      </c>
      <c r="AA1081">
        <v>0.87539999999999996</v>
      </c>
      <c r="AB1081">
        <v>9.5038999999999998</v>
      </c>
      <c r="AC1081">
        <v>9.5038999999999998</v>
      </c>
      <c r="AD1081">
        <v>8.3047000000000004</v>
      </c>
      <c r="AE1081">
        <v>8.3047000000000004</v>
      </c>
      <c r="AF1081" t="s">
        <v>183</v>
      </c>
      <c r="AG1081" t="s">
        <v>183</v>
      </c>
      <c r="AH1081" t="s">
        <v>3894</v>
      </c>
      <c r="AI1081" t="s">
        <v>3894</v>
      </c>
      <c r="AJ1081" t="s">
        <v>3895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3896</v>
      </c>
      <c r="AT1081" t="s">
        <v>3890</v>
      </c>
      <c r="AU1081" t="s">
        <v>4006</v>
      </c>
      <c r="AV1081" t="s">
        <v>3898</v>
      </c>
      <c r="AW1081">
        <v>2</v>
      </c>
      <c r="AX1081">
        <v>0</v>
      </c>
    </row>
    <row r="1082" spans="1:50" x14ac:dyDescent="0.25">
      <c r="A1082" t="s">
        <v>5122</v>
      </c>
      <c r="B1082" t="s">
        <v>3933</v>
      </c>
      <c r="C1082" t="s">
        <v>3890</v>
      </c>
      <c r="D1082">
        <v>31.907</v>
      </c>
      <c r="E1082">
        <v>31.898</v>
      </c>
      <c r="F1082" s="2">
        <v>8.9999999999999998E-4</v>
      </c>
      <c r="G1082" t="s">
        <v>511</v>
      </c>
      <c r="H1082" t="s">
        <v>314</v>
      </c>
      <c r="I1082">
        <v>439929.32520000002</v>
      </c>
      <c r="J1082">
        <v>1827517.7452</v>
      </c>
      <c r="K1082">
        <v>439938.8002</v>
      </c>
      <c r="L1082">
        <v>1827517.8998</v>
      </c>
      <c r="M1082" t="s">
        <v>56</v>
      </c>
      <c r="N1082" t="s">
        <v>57</v>
      </c>
      <c r="O1082">
        <v>750</v>
      </c>
      <c r="P1082" t="s">
        <v>58</v>
      </c>
      <c r="Q1082" t="s">
        <v>3919</v>
      </c>
      <c r="R1082" t="s">
        <v>5123</v>
      </c>
      <c r="S1082" t="s">
        <v>5124</v>
      </c>
      <c r="T1082" t="s">
        <v>5109</v>
      </c>
      <c r="U1082">
        <v>-0.1545</v>
      </c>
      <c r="V1082">
        <v>0</v>
      </c>
      <c r="W1082" t="s">
        <v>52</v>
      </c>
      <c r="X1082">
        <v>0.72189999999999999</v>
      </c>
      <c r="Y1082">
        <v>0.87870000000000004</v>
      </c>
      <c r="Z1082">
        <v>0.86960000000000004</v>
      </c>
      <c r="AA1082">
        <v>0.87870000000000004</v>
      </c>
      <c r="AB1082">
        <v>9.4013000000000009</v>
      </c>
      <c r="AC1082">
        <v>9.4013000000000009</v>
      </c>
      <c r="AD1082">
        <v>8.8020999999999994</v>
      </c>
      <c r="AE1082">
        <v>8.8020999999999994</v>
      </c>
      <c r="AF1082" t="s">
        <v>5125</v>
      </c>
      <c r="AG1082" t="s">
        <v>5125</v>
      </c>
      <c r="AH1082" t="s">
        <v>3894</v>
      </c>
      <c r="AI1082" t="s">
        <v>3894</v>
      </c>
      <c r="AJ1082" t="s">
        <v>3895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3896</v>
      </c>
      <c r="AT1082" t="s">
        <v>3890</v>
      </c>
      <c r="AU1082" t="s">
        <v>3935</v>
      </c>
      <c r="AV1082" t="s">
        <v>3898</v>
      </c>
      <c r="AW1082">
        <v>2</v>
      </c>
      <c r="AX1082">
        <v>0</v>
      </c>
    </row>
    <row r="1083" spans="1:50" x14ac:dyDescent="0.25">
      <c r="A1083" t="s">
        <v>5126</v>
      </c>
      <c r="B1083" t="s">
        <v>3963</v>
      </c>
      <c r="C1083" t="s">
        <v>3890</v>
      </c>
      <c r="D1083">
        <v>32.762</v>
      </c>
      <c r="E1083">
        <v>32.753</v>
      </c>
      <c r="F1083" s="2">
        <v>8.9999999999999998E-4</v>
      </c>
      <c r="G1083" t="s">
        <v>475</v>
      </c>
      <c r="H1083" t="s">
        <v>481</v>
      </c>
      <c r="I1083">
        <v>439929.25020000001</v>
      </c>
      <c r="J1083">
        <v>1827415.4986</v>
      </c>
      <c r="K1083">
        <v>439929.25020000001</v>
      </c>
      <c r="L1083">
        <v>1827425.1986</v>
      </c>
      <c r="M1083" t="s">
        <v>56</v>
      </c>
      <c r="N1083" t="s">
        <v>57</v>
      </c>
      <c r="O1083">
        <v>600</v>
      </c>
      <c r="P1083" t="s">
        <v>3891</v>
      </c>
      <c r="Q1083" t="s">
        <v>3892</v>
      </c>
      <c r="R1083" t="s">
        <v>320</v>
      </c>
      <c r="S1083" t="s">
        <v>4056</v>
      </c>
      <c r="T1083" t="s">
        <v>4057</v>
      </c>
      <c r="U1083">
        <v>-0.1298</v>
      </c>
      <c r="V1083">
        <v>-0.1298</v>
      </c>
      <c r="W1083" t="s">
        <v>52</v>
      </c>
      <c r="X1083">
        <v>0.84630000000000005</v>
      </c>
      <c r="Y1083">
        <v>0.96250000000000002</v>
      </c>
      <c r="Z1083">
        <v>0.84630000000000005</v>
      </c>
      <c r="AA1083">
        <v>0.87490000000000001</v>
      </c>
      <c r="AB1083">
        <v>9.1690000000000005</v>
      </c>
      <c r="AC1083">
        <v>9.1690000000000005</v>
      </c>
      <c r="AD1083">
        <v>7.9698000000000002</v>
      </c>
      <c r="AE1083">
        <v>7.9698000000000002</v>
      </c>
      <c r="AF1083" t="s">
        <v>67</v>
      </c>
      <c r="AG1083" t="s">
        <v>67</v>
      </c>
      <c r="AH1083" t="s">
        <v>3894</v>
      </c>
      <c r="AI1083" t="s">
        <v>3894</v>
      </c>
      <c r="AJ1083" t="s">
        <v>3895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3896</v>
      </c>
      <c r="AT1083" t="s">
        <v>3890</v>
      </c>
      <c r="AU1083" t="s">
        <v>3964</v>
      </c>
      <c r="AV1083" t="s">
        <v>3898</v>
      </c>
      <c r="AW1083">
        <v>2</v>
      </c>
      <c r="AX1083">
        <v>0</v>
      </c>
    </row>
    <row r="1084" spans="1:50" x14ac:dyDescent="0.25">
      <c r="A1084" t="s">
        <v>5127</v>
      </c>
      <c r="B1084" t="s">
        <v>3924</v>
      </c>
      <c r="C1084" t="s">
        <v>3890</v>
      </c>
      <c r="D1084">
        <v>30.954000000000001</v>
      </c>
      <c r="E1084">
        <v>30.945</v>
      </c>
      <c r="F1084" s="2">
        <v>8.9999999999999998E-4</v>
      </c>
      <c r="G1084" t="s">
        <v>726</v>
      </c>
      <c r="H1084" t="s">
        <v>305</v>
      </c>
      <c r="I1084">
        <v>440117.55</v>
      </c>
      <c r="J1084">
        <v>1827518.3062</v>
      </c>
      <c r="K1084">
        <v>440127.17499999999</v>
      </c>
      <c r="L1084">
        <v>1827518.3991</v>
      </c>
      <c r="M1084" t="s">
        <v>56</v>
      </c>
      <c r="N1084" t="s">
        <v>57</v>
      </c>
      <c r="O1084">
        <v>750</v>
      </c>
      <c r="P1084" t="s">
        <v>3891</v>
      </c>
      <c r="Q1084" t="s">
        <v>3892</v>
      </c>
      <c r="R1084" t="s">
        <v>5128</v>
      </c>
      <c r="S1084" t="s">
        <v>5129</v>
      </c>
      <c r="T1084" t="s">
        <v>5113</v>
      </c>
      <c r="U1084">
        <v>-3.8E-3</v>
      </c>
      <c r="V1084">
        <v>3.0999999999999999E-3</v>
      </c>
      <c r="W1084" t="s">
        <v>52</v>
      </c>
      <c r="X1084">
        <v>0.73780000000000001</v>
      </c>
      <c r="Y1084">
        <v>0.89670000000000005</v>
      </c>
      <c r="Z1084">
        <v>0.88670000000000004</v>
      </c>
      <c r="AA1084">
        <v>0.89670000000000005</v>
      </c>
      <c r="AB1084">
        <v>9.3254999999999999</v>
      </c>
      <c r="AC1084">
        <v>9.3254999999999999</v>
      </c>
      <c r="AD1084">
        <v>8.7263000000000002</v>
      </c>
      <c r="AE1084">
        <v>8.7263000000000002</v>
      </c>
      <c r="AF1084" t="s">
        <v>5130</v>
      </c>
      <c r="AG1084" t="s">
        <v>5130</v>
      </c>
      <c r="AH1084" t="s">
        <v>3894</v>
      </c>
      <c r="AI1084" t="s">
        <v>3894</v>
      </c>
      <c r="AJ1084" t="s">
        <v>3895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3896</v>
      </c>
      <c r="AT1084" t="s">
        <v>3890</v>
      </c>
      <c r="AU1084" t="s">
        <v>3926</v>
      </c>
      <c r="AV1084" t="s">
        <v>3898</v>
      </c>
      <c r="AW1084">
        <v>2</v>
      </c>
      <c r="AX1084">
        <v>0</v>
      </c>
    </row>
    <row r="1085" spans="1:50" x14ac:dyDescent="0.25">
      <c r="A1085" t="s">
        <v>5131</v>
      </c>
      <c r="B1085" t="s">
        <v>3889</v>
      </c>
      <c r="C1085" t="s">
        <v>3890</v>
      </c>
      <c r="D1085">
        <v>30.367000000000001</v>
      </c>
      <c r="E1085">
        <v>30.358000000000001</v>
      </c>
      <c r="F1085" s="2">
        <v>8.9999999999999998E-4</v>
      </c>
      <c r="G1085" t="s">
        <v>764</v>
      </c>
      <c r="H1085" t="s">
        <v>301</v>
      </c>
      <c r="I1085">
        <v>440183.07490000001</v>
      </c>
      <c r="J1085">
        <v>1827518.4138</v>
      </c>
      <c r="K1085">
        <v>440192.77490000002</v>
      </c>
      <c r="L1085">
        <v>1827518.4265000001</v>
      </c>
      <c r="M1085" t="s">
        <v>56</v>
      </c>
      <c r="N1085" t="s">
        <v>57</v>
      </c>
      <c r="O1085">
        <v>450</v>
      </c>
      <c r="P1085" t="s">
        <v>3891</v>
      </c>
      <c r="Q1085" t="s">
        <v>3892</v>
      </c>
      <c r="R1085" t="s">
        <v>5132</v>
      </c>
      <c r="S1085" t="s">
        <v>5108</v>
      </c>
      <c r="T1085" t="s">
        <v>5113</v>
      </c>
      <c r="U1085">
        <v>-1.2699999999999999E-2</v>
      </c>
      <c r="V1085">
        <v>0</v>
      </c>
      <c r="W1085" t="s">
        <v>52</v>
      </c>
      <c r="X1085">
        <v>0.7389</v>
      </c>
      <c r="Y1085">
        <v>0.89810000000000001</v>
      </c>
      <c r="Z1085">
        <v>0.88919999999999999</v>
      </c>
      <c r="AA1085">
        <v>0.89810000000000001</v>
      </c>
      <c r="AB1085">
        <v>9.5500000000000007</v>
      </c>
      <c r="AC1085">
        <v>9.5500000000000007</v>
      </c>
      <c r="AD1085">
        <v>8.6507000000000005</v>
      </c>
      <c r="AE1085">
        <v>8.6507000000000005</v>
      </c>
      <c r="AF1085" t="s">
        <v>5133</v>
      </c>
      <c r="AG1085" t="s">
        <v>5133</v>
      </c>
      <c r="AH1085" t="s">
        <v>3894</v>
      </c>
      <c r="AI1085" t="s">
        <v>3894</v>
      </c>
      <c r="AJ1085" t="s">
        <v>3895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3896</v>
      </c>
      <c r="AT1085" t="s">
        <v>3890</v>
      </c>
      <c r="AU1085" t="s">
        <v>3897</v>
      </c>
      <c r="AV1085" t="s">
        <v>3898</v>
      </c>
      <c r="AW1085">
        <v>2</v>
      </c>
      <c r="AX1085">
        <v>0</v>
      </c>
    </row>
    <row r="1086" spans="1:50" x14ac:dyDescent="0.25">
      <c r="A1086" t="s">
        <v>5134</v>
      </c>
      <c r="B1086" t="s">
        <v>3924</v>
      </c>
      <c r="C1086" t="s">
        <v>3890</v>
      </c>
      <c r="D1086">
        <v>30.273</v>
      </c>
      <c r="E1086">
        <v>30.263999999999999</v>
      </c>
      <c r="F1086" s="2">
        <v>1E-3</v>
      </c>
      <c r="G1086" t="s">
        <v>892</v>
      </c>
      <c r="H1086" t="s">
        <v>365</v>
      </c>
      <c r="I1086">
        <v>440248.9179</v>
      </c>
      <c r="J1086">
        <v>1827518.7348</v>
      </c>
      <c r="K1086">
        <v>440258.19990000001</v>
      </c>
      <c r="L1086">
        <v>1827518.6498</v>
      </c>
      <c r="M1086" t="s">
        <v>56</v>
      </c>
      <c r="N1086" t="s">
        <v>57</v>
      </c>
      <c r="O1086">
        <v>750</v>
      </c>
      <c r="P1086" t="s">
        <v>3891</v>
      </c>
      <c r="Q1086" t="s">
        <v>3892</v>
      </c>
      <c r="R1086" t="s">
        <v>5135</v>
      </c>
      <c r="S1086" t="s">
        <v>5136</v>
      </c>
      <c r="T1086" t="s">
        <v>5137</v>
      </c>
      <c r="U1086">
        <v>8.5000000000000006E-2</v>
      </c>
      <c r="V1086">
        <v>0</v>
      </c>
      <c r="W1086" t="s">
        <v>52</v>
      </c>
      <c r="X1086">
        <v>0.73460000000000003</v>
      </c>
      <c r="Y1086">
        <v>0.89080000000000004</v>
      </c>
      <c r="Z1086">
        <v>0.88009999999999999</v>
      </c>
      <c r="AA1086">
        <v>0.89080000000000004</v>
      </c>
      <c r="AB1086">
        <v>9.4003999999999994</v>
      </c>
      <c r="AC1086">
        <v>9.4003999999999994</v>
      </c>
      <c r="AD1086">
        <v>8.8012999999999995</v>
      </c>
      <c r="AE1086">
        <v>8.8012999999999995</v>
      </c>
      <c r="AF1086" t="s">
        <v>5138</v>
      </c>
      <c r="AG1086" t="s">
        <v>5138</v>
      </c>
      <c r="AH1086" t="s">
        <v>3894</v>
      </c>
      <c r="AI1086" t="s">
        <v>3894</v>
      </c>
      <c r="AJ1086" t="s">
        <v>3895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3896</v>
      </c>
      <c r="AT1086" t="s">
        <v>3890</v>
      </c>
      <c r="AU1086" t="s">
        <v>3926</v>
      </c>
      <c r="AV1086" t="s">
        <v>3898</v>
      </c>
      <c r="AW1086">
        <v>2</v>
      </c>
      <c r="AX1086">
        <v>0</v>
      </c>
    </row>
    <row r="1087" spans="1:50" x14ac:dyDescent="0.25">
      <c r="A1087" t="s">
        <v>5139</v>
      </c>
      <c r="B1087" t="s">
        <v>3963</v>
      </c>
      <c r="C1087" t="s">
        <v>3890</v>
      </c>
      <c r="D1087">
        <v>29.728999999999999</v>
      </c>
      <c r="E1087">
        <v>29.72</v>
      </c>
      <c r="F1087" s="2">
        <v>8.9999999999999998E-4</v>
      </c>
      <c r="G1087" t="s">
        <v>949</v>
      </c>
      <c r="H1087" t="s">
        <v>370</v>
      </c>
      <c r="I1087">
        <v>440314.27490000002</v>
      </c>
      <c r="J1087">
        <v>1827518.6073</v>
      </c>
      <c r="K1087">
        <v>440323.97489999997</v>
      </c>
      <c r="L1087">
        <v>1827518.6073</v>
      </c>
      <c r="M1087" t="s">
        <v>56</v>
      </c>
      <c r="N1087" t="s">
        <v>57</v>
      </c>
      <c r="O1087">
        <v>600</v>
      </c>
      <c r="P1087" t="s">
        <v>3891</v>
      </c>
      <c r="Q1087" t="s">
        <v>3892</v>
      </c>
      <c r="R1087" t="s">
        <v>5140</v>
      </c>
      <c r="S1087" t="s">
        <v>5108</v>
      </c>
      <c r="T1087" t="s">
        <v>5113</v>
      </c>
      <c r="U1087">
        <v>0.1686</v>
      </c>
      <c r="V1087">
        <v>0.1686</v>
      </c>
      <c r="W1087" t="s">
        <v>52</v>
      </c>
      <c r="X1087">
        <v>0.73599999999999999</v>
      </c>
      <c r="Y1087">
        <v>0.89529999999999998</v>
      </c>
      <c r="Z1087">
        <v>0.88629999999999998</v>
      </c>
      <c r="AA1087">
        <v>0.89529999999999998</v>
      </c>
      <c r="AB1087">
        <v>9.4015000000000004</v>
      </c>
      <c r="AC1087">
        <v>9.4015000000000004</v>
      </c>
      <c r="AD1087">
        <v>8.8008000000000006</v>
      </c>
      <c r="AE1087">
        <v>8.8008000000000006</v>
      </c>
      <c r="AF1087" t="s">
        <v>183</v>
      </c>
      <c r="AG1087" t="s">
        <v>183</v>
      </c>
      <c r="AH1087" t="s">
        <v>3894</v>
      </c>
      <c r="AI1087" t="s">
        <v>3894</v>
      </c>
      <c r="AJ1087" t="s">
        <v>3895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3896</v>
      </c>
      <c r="AT1087" t="s">
        <v>3890</v>
      </c>
      <c r="AU1087" t="s">
        <v>3964</v>
      </c>
      <c r="AV1087" t="s">
        <v>3898</v>
      </c>
      <c r="AW1087">
        <v>2</v>
      </c>
      <c r="AX1087">
        <v>0</v>
      </c>
    </row>
    <row r="1088" spans="1:50" x14ac:dyDescent="0.25">
      <c r="A1088" t="s">
        <v>905</v>
      </c>
      <c r="B1088" t="s">
        <v>3889</v>
      </c>
      <c r="C1088" t="s">
        <v>3890</v>
      </c>
      <c r="D1088">
        <v>30.027000000000001</v>
      </c>
      <c r="E1088">
        <v>30.013000000000002</v>
      </c>
      <c r="F1088" s="2">
        <v>1E-3</v>
      </c>
      <c r="G1088" t="s">
        <v>904</v>
      </c>
      <c r="H1088" t="s">
        <v>907</v>
      </c>
      <c r="I1088">
        <v>440323.97489999997</v>
      </c>
      <c r="J1088">
        <v>1827424.8485999999</v>
      </c>
      <c r="K1088">
        <v>440323.97489999997</v>
      </c>
      <c r="L1088">
        <v>1827439.4838</v>
      </c>
      <c r="M1088" t="s">
        <v>56</v>
      </c>
      <c r="N1088" t="s">
        <v>57</v>
      </c>
      <c r="O1088">
        <v>450</v>
      </c>
      <c r="P1088" t="s">
        <v>3891</v>
      </c>
      <c r="Q1088" t="s">
        <v>3892</v>
      </c>
      <c r="R1088" t="s">
        <v>372</v>
      </c>
      <c r="S1088" t="s">
        <v>436</v>
      </c>
      <c r="T1088" t="s">
        <v>440</v>
      </c>
      <c r="U1088">
        <v>-0.15</v>
      </c>
      <c r="V1088">
        <v>-0.15</v>
      </c>
      <c r="W1088" t="s">
        <v>52</v>
      </c>
      <c r="X1088">
        <v>0.8448</v>
      </c>
      <c r="Y1088">
        <v>1.0141</v>
      </c>
      <c r="Z1088">
        <v>0.871</v>
      </c>
      <c r="AA1088">
        <v>0.9829</v>
      </c>
      <c r="AB1088">
        <v>14.635199999999999</v>
      </c>
      <c r="AC1088">
        <v>14.635199999999999</v>
      </c>
      <c r="AD1088">
        <v>13.4359</v>
      </c>
      <c r="AE1088">
        <v>13.4359</v>
      </c>
      <c r="AF1088" t="s">
        <v>67</v>
      </c>
      <c r="AG1088" t="s">
        <v>67</v>
      </c>
      <c r="AH1088" t="s">
        <v>3894</v>
      </c>
      <c r="AI1088" t="s">
        <v>3894</v>
      </c>
      <c r="AJ1088" t="s">
        <v>3895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3896</v>
      </c>
      <c r="AT1088" t="s">
        <v>3890</v>
      </c>
      <c r="AU1088" t="s">
        <v>3897</v>
      </c>
      <c r="AV1088" t="s">
        <v>3898</v>
      </c>
      <c r="AW1088">
        <v>2</v>
      </c>
      <c r="AX1088">
        <v>0</v>
      </c>
    </row>
    <row r="1089" spans="1:50" x14ac:dyDescent="0.25">
      <c r="A1089" t="s">
        <v>5141</v>
      </c>
      <c r="B1089" t="s">
        <v>3889</v>
      </c>
      <c r="C1089" t="s">
        <v>3890</v>
      </c>
      <c r="D1089">
        <v>28.273</v>
      </c>
      <c r="E1089">
        <v>28.259</v>
      </c>
      <c r="F1089" s="2">
        <v>1.1000000000000001E-3</v>
      </c>
      <c r="G1089" t="s">
        <v>3660</v>
      </c>
      <c r="H1089" t="s">
        <v>3663</v>
      </c>
      <c r="I1089">
        <v>440585.57510000002</v>
      </c>
      <c r="J1089">
        <v>1827425.1986</v>
      </c>
      <c r="K1089">
        <v>440585.57510000002</v>
      </c>
      <c r="L1089">
        <v>1827438.2394999999</v>
      </c>
      <c r="M1089" t="s">
        <v>56</v>
      </c>
      <c r="N1089" t="s">
        <v>57</v>
      </c>
      <c r="O1089">
        <v>450</v>
      </c>
      <c r="P1089" t="s">
        <v>3891</v>
      </c>
      <c r="Q1089" t="s">
        <v>3892</v>
      </c>
      <c r="R1089" t="s">
        <v>357</v>
      </c>
      <c r="S1089" t="s">
        <v>4063</v>
      </c>
      <c r="T1089" t="s">
        <v>1444</v>
      </c>
      <c r="U1089">
        <v>6.6699999999999995E-2</v>
      </c>
      <c r="V1089">
        <v>5.9499999999999997E-2</v>
      </c>
      <c r="W1089" t="s">
        <v>52</v>
      </c>
      <c r="X1089">
        <v>0.84140000000000004</v>
      </c>
      <c r="Y1089">
        <v>1.0032000000000001</v>
      </c>
      <c r="Z1089">
        <v>0.86470000000000002</v>
      </c>
      <c r="AA1089">
        <v>0.94410000000000005</v>
      </c>
      <c r="AB1089">
        <v>13.040900000000001</v>
      </c>
      <c r="AC1089">
        <v>13.040900000000001</v>
      </c>
      <c r="AD1089">
        <v>11.841699999999999</v>
      </c>
      <c r="AE1089">
        <v>11.841699999999999</v>
      </c>
      <c r="AF1089" t="s">
        <v>67</v>
      </c>
      <c r="AG1089" t="s">
        <v>67</v>
      </c>
      <c r="AH1089" t="s">
        <v>3894</v>
      </c>
      <c r="AI1089" t="s">
        <v>3894</v>
      </c>
      <c r="AJ1089" t="s">
        <v>3895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3896</v>
      </c>
      <c r="AT1089" t="s">
        <v>3890</v>
      </c>
      <c r="AU1089" t="s">
        <v>3897</v>
      </c>
      <c r="AV1089" t="s">
        <v>3898</v>
      </c>
      <c r="AW1089">
        <v>2</v>
      </c>
      <c r="AX1089">
        <v>0</v>
      </c>
    </row>
    <row r="1090" spans="1:50" x14ac:dyDescent="0.25">
      <c r="A1090" t="s">
        <v>5142</v>
      </c>
      <c r="B1090" t="s">
        <v>3996</v>
      </c>
      <c r="C1090" t="s">
        <v>3890</v>
      </c>
      <c r="D1090">
        <v>27.248999999999999</v>
      </c>
      <c r="E1090">
        <v>27.23</v>
      </c>
      <c r="F1090" s="2">
        <v>1E-3</v>
      </c>
      <c r="G1090" t="s">
        <v>2225</v>
      </c>
      <c r="H1090" t="s">
        <v>3727</v>
      </c>
      <c r="I1090">
        <v>440323.97489999997</v>
      </c>
      <c r="J1090">
        <v>1827549.9775</v>
      </c>
      <c r="K1090">
        <v>440342.80379999999</v>
      </c>
      <c r="L1090">
        <v>1827549.9775</v>
      </c>
      <c r="M1090" t="s">
        <v>56</v>
      </c>
      <c r="N1090" t="s">
        <v>57</v>
      </c>
      <c r="O1090">
        <v>1350</v>
      </c>
      <c r="P1090" t="s">
        <v>3997</v>
      </c>
      <c r="Q1090" t="s">
        <v>3998</v>
      </c>
      <c r="R1090" t="s">
        <v>180</v>
      </c>
      <c r="S1090" t="s">
        <v>2227</v>
      </c>
      <c r="T1090" t="s">
        <v>5143</v>
      </c>
      <c r="U1090">
        <v>-0.55630000000000002</v>
      </c>
      <c r="V1090">
        <v>-0.55630000000000002</v>
      </c>
      <c r="W1090" t="s">
        <v>52</v>
      </c>
      <c r="X1090">
        <v>1.8168</v>
      </c>
      <c r="Y1090">
        <v>1.9021999999999999</v>
      </c>
      <c r="Z1090">
        <v>1.9021999999999999</v>
      </c>
      <c r="AA1090">
        <v>1.8168</v>
      </c>
      <c r="AB1090">
        <v>18.833600000000001</v>
      </c>
      <c r="AC1090">
        <v>18.833600000000001</v>
      </c>
      <c r="AD1090">
        <v>17.635400000000001</v>
      </c>
      <c r="AE1090">
        <v>17.635400000000001</v>
      </c>
      <c r="AF1090" t="s">
        <v>183</v>
      </c>
      <c r="AG1090" t="s">
        <v>183</v>
      </c>
      <c r="AH1090" t="s">
        <v>3894</v>
      </c>
      <c r="AI1090" t="s">
        <v>3894</v>
      </c>
      <c r="AJ1090" t="s">
        <v>3895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3896</v>
      </c>
      <c r="AT1090" t="s">
        <v>3890</v>
      </c>
      <c r="AU1090" t="s">
        <v>4000</v>
      </c>
      <c r="AV1090" t="s">
        <v>3898</v>
      </c>
      <c r="AW1090">
        <v>2</v>
      </c>
      <c r="AX1090">
        <v>0</v>
      </c>
    </row>
    <row r="1091" spans="1:50" x14ac:dyDescent="0.25">
      <c r="A1091" t="s">
        <v>2651</v>
      </c>
      <c r="B1091" t="s">
        <v>3889</v>
      </c>
      <c r="C1091" t="s">
        <v>3890</v>
      </c>
      <c r="D1091">
        <v>28.713999999999999</v>
      </c>
      <c r="E1091">
        <v>28.678000000000001</v>
      </c>
      <c r="F1091" s="2">
        <v>3.0000000000000001E-3</v>
      </c>
      <c r="G1091" t="s">
        <v>2650</v>
      </c>
      <c r="H1091" t="s">
        <v>2647</v>
      </c>
      <c r="I1091">
        <v>440595.27510000003</v>
      </c>
      <c r="J1091">
        <v>1827874.7729</v>
      </c>
      <c r="K1091">
        <v>440595.27510000003</v>
      </c>
      <c r="L1091">
        <v>1827862.6984000001</v>
      </c>
      <c r="M1091" t="s">
        <v>56</v>
      </c>
      <c r="N1091" t="s">
        <v>57</v>
      </c>
      <c r="O1091">
        <v>450</v>
      </c>
      <c r="P1091" t="s">
        <v>3891</v>
      </c>
      <c r="Q1091" t="s">
        <v>3892</v>
      </c>
      <c r="R1091" t="s">
        <v>251</v>
      </c>
      <c r="S1091" t="s">
        <v>2652</v>
      </c>
      <c r="T1091" t="s">
        <v>420</v>
      </c>
      <c r="U1091">
        <v>-0.27500000000000002</v>
      </c>
      <c r="V1091">
        <v>-0.27500000000000002</v>
      </c>
      <c r="W1091" t="s">
        <v>52</v>
      </c>
      <c r="X1091">
        <v>0.88229999999999997</v>
      </c>
      <c r="Y1091">
        <v>0.91</v>
      </c>
      <c r="Z1091">
        <v>0.91</v>
      </c>
      <c r="AA1091">
        <v>0.88229999999999997</v>
      </c>
      <c r="AB1091">
        <v>12.0745</v>
      </c>
      <c r="AC1091">
        <v>12.0746</v>
      </c>
      <c r="AD1091">
        <v>10.8766</v>
      </c>
      <c r="AE1091">
        <v>10.8766</v>
      </c>
      <c r="AF1091" t="s">
        <v>2233</v>
      </c>
      <c r="AG1091" t="s">
        <v>2233</v>
      </c>
      <c r="AH1091" t="s">
        <v>3894</v>
      </c>
      <c r="AI1091" t="s">
        <v>3894</v>
      </c>
      <c r="AJ1091" t="s">
        <v>3895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3896</v>
      </c>
      <c r="AT1091" t="s">
        <v>3890</v>
      </c>
      <c r="AU1091" t="s">
        <v>3897</v>
      </c>
      <c r="AV1091" t="s">
        <v>3898</v>
      </c>
      <c r="AW1091">
        <v>2</v>
      </c>
      <c r="AX1091">
        <v>0</v>
      </c>
    </row>
    <row r="1092" spans="1:50" x14ac:dyDescent="0.25">
      <c r="A1092" t="s">
        <v>5144</v>
      </c>
      <c r="B1092" t="s">
        <v>4010</v>
      </c>
      <c r="C1092" t="s">
        <v>3890</v>
      </c>
      <c r="D1092">
        <v>28.247</v>
      </c>
      <c r="E1092">
        <v>28.236999999999998</v>
      </c>
      <c r="F1092" s="2">
        <v>8.9999999999999998E-4</v>
      </c>
      <c r="G1092" t="s">
        <v>1106</v>
      </c>
      <c r="H1092" t="s">
        <v>1170</v>
      </c>
      <c r="I1092">
        <v>440217.52480000001</v>
      </c>
      <c r="J1092">
        <v>1827703.6144999999</v>
      </c>
      <c r="K1092">
        <v>440217.52480000001</v>
      </c>
      <c r="L1092">
        <v>1827692.8644999999</v>
      </c>
      <c r="M1092" t="s">
        <v>56</v>
      </c>
      <c r="N1092" t="s">
        <v>57</v>
      </c>
      <c r="O1092">
        <v>900</v>
      </c>
      <c r="P1092" t="s">
        <v>109</v>
      </c>
      <c r="Q1092" t="s">
        <v>3919</v>
      </c>
      <c r="R1092" t="s">
        <v>151</v>
      </c>
      <c r="S1092" t="s">
        <v>4475</v>
      </c>
      <c r="T1092" t="s">
        <v>4866</v>
      </c>
      <c r="U1092">
        <v>4.3099999999999999E-2</v>
      </c>
      <c r="V1092">
        <v>3.73E-2</v>
      </c>
      <c r="W1092" t="s">
        <v>52</v>
      </c>
      <c r="X1092">
        <v>2.4251</v>
      </c>
      <c r="Y1092">
        <v>2.5228999999999999</v>
      </c>
      <c r="Z1092">
        <v>2.4708000000000001</v>
      </c>
      <c r="AA1092">
        <v>2.427</v>
      </c>
      <c r="AB1092">
        <v>10.6433</v>
      </c>
      <c r="AC1092">
        <v>10.6433</v>
      </c>
      <c r="AD1092">
        <v>9.4443999999999999</v>
      </c>
      <c r="AE1092">
        <v>9.4443999999999999</v>
      </c>
      <c r="AF1092" t="s">
        <v>2233</v>
      </c>
      <c r="AG1092" t="s">
        <v>2233</v>
      </c>
      <c r="AH1092" t="s">
        <v>3894</v>
      </c>
      <c r="AI1092" t="s">
        <v>3894</v>
      </c>
      <c r="AJ1092" t="s">
        <v>3895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3896</v>
      </c>
      <c r="AT1092" t="s">
        <v>3890</v>
      </c>
      <c r="AU1092" t="s">
        <v>4012</v>
      </c>
      <c r="AV1092" t="s">
        <v>3898</v>
      </c>
      <c r="AW1092">
        <v>2</v>
      </c>
      <c r="AX1092">
        <v>0</v>
      </c>
    </row>
    <row r="1093" spans="1:50" x14ac:dyDescent="0.25">
      <c r="A1093" t="s">
        <v>5145</v>
      </c>
      <c r="B1093" t="s">
        <v>3928</v>
      </c>
      <c r="C1093" t="s">
        <v>3890</v>
      </c>
      <c r="D1093">
        <v>30.353999999999999</v>
      </c>
      <c r="E1093">
        <v>30.347999999999999</v>
      </c>
      <c r="F1093" s="2">
        <v>5.9999999999999995E-4</v>
      </c>
      <c r="G1093" t="s">
        <v>1607</v>
      </c>
      <c r="H1093" t="s">
        <v>1611</v>
      </c>
      <c r="I1093">
        <v>439962.02480000001</v>
      </c>
      <c r="J1093">
        <v>1827550.2588</v>
      </c>
      <c r="K1093">
        <v>439972.35210000002</v>
      </c>
      <c r="L1093">
        <v>1827550.2588</v>
      </c>
      <c r="M1093" t="s">
        <v>56</v>
      </c>
      <c r="N1093" t="s">
        <v>57</v>
      </c>
      <c r="O1093">
        <v>900</v>
      </c>
      <c r="P1093" t="s">
        <v>3929</v>
      </c>
      <c r="Q1093" t="s">
        <v>3930</v>
      </c>
      <c r="R1093" t="s">
        <v>132</v>
      </c>
      <c r="S1093" s="1" t="s">
        <v>1609</v>
      </c>
      <c r="T1093" t="s">
        <v>1613</v>
      </c>
      <c r="U1093">
        <v>-0.05</v>
      </c>
      <c r="V1093">
        <v>-0.05</v>
      </c>
      <c r="W1093" t="s">
        <v>52</v>
      </c>
      <c r="X1093">
        <v>1.2504</v>
      </c>
      <c r="Y1093">
        <v>1.4238999999999999</v>
      </c>
      <c r="Z1093">
        <v>1.2725</v>
      </c>
      <c r="AA1093">
        <v>1.2927999999999999</v>
      </c>
      <c r="AB1093">
        <v>10.327199999999999</v>
      </c>
      <c r="AC1093">
        <v>10.327199999999999</v>
      </c>
      <c r="AD1093">
        <v>9.1280000000000001</v>
      </c>
      <c r="AE1093">
        <v>9.1280000000000001</v>
      </c>
      <c r="AF1093" t="s">
        <v>3920</v>
      </c>
      <c r="AG1093" t="s">
        <v>3920</v>
      </c>
      <c r="AH1093" t="s">
        <v>3894</v>
      </c>
      <c r="AI1093" t="s">
        <v>3894</v>
      </c>
      <c r="AJ1093" t="s">
        <v>3895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3896</v>
      </c>
      <c r="AT1093" t="s">
        <v>3890</v>
      </c>
      <c r="AU1093" t="s">
        <v>3931</v>
      </c>
      <c r="AV1093" t="s">
        <v>3898</v>
      </c>
      <c r="AW1093">
        <v>2</v>
      </c>
      <c r="AX1093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2026-07-29T04:56:08Z</dcterms:created>
  <dcterms:modified xsi:type="dcterms:W3CDTF">2026-07-29T04:57:21Z</dcterms:modified>
</cp:coreProperties>
</file>